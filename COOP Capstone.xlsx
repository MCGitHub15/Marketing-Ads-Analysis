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930FC9293BDE7E5/Desktop/COOP/Capstone/"/>
    </mc:Choice>
  </mc:AlternateContent>
  <xr:revisionPtr revIDLastSave="0" documentId="8_{35BF4B0C-6F2D-4053-9DE1-9D8FC9B778A2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Summary Dashboard" sheetId="7" r:id="rId1"/>
    <sheet name="Pivot Table" sheetId="6" r:id="rId2"/>
    <sheet name="Sheet2" sheetId="12" r:id="rId3"/>
    <sheet name="PBL_DA_CAPSTONE_DATA" sheetId="2" r:id="rId4"/>
  </sheets>
  <definedNames>
    <definedName name="_xlcn.WorksheetConnection_COOPCapstone.xlsxPBL_DA_CAPSTONE_DATA" hidden="1">PBL_DA_CAPSTONE_DATA[]</definedName>
    <definedName name="ExternalData_1" localSheetId="3" hidden="1">PBL_DA_CAPSTONE_DATA!$A$1:$P$728</definedName>
  </definedNames>
  <calcPr calcId="191028"/>
  <pivotCaches>
    <pivotCache cacheId="376" r:id="rId5"/>
    <pivotCache cacheId="377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BL_DA_CAPSTONE_DATA" name="PBL_DA_CAPSTONE_DATA" connection="WorksheetConnection_COOP Capstone.xlsx!PBL_DA_CAPSTONE_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9" i="7" l="1"/>
  <c r="J79" i="7"/>
  <c r="I79" i="7"/>
  <c r="K78" i="7"/>
  <c r="J78" i="7"/>
  <c r="I78" i="7"/>
  <c r="L78" i="7" s="1"/>
  <c r="K77" i="7"/>
  <c r="J77" i="7"/>
  <c r="I77" i="7"/>
  <c r="K76" i="7"/>
  <c r="J76" i="7"/>
  <c r="I76" i="7"/>
  <c r="D78" i="7"/>
  <c r="C78" i="7"/>
  <c r="B78" i="7"/>
  <c r="D77" i="7"/>
  <c r="C77" i="7"/>
  <c r="B77" i="7"/>
  <c r="D76" i="7"/>
  <c r="C76" i="7"/>
  <c r="B76" i="7"/>
  <c r="K24" i="7"/>
  <c r="J24" i="7"/>
  <c r="I24" i="7"/>
  <c r="K23" i="7"/>
  <c r="J23" i="7"/>
  <c r="I23" i="7"/>
  <c r="K22" i="7"/>
  <c r="J22" i="7"/>
  <c r="I22" i="7"/>
  <c r="K21" i="7"/>
  <c r="J21" i="7"/>
  <c r="I21" i="7"/>
  <c r="K20" i="7"/>
  <c r="J20" i="7"/>
  <c r="I20" i="7"/>
  <c r="K19" i="7"/>
  <c r="J19" i="7"/>
  <c r="I19" i="7"/>
  <c r="L14" i="7"/>
  <c r="K14" i="7"/>
  <c r="J14" i="7"/>
  <c r="I14" i="7"/>
  <c r="L13" i="7"/>
  <c r="K13" i="7"/>
  <c r="J13" i="7"/>
  <c r="I13" i="7"/>
  <c r="L12" i="7"/>
  <c r="K12" i="7"/>
  <c r="J12" i="7"/>
  <c r="I12" i="7"/>
  <c r="L11" i="7"/>
  <c r="K11" i="7"/>
  <c r="J11" i="7"/>
  <c r="I11" i="7"/>
  <c r="L10" i="7"/>
  <c r="K10" i="7"/>
  <c r="J10" i="7"/>
  <c r="I10" i="7"/>
  <c r="L9" i="7"/>
  <c r="K9" i="7"/>
  <c r="J9" i="7"/>
  <c r="I9" i="7"/>
  <c r="L8" i="7"/>
  <c r="K8" i="7"/>
  <c r="J8" i="7"/>
  <c r="I8" i="7"/>
  <c r="L7" i="7"/>
  <c r="K7" i="7"/>
  <c r="J7" i="7"/>
  <c r="I7" i="7"/>
  <c r="L6" i="7"/>
  <c r="K6" i="7"/>
  <c r="J6" i="7"/>
  <c r="I6" i="7"/>
  <c r="L5" i="7"/>
  <c r="K5" i="7"/>
  <c r="J5" i="7"/>
  <c r="I5" i="7"/>
  <c r="D29" i="7"/>
  <c r="C29" i="7"/>
  <c r="B29" i="7"/>
  <c r="D28" i="7"/>
  <c r="C28" i="7"/>
  <c r="B28" i="7"/>
  <c r="E28" i="7" s="1"/>
  <c r="D27" i="7"/>
  <c r="C27" i="7"/>
  <c r="B27" i="7"/>
  <c r="E27" i="7" s="1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B8" i="7"/>
  <c r="B7" i="7"/>
  <c r="B6" i="7"/>
  <c r="B5" i="7"/>
  <c r="B4" i="7"/>
  <c r="B9" i="7" s="1"/>
  <c r="F15" i="7" l="1"/>
  <c r="F13" i="7"/>
  <c r="F20" i="7"/>
  <c r="F16" i="7"/>
  <c r="F17" i="7"/>
  <c r="E76" i="7"/>
  <c r="E29" i="7"/>
  <c r="F21" i="7"/>
  <c r="L79" i="7"/>
  <c r="L77" i="7"/>
  <c r="F19" i="7"/>
  <c r="E77" i="7"/>
  <c r="L76" i="7"/>
  <c r="E78" i="7"/>
  <c r="F22" i="7"/>
  <c r="F14" i="7"/>
  <c r="F1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tc={F0CFA1BC-BB56-49DF-A585-56C3FA381594}</author>
  </authors>
  <commentList>
    <comment ref="A1" authorId="0" shapeId="0" xr:uid="{F0CFA1BC-BB56-49DF-A585-56C3FA381594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Applied copilot suggestions to clean up the table some more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41BECF-A58D-49EE-B19B-0895F5CE9B85}" keepAlive="1" name="Query - PBL_DA_CAPSTONE_DATA" description="Connection to the 'PBL_DA_CAPSTONE_DATA' query in the workbook." type="5" refreshedVersion="8" background="1" saveData="1">
    <dbPr connection="Provider=Microsoft.Mashup.OleDb.1;Data Source=$Workbook$;Location=PBL_DA_CAPSTONE_DATA;Extended Properties=&quot;&quot;" command="SELECT * FROM [PBL_DA_CAPSTONE_DATA]"/>
  </connection>
  <connection id="2" xr16:uid="{18930404-42A2-4221-BF24-56943300D56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1133B392-D878-46DB-9BFD-9F8F6061AF60}" name="WorksheetConnection_COOP Capstone.xlsx!PBL_DA_CAPSTONE_DATA" type="102" refreshedVersion="8" minRefreshableVersion="5">
    <extLst>
      <ext xmlns:x15="http://schemas.microsoft.com/office/spreadsheetml/2010/11/main" uri="{DE250136-89BD-433C-8126-D09CA5730AF9}">
        <x15:connection id="PBL_DA_CAPSTONE_DATA">
          <x15:rangePr sourceName="_xlcn.WorksheetConnection_COOPCapstone.xlsxPBL_DA_CAPSTONE_DATA"/>
        </x15:connection>
      </ext>
    </extLst>
  </connection>
</connections>
</file>

<file path=xl/sharedStrings.xml><?xml version="1.0" encoding="utf-8"?>
<sst xmlns="http://schemas.openxmlformats.org/spreadsheetml/2006/main" count="8050" uniqueCount="1242">
  <si>
    <t>ADVERTISING CAMPAIGN PERFORMANCE DASHBOARD</t>
  </si>
  <si>
    <t>KEY METRICS SUMMARY</t>
  </si>
  <si>
    <t>TOP AUDIENCE SEGMENTS BY IMPRESSIONS</t>
  </si>
  <si>
    <t>Total Impressions</t>
  </si>
  <si>
    <t>Audience Segment</t>
  </si>
  <si>
    <t>Impressions</t>
  </si>
  <si>
    <t>Clicks</t>
  </si>
  <si>
    <t>Conversions</t>
  </si>
  <si>
    <t>Gross Cost</t>
  </si>
  <si>
    <t>Total Clicks</t>
  </si>
  <si>
    <t>Automotive</t>
  </si>
  <si>
    <t>Total Viewable Impressions</t>
  </si>
  <si>
    <t>Beauty and Fitness</t>
  </si>
  <si>
    <t>Total Conversions</t>
  </si>
  <si>
    <t>B2B</t>
  </si>
  <si>
    <t>Total Gross Cost</t>
  </si>
  <si>
    <t>Brand Propensities</t>
  </si>
  <si>
    <t>Overall CTR (Click-Through Rate)</t>
  </si>
  <si>
    <t>Arts and Entertainment</t>
  </si>
  <si>
    <t>Finance</t>
  </si>
  <si>
    <t>PERFORMANCE BY STATE</t>
  </si>
  <si>
    <t>Demographics</t>
  </si>
  <si>
    <t>State</t>
  </si>
  <si>
    <t>CTR</t>
  </si>
  <si>
    <t>Food</t>
  </si>
  <si>
    <t>California</t>
  </si>
  <si>
    <t>Home and Garden</t>
  </si>
  <si>
    <t>Florida</t>
  </si>
  <si>
    <t>Media and Entertainment</t>
  </si>
  <si>
    <t>Illinois</t>
  </si>
  <si>
    <t>New York</t>
  </si>
  <si>
    <t>Tennessee</t>
  </si>
  <si>
    <t>TOP AD EXCHANGES</t>
  </si>
  <si>
    <t>Michigan</t>
  </si>
  <si>
    <t>Exchange</t>
  </si>
  <si>
    <t>Indiana</t>
  </si>
  <si>
    <t>Google Ad Manager</t>
  </si>
  <si>
    <t>Georgia</t>
  </si>
  <si>
    <t>BidSwitch</t>
  </si>
  <si>
    <t>Alabama</t>
  </si>
  <si>
    <t>PubMatic</t>
  </si>
  <si>
    <t>Ohio</t>
  </si>
  <si>
    <t>Magnite DV+</t>
  </si>
  <si>
    <t>Index Exchange</t>
  </si>
  <si>
    <t>OpenX</t>
  </si>
  <si>
    <t>PERFORMANCE BY DEVICE</t>
  </si>
  <si>
    <t>Device Make</t>
  </si>
  <si>
    <t>Smartphone</t>
  </si>
  <si>
    <t>Windows PC</t>
  </si>
  <si>
    <t>Apple PC</t>
  </si>
  <si>
    <t>PERFORMANCE BY CREATIVE SIZE</t>
  </si>
  <si>
    <t>PERFORMANCE BY CREATIVE MESSAGING</t>
  </si>
  <si>
    <t>Creative Size</t>
  </si>
  <si>
    <t>Creative Messaging</t>
  </si>
  <si>
    <t>320x50</t>
  </si>
  <si>
    <t>Subscribe Today - 10% Discount</t>
  </si>
  <si>
    <t>300x250</t>
  </si>
  <si>
    <t>Sign up Today - 10% Off</t>
  </si>
  <si>
    <t>300x50</t>
  </si>
  <si>
    <t>Sign up Now - 10% Off</t>
  </si>
  <si>
    <t>10% Discount - Ends 6/1</t>
  </si>
  <si>
    <t>KEY INSIGHTS</t>
  </si>
  <si>
    <t>1. Illinois leads in total impressions with the highest volume of ad delivery</t>
  </si>
  <si>
    <t>2. Smartphones dominate device distribution, accounting for ~91% of all impressions</t>
  </si>
  <si>
    <t>3. Google Ad Manager is the primary ad exchange for campaign delivery (highest viewable and measurable impressions)</t>
  </si>
  <si>
    <t>4. Alabama has the highest CTR (0.38%) indicating strong engagement in that state</t>
  </si>
  <si>
    <t>5. Apple PC users show the highest CTR among devices (0.32%)</t>
  </si>
  <si>
    <t>6. Automotive is the top-performing audience segment by impression volume</t>
  </si>
  <si>
    <t>7. The exchange Kargo yielded the greatest results in terms of CPA, CTR, and CVR</t>
  </si>
  <si>
    <t>8. The exchange GumGum yielded the greatest results in terms of CPM, vCPM, and CPC</t>
  </si>
  <si>
    <t>Note: All metrics are calculated dynamically using Excel formulas linked to the source data.</t>
  </si>
  <si>
    <t>CVR</t>
  </si>
  <si>
    <t>Viewable Rate</t>
  </si>
  <si>
    <t>vCPM</t>
  </si>
  <si>
    <t>CPM</t>
  </si>
  <si>
    <t>CPC</t>
  </si>
  <si>
    <t>CPA</t>
  </si>
  <si>
    <t>Arts and Entertainment Total</t>
  </si>
  <si>
    <t>Arkansas</t>
  </si>
  <si>
    <t>Mississippi</t>
  </si>
  <si>
    <t>Automotive Total</t>
  </si>
  <si>
    <t>B2B Total</t>
  </si>
  <si>
    <t>Beauty and Fitness Total</t>
  </si>
  <si>
    <t>Louisiana</t>
  </si>
  <si>
    <t>Brand Propensities Total</t>
  </si>
  <si>
    <t>Buying Channel Preference</t>
  </si>
  <si>
    <t>Buying Channel Preference Total</t>
  </si>
  <si>
    <t>Composite Segment</t>
  </si>
  <si>
    <t>Composite Segment Total</t>
  </si>
  <si>
    <t>Connected Impulse-Shopper Audience</t>
  </si>
  <si>
    <t>Connected Impulse-Shopper Audience Total</t>
  </si>
  <si>
    <t>Demographics Total</t>
  </si>
  <si>
    <t>Demographics Validated</t>
  </si>
  <si>
    <t>Demographics Validated Total</t>
  </si>
  <si>
    <t>Demos</t>
  </si>
  <si>
    <t>South Carolina</t>
  </si>
  <si>
    <t>Demos Total</t>
  </si>
  <si>
    <t>Device Ownership</t>
  </si>
  <si>
    <t>Device Ownership Total</t>
  </si>
  <si>
    <t>Entertainment and Pastimes</t>
  </si>
  <si>
    <t>Entertainment and Pastimes Total</t>
  </si>
  <si>
    <t>Finance Total</t>
  </si>
  <si>
    <t>Financially in Charge</t>
  </si>
  <si>
    <t>Financially in Charge Total</t>
  </si>
  <si>
    <t>Food Total</t>
  </si>
  <si>
    <t>Gamers</t>
  </si>
  <si>
    <t>Gamers Total</t>
  </si>
  <si>
    <t>Games</t>
  </si>
  <si>
    <t>Games Total</t>
  </si>
  <si>
    <t>Green Consumer Audience</t>
  </si>
  <si>
    <t>Green Consumer Audience Total</t>
  </si>
  <si>
    <t>Health and Fitness</t>
  </si>
  <si>
    <t>Health and Fitness Total</t>
  </si>
  <si>
    <t>Health and Wellbeing</t>
  </si>
  <si>
    <t>Health and Wellbeing Total</t>
  </si>
  <si>
    <t>Hobbies and Leisure</t>
  </si>
  <si>
    <t>Hobbies and Leisure Total</t>
  </si>
  <si>
    <t>Home</t>
  </si>
  <si>
    <t>Home Total</t>
  </si>
  <si>
    <t>Home and Garden Total</t>
  </si>
  <si>
    <t>Home and Garden Interests</t>
  </si>
  <si>
    <t>Home and Garden Interests Total</t>
  </si>
  <si>
    <t>Home Renovation</t>
  </si>
  <si>
    <t>Home Renovation Total</t>
  </si>
  <si>
    <t>Interest</t>
  </si>
  <si>
    <t>Interest Total</t>
  </si>
  <si>
    <t>Interest Propensities</t>
  </si>
  <si>
    <t>Interest Propensities Total</t>
  </si>
  <si>
    <t>Internet and Telecom</t>
  </si>
  <si>
    <t>Internet and Telecom Total</t>
  </si>
  <si>
    <t>Jobs and Education</t>
  </si>
  <si>
    <t>Jobs and Education Total</t>
  </si>
  <si>
    <t>Law and Government</t>
  </si>
  <si>
    <t>Law and Government Total</t>
  </si>
  <si>
    <t>Life Event</t>
  </si>
  <si>
    <t>Life Event Total</t>
  </si>
  <si>
    <t>Lotame</t>
  </si>
  <si>
    <t>Lotame Total</t>
  </si>
  <si>
    <t>Made In America Audience</t>
  </si>
  <si>
    <t>Made In America Audience Total</t>
  </si>
  <si>
    <t>Mail Order Buyer</t>
  </si>
  <si>
    <t>Mail Order Buyer Total</t>
  </si>
  <si>
    <t>Media and Entertainment Total</t>
  </si>
  <si>
    <t>Media Source</t>
  </si>
  <si>
    <t>Media Source Total</t>
  </si>
  <si>
    <t>Mobile Audience</t>
  </si>
  <si>
    <t>Mobile Audience Total</t>
  </si>
  <si>
    <t>Multibuyer Behaviors</t>
  </si>
  <si>
    <t>Multibuyer Behaviors Total</t>
  </si>
  <si>
    <t>News</t>
  </si>
  <si>
    <t>News Total</t>
  </si>
  <si>
    <t>OnAudience</t>
  </si>
  <si>
    <t>OnAudience Total</t>
  </si>
  <si>
    <t>Online Communities</t>
  </si>
  <si>
    <t>Online Communities Total</t>
  </si>
  <si>
    <t>People and Society</t>
  </si>
  <si>
    <t>People and Society Total</t>
  </si>
  <si>
    <t>Premium Entertainment and Pastimes</t>
  </si>
  <si>
    <t>Premium Entertainment and Pastimes Total</t>
  </si>
  <si>
    <t>Premium Gender</t>
  </si>
  <si>
    <t>Premium Gender Total</t>
  </si>
  <si>
    <t>Price-Driven Traditionalist Audience</t>
  </si>
  <si>
    <t>Price-Driven Traditionalist Audience Total</t>
  </si>
  <si>
    <t>Purchase Behaviors</t>
  </si>
  <si>
    <t>Purchase Behaviors Total</t>
  </si>
  <si>
    <t>Purchase-Based</t>
  </si>
  <si>
    <t>Purchase-Based Total</t>
  </si>
  <si>
    <t>Quality-First Shopper Audience</t>
  </si>
  <si>
    <t>Quality-First Shopper Audience Total</t>
  </si>
  <si>
    <t>Reach</t>
  </si>
  <si>
    <t>Kentucky</t>
  </si>
  <si>
    <t>Reach Total</t>
  </si>
  <si>
    <t>Real Estate</t>
  </si>
  <si>
    <t>Real Estate Total</t>
  </si>
  <si>
    <t>Response Performance</t>
  </si>
  <si>
    <t>Response Performance Total</t>
  </si>
  <si>
    <t>Restaurants</t>
  </si>
  <si>
    <t>Restaurants Total</t>
  </si>
  <si>
    <t>Retail</t>
  </si>
  <si>
    <t>Retail Total</t>
  </si>
  <si>
    <t>Rural Improvement Fanatic</t>
  </si>
  <si>
    <t>Rural Improvement Fanatic Total</t>
  </si>
  <si>
    <t>Shopping</t>
  </si>
  <si>
    <t>Shopping Total</t>
  </si>
  <si>
    <t>Sociodemographic</t>
  </si>
  <si>
    <t>Sociodemographic Total</t>
  </si>
  <si>
    <t>Sports</t>
  </si>
  <si>
    <t>Sports Total</t>
  </si>
  <si>
    <t>Tech Enthusiasts</t>
  </si>
  <si>
    <t>Tech Enthusiasts Total</t>
  </si>
  <si>
    <t>Technology</t>
  </si>
  <si>
    <t>Technology Total</t>
  </si>
  <si>
    <t>Telecommunications (Telco)</t>
  </si>
  <si>
    <t>Telecommunications (Telco) Total</t>
  </si>
  <si>
    <t>Telecommunications and Mobile Tech</t>
  </si>
  <si>
    <t>Telecommunications and Mobile Tech Total</t>
  </si>
  <si>
    <t>The Changing Consumer</t>
  </si>
  <si>
    <t>The Changing Consumer Total</t>
  </si>
  <si>
    <t>Transactional</t>
  </si>
  <si>
    <t>Transactional Total</t>
  </si>
  <si>
    <t>Travel</t>
  </si>
  <si>
    <t>Travel Total</t>
  </si>
  <si>
    <t>Grand Total</t>
  </si>
  <si>
    <t>Row Labels</t>
  </si>
  <si>
    <t>Total Viewable Imp.</t>
  </si>
  <si>
    <t>Total Measurable Imp.</t>
  </si>
  <si>
    <t>Top 5 CPA</t>
  </si>
  <si>
    <t>Kargo</t>
  </si>
  <si>
    <t>mlb.com</t>
  </si>
  <si>
    <t>Xandr - Monetize SSP (AppNexus)</t>
  </si>
  <si>
    <t>Sovrn</t>
  </si>
  <si>
    <t>mail.yahoo.com</t>
  </si>
  <si>
    <t>Taboola</t>
  </si>
  <si>
    <t>ebay.com</t>
  </si>
  <si>
    <t>TripleLift</t>
  </si>
  <si>
    <t>yahoo.com</t>
  </si>
  <si>
    <t>PulsePoint</t>
  </si>
  <si>
    <t>outlook.live.com</t>
  </si>
  <si>
    <t>msn.com</t>
  </si>
  <si>
    <t>nypost.com</t>
  </si>
  <si>
    <t>baseball-reference.com</t>
  </si>
  <si>
    <t>pandora.com</t>
  </si>
  <si>
    <t>dailyhodl.com</t>
  </si>
  <si>
    <t>moneyppl.com</t>
  </si>
  <si>
    <t>ajc.com</t>
  </si>
  <si>
    <t>dotesports.com</t>
  </si>
  <si>
    <t>washingtonpost.com</t>
  </si>
  <si>
    <t>ew.com</t>
  </si>
  <si>
    <t>accuweather.com</t>
  </si>
  <si>
    <t>miamiherald.com</t>
  </si>
  <si>
    <t>fandom.com</t>
  </si>
  <si>
    <t>realtor.com</t>
  </si>
  <si>
    <t>cars.com</t>
  </si>
  <si>
    <t>finance.yahoo.com</t>
  </si>
  <si>
    <t>screenrant.com</t>
  </si>
  <si>
    <t>m.timesofindia.com</t>
  </si>
  <si>
    <t>zillow.com</t>
  </si>
  <si>
    <t>biblegateway.com</t>
  </si>
  <si>
    <t>reuters.com</t>
  </si>
  <si>
    <t>androidpolice.com</t>
  </si>
  <si>
    <t>taboolanews.com</t>
  </si>
  <si>
    <t>cbsnews.com</t>
  </si>
  <si>
    <t>forbes.com</t>
  </si>
  <si>
    <t>news.yahoo.com</t>
  </si>
  <si>
    <t>businessinsider.com</t>
  </si>
  <si>
    <t>newsharper.com</t>
  </si>
  <si>
    <t>si.com</t>
  </si>
  <si>
    <t>buzzfeed.com</t>
  </si>
  <si>
    <t>cnet.com</t>
  </si>
  <si>
    <t>signin.ebay.com</t>
  </si>
  <si>
    <t>foxnews.com</t>
  </si>
  <si>
    <t>microsoftcasualgames.com</t>
  </si>
  <si>
    <t>classmates.com</t>
  </si>
  <si>
    <t>Smart RTB+ (Smartadserver)</t>
  </si>
  <si>
    <t>weather.com</t>
  </si>
  <si>
    <t>drugs.com</t>
  </si>
  <si>
    <t>boxrox.com</t>
  </si>
  <si>
    <t>mail.aol.com</t>
  </si>
  <si>
    <t>rollingstone.com</t>
  </si>
  <si>
    <t>npr.org</t>
  </si>
  <si>
    <t>the-sun.com</t>
  </si>
  <si>
    <t>lotterypost.com</t>
  </si>
  <si>
    <t>fandomwire.com</t>
  </si>
  <si>
    <t>a-z-animals.com</t>
  </si>
  <si>
    <t>kbb.com</t>
  </si>
  <si>
    <t>usatoday.com</t>
  </si>
  <si>
    <t>redfin.com</t>
  </si>
  <si>
    <t>alotfinance.com</t>
  </si>
  <si>
    <t>daily-choices.com</t>
  </si>
  <si>
    <t>investmentguru.com</t>
  </si>
  <si>
    <t>jdpower.com</t>
  </si>
  <si>
    <t>cbssports.com</t>
  </si>
  <si>
    <t>tomsguide.com</t>
  </si>
  <si>
    <t>slickdeals.net</t>
  </si>
  <si>
    <t>sciencesensei.com</t>
  </si>
  <si>
    <t>semana.com</t>
  </si>
  <si>
    <t>ign.com</t>
  </si>
  <si>
    <t>wunderground.com</t>
  </si>
  <si>
    <t>dexerto.com</t>
  </si>
  <si>
    <t>aol.com</t>
  </si>
  <si>
    <t>kiplinger.com</t>
  </si>
  <si>
    <t>people.com</t>
  </si>
  <si>
    <t>bleacherbreaker.com</t>
  </si>
  <si>
    <t>espn.com</t>
  </si>
  <si>
    <t>cheapoair.com</t>
  </si>
  <si>
    <t>autotrader.com</t>
  </si>
  <si>
    <t>calculator.net</t>
  </si>
  <si>
    <t>thesaurus.com</t>
  </si>
  <si>
    <t>motor-junkie.com</t>
  </si>
  <si>
    <t>insider.com</t>
  </si>
  <si>
    <t>myfitnesspal.com</t>
  </si>
  <si>
    <t>cheezburger.com</t>
  </si>
  <si>
    <t>bbc.com</t>
  </si>
  <si>
    <t>signupgenius.com</t>
  </si>
  <si>
    <t>icy-veins.com</t>
  </si>
  <si>
    <t>nsfas-applications.co.za</t>
  </si>
  <si>
    <t>upworthy.com</t>
  </si>
  <si>
    <t>dailymail.co.uk/tvshowbiz</t>
  </si>
  <si>
    <t>al.com</t>
  </si>
  <si>
    <t>androidauthority.com</t>
  </si>
  <si>
    <t>flightaware.com</t>
  </si>
  <si>
    <t>macrumors.com</t>
  </si>
  <si>
    <t>sneakertoast.com</t>
  </si>
  <si>
    <t>findagrave.com</t>
  </si>
  <si>
    <t>yachtworld.com</t>
  </si>
  <si>
    <t>wikihow.com</t>
  </si>
  <si>
    <t>zone.msn.com</t>
  </si>
  <si>
    <t>usnews.com</t>
  </si>
  <si>
    <t>topclassactions.com</t>
  </si>
  <si>
    <t>dictionary.com</t>
  </si>
  <si>
    <t>cnn.com</t>
  </si>
  <si>
    <t>carscoops.com</t>
  </si>
  <si>
    <t>thehulltruth.com</t>
  </si>
  <si>
    <t>Yieldmo</t>
  </si>
  <si>
    <t>merriam-webster.com</t>
  </si>
  <si>
    <t>tripadvisor.com</t>
  </si>
  <si>
    <t>healthyrecipesblogs.com</t>
  </si>
  <si>
    <t>lensvid.com</t>
  </si>
  <si>
    <t>apnews.com</t>
  </si>
  <si>
    <t>femanin.com</t>
  </si>
  <si>
    <t>essentiallysports.com</t>
  </si>
  <si>
    <t>geeksforgeeks.org</t>
  </si>
  <si>
    <t>homeaddict.io</t>
  </si>
  <si>
    <t>activebeat.com</t>
  </si>
  <si>
    <t>ranker.com</t>
  </si>
  <si>
    <t>boattrader.com</t>
  </si>
  <si>
    <t>w3schools.com</t>
  </si>
  <si>
    <t>my.yahoo.com</t>
  </si>
  <si>
    <t>dafont.com</t>
  </si>
  <si>
    <t>tastesbetterfromscratch.com</t>
  </si>
  <si>
    <t>nbcnews.com</t>
  </si>
  <si>
    <t>politico.com</t>
  </si>
  <si>
    <t>bestbuy.com</t>
  </si>
  <si>
    <t>investopedia.com</t>
  </si>
  <si>
    <t>medicalnewstoday.com</t>
  </si>
  <si>
    <t>rent.com</t>
  </si>
  <si>
    <t>womenshealthmag.com</t>
  </si>
  <si>
    <t>dmv.org</t>
  </si>
  <si>
    <t>gamespot.com</t>
  </si>
  <si>
    <t>historyallday.com</t>
  </si>
  <si>
    <t>wsvn.com</t>
  </si>
  <si>
    <t>sciencealert.com</t>
  </si>
  <si>
    <t>greatschools.org</t>
  </si>
  <si>
    <t>baseball.fantasysports.yahoo.com</t>
  </si>
  <si>
    <t>nbcdfw.com</t>
  </si>
  <si>
    <t>firstcoastnews.com</t>
  </si>
  <si>
    <t>whatismyipaddress.com</t>
  </si>
  <si>
    <t>att.yahoo.com</t>
  </si>
  <si>
    <t>travelerdreams.com</t>
  </si>
  <si>
    <t>uscellular.com</t>
  </si>
  <si>
    <t>thebigmansworld.com</t>
  </si>
  <si>
    <t>gameofglam.com</t>
  </si>
  <si>
    <t>livescience.com</t>
  </si>
  <si>
    <t>thegamer.com</t>
  </si>
  <si>
    <t>zdnet.com</t>
  </si>
  <si>
    <t>houseplans.net</t>
  </si>
  <si>
    <t>sports.yahoo.com</t>
  </si>
  <si>
    <t>merriam-webster.com/dictionary</t>
  </si>
  <si>
    <t>thefinancechatter.com</t>
  </si>
  <si>
    <t>streetinsider.com</t>
  </si>
  <si>
    <t>usssa.com</t>
  </si>
  <si>
    <t>poshland.com</t>
  </si>
  <si>
    <t>reference.com</t>
  </si>
  <si>
    <t>historycollection.com</t>
  </si>
  <si>
    <t>mobileposse.com</t>
  </si>
  <si>
    <t>yellowpages.com</t>
  </si>
  <si>
    <t>nbcchicago.com</t>
  </si>
  <si>
    <t>fortune.com</t>
  </si>
  <si>
    <t>cnbc.com</t>
  </si>
  <si>
    <t>marca.com</t>
  </si>
  <si>
    <t>milb.com</t>
  </si>
  <si>
    <t>investing.com</t>
  </si>
  <si>
    <t>gamerant.com</t>
  </si>
  <si>
    <t>hindustantimes.com</t>
  </si>
  <si>
    <t>citationmachine.net</t>
  </si>
  <si>
    <t>dailydot.com</t>
  </si>
  <si>
    <t>sallysbakingaddiction.com</t>
  </si>
  <si>
    <t>yourdailysportfix.com</t>
  </si>
  <si>
    <t>healthline.com</t>
  </si>
  <si>
    <t>newsmemory.com</t>
  </si>
  <si>
    <t>homehacks.co</t>
  </si>
  <si>
    <t>dailymail.co.uk/news</t>
  </si>
  <si>
    <t>allrecipes.com</t>
  </si>
  <si>
    <t>greedyfinance.com</t>
  </si>
  <si>
    <t>wsj.com</t>
  </si>
  <si>
    <t>wsmv.com</t>
  </si>
  <si>
    <t>soaps.sheknows.com</t>
  </si>
  <si>
    <t>evite.com</t>
  </si>
  <si>
    <t>nytimes.com</t>
  </si>
  <si>
    <t>webmd.com</t>
  </si>
  <si>
    <t>thesaltymarshmallow.com</t>
  </si>
  <si>
    <t>behindthevoiceactors.com</t>
  </si>
  <si>
    <t>seedsgames.com</t>
  </si>
  <si>
    <t>todaysnyc.com</t>
  </si>
  <si>
    <t>rvtrader.com</t>
  </si>
  <si>
    <t>eenadu.net</t>
  </si>
  <si>
    <t>dinneratthezoo.com</t>
  </si>
  <si>
    <t>foxbusiness.com</t>
  </si>
  <si>
    <t>timeanddate.com</t>
  </si>
  <si>
    <t>eonline.com</t>
  </si>
  <si>
    <t>doodle.com</t>
  </si>
  <si>
    <t>nbcmiami.com</t>
  </si>
  <si>
    <t>techradar.com</t>
  </si>
  <si>
    <t>billboard.com</t>
  </si>
  <si>
    <t>gamingbible.com</t>
  </si>
  <si>
    <t>biblestudytools.com</t>
  </si>
  <si>
    <t>omnicalculator.com</t>
  </si>
  <si>
    <t>abcnews.go.com</t>
  </si>
  <si>
    <t>iflscience.com</t>
  </si>
  <si>
    <t>culinaryhill.com</t>
  </si>
  <si>
    <t>editorsnation.com</t>
  </si>
  <si>
    <t>finviz.com</t>
  </si>
  <si>
    <t>culturess.com</t>
  </si>
  <si>
    <t>commercialappeal.com</t>
  </si>
  <si>
    <t>nba.com</t>
  </si>
  <si>
    <t>funnyand.com</t>
  </si>
  <si>
    <t>tasteofhome.com</t>
  </si>
  <si>
    <t>wordunscrambler.me</t>
  </si>
  <si>
    <t>mydailymagazine.com</t>
  </si>
  <si>
    <t>shareably.net</t>
  </si>
  <si>
    <t>britannica.com</t>
  </si>
  <si>
    <t>health.usnews.com</t>
  </si>
  <si>
    <t>bridesblush.com</t>
  </si>
  <si>
    <t>chocolatecoveredkatie.com</t>
  </si>
  <si>
    <t>my.earthlink.net</t>
  </si>
  <si>
    <t>chicagotribune.com</t>
  </si>
  <si>
    <t>yourroyals.com</t>
  </si>
  <si>
    <t>maxroll.gg</t>
  </si>
  <si>
    <t>dailybee.com</t>
  </si>
  <si>
    <t>clutchpoints.com</t>
  </si>
  <si>
    <t>fox59.com</t>
  </si>
  <si>
    <t>factinate.com</t>
  </si>
  <si>
    <t>factable.com</t>
  </si>
  <si>
    <t>mapquest.com</t>
  </si>
  <si>
    <t>insidethemagic.net</t>
  </si>
  <si>
    <t>onechicagocenter.com</t>
  </si>
  <si>
    <t>wizofawes.com</t>
  </si>
  <si>
    <t>thekrazycouponlady.com</t>
  </si>
  <si>
    <t>cargurus.com</t>
  </si>
  <si>
    <t>nbcsports.com</t>
  </si>
  <si>
    <t>mayoclinic.org</t>
  </si>
  <si>
    <t>sportpirate.com</t>
  </si>
  <si>
    <t>scitechdaily.com</t>
  </si>
  <si>
    <t>therighthairstyles.com</t>
  </si>
  <si>
    <t>doctoreport.com</t>
  </si>
  <si>
    <t>Yahoo Exchange</t>
  </si>
  <si>
    <t>medical-news.org</t>
  </si>
  <si>
    <t>repairlinkshop.com</t>
  </si>
  <si>
    <t>GumGum</t>
  </si>
  <si>
    <t>phys.org</t>
  </si>
  <si>
    <t>sporcle.com</t>
  </si>
  <si>
    <t>Sharethrough</t>
  </si>
  <si>
    <t>heraldweekly.com</t>
  </si>
  <si>
    <t>Category</t>
  </si>
  <si>
    <t>Sub Category</t>
  </si>
  <si>
    <t>City</t>
  </si>
  <si>
    <t>App/URL</t>
  </si>
  <si>
    <t>Viewable Impressions</t>
  </si>
  <si>
    <t>Measurable Impressions</t>
  </si>
  <si>
    <t>Orlando-Daytona Beach</t>
  </si>
  <si>
    <t xml:space="preserve"> Florida</t>
  </si>
  <si>
    <t>Celebrities and Entertainment News</t>
  </si>
  <si>
    <t>Comics and Animation</t>
  </si>
  <si>
    <t>Knoxville</t>
  </si>
  <si>
    <t xml:space="preserve"> Tennessee</t>
  </si>
  <si>
    <t>Events and Listings</t>
  </si>
  <si>
    <t>Clubs and Nightlife</t>
  </si>
  <si>
    <t>Chicago</t>
  </si>
  <si>
    <t xml:space="preserve"> Illinois</t>
  </si>
  <si>
    <t>Concerts and Music Festivals</t>
  </si>
  <si>
    <t>Event Ticket Sales</t>
  </si>
  <si>
    <t>Nashville</t>
  </si>
  <si>
    <t>Expos and Conventions</t>
  </si>
  <si>
    <t>Los Angeles</t>
  </si>
  <si>
    <t xml:space="preserve"> California</t>
  </si>
  <si>
    <t>Film Festivals</t>
  </si>
  <si>
    <t>Food and Beverage Events</t>
  </si>
  <si>
    <t>Live Sporting Events</t>
  </si>
  <si>
    <t>Movies</t>
  </si>
  <si>
    <t>Music and Audio</t>
  </si>
  <si>
    <t>Jacksonville</t>
  </si>
  <si>
    <t>TV and Video</t>
  </si>
  <si>
    <t>New York City</t>
  </si>
  <si>
    <t xml:space="preserve"> New York</t>
  </si>
  <si>
    <t>Auto Buyers</t>
  </si>
  <si>
    <t>Audi Q</t>
  </si>
  <si>
    <t>Grand Rapids-Kalamazoo</t>
  </si>
  <si>
    <t xml:space="preserve"> Michigan</t>
  </si>
  <si>
    <t>BMW</t>
  </si>
  <si>
    <t>West Palm Beach-Ft. Pierce</t>
  </si>
  <si>
    <t>Dodge</t>
  </si>
  <si>
    <t>Champaign &amp; Springfield-Decatur</t>
  </si>
  <si>
    <t>Ford</t>
  </si>
  <si>
    <t>Honda</t>
  </si>
  <si>
    <t>Hyundai</t>
  </si>
  <si>
    <t>Jeep</t>
  </si>
  <si>
    <t>Mazda</t>
  </si>
  <si>
    <t>Miami-Ft. Lauderdale</t>
  </si>
  <si>
    <t>Mercedes</t>
  </si>
  <si>
    <t>Lansing</t>
  </si>
  <si>
    <t>Nissan</t>
  </si>
  <si>
    <t>Opel</t>
  </si>
  <si>
    <t>Peugeot</t>
  </si>
  <si>
    <t>Subaru</t>
  </si>
  <si>
    <t>Toyota</t>
  </si>
  <si>
    <t>Vauxhall</t>
  </si>
  <si>
    <t>San Francisco</t>
  </si>
  <si>
    <t>Volkswagen</t>
  </si>
  <si>
    <t>Caravan</t>
  </si>
  <si>
    <t>Motorcycle</t>
  </si>
  <si>
    <t>Sport Cars</t>
  </si>
  <si>
    <t>Augusta</t>
  </si>
  <si>
    <t xml:space="preserve"> Georgia</t>
  </si>
  <si>
    <t>Van</t>
  </si>
  <si>
    <t>Crossover</t>
  </si>
  <si>
    <t>Luxury</t>
  </si>
  <si>
    <t>SUV</t>
  </si>
  <si>
    <t>Sedan</t>
  </si>
  <si>
    <t>Truck</t>
  </si>
  <si>
    <t>Tampa-St Petersburg (Sarasota)</t>
  </si>
  <si>
    <t>Auto Car Purchase Next Year</t>
  </si>
  <si>
    <t>Yes</t>
  </si>
  <si>
    <t>Auto Loyalists and Defectors</t>
  </si>
  <si>
    <t>Auto Make Defectors</t>
  </si>
  <si>
    <t>Boats and Watercraft</t>
  </si>
  <si>
    <t>Brands</t>
  </si>
  <si>
    <t>Acura</t>
  </si>
  <si>
    <t>Aston Martin</t>
  </si>
  <si>
    <t>Bugatti</t>
  </si>
  <si>
    <t>Buick</t>
  </si>
  <si>
    <t>South Bend-Elkhart</t>
  </si>
  <si>
    <t xml:space="preserve"> Indiana</t>
  </si>
  <si>
    <t>Cadillac</t>
  </si>
  <si>
    <t>Citroen</t>
  </si>
  <si>
    <t>Little Rock-Pine Bluff</t>
  </si>
  <si>
    <t xml:space="preserve"> Arkansas</t>
  </si>
  <si>
    <t>Ferrari</t>
  </si>
  <si>
    <t>Fiat</t>
  </si>
  <si>
    <t>GM-Daewoo</t>
  </si>
  <si>
    <t>Rockford</t>
  </si>
  <si>
    <t>Peoria-Bloomington</t>
  </si>
  <si>
    <t>Isuzu</t>
  </si>
  <si>
    <t>Jaguar</t>
  </si>
  <si>
    <t>Kia</t>
  </si>
  <si>
    <t>LandRover</t>
  </si>
  <si>
    <t>Lexus</t>
  </si>
  <si>
    <t>Maserati</t>
  </si>
  <si>
    <t>Ft. Myers-Naples</t>
  </si>
  <si>
    <t>Maybach</t>
  </si>
  <si>
    <t>Mercedes-Benz</t>
  </si>
  <si>
    <t>Mini</t>
  </si>
  <si>
    <t>Flint-Saginaw-Bay City</t>
  </si>
  <si>
    <t>Mitsubishi</t>
  </si>
  <si>
    <t>Pontiac</t>
  </si>
  <si>
    <t>Porsche</t>
  </si>
  <si>
    <t>Rolls-Royce</t>
  </si>
  <si>
    <t>Tri-Cities</t>
  </si>
  <si>
    <t>SEAT</t>
  </si>
  <si>
    <t>Saab</t>
  </si>
  <si>
    <t>Jackson</t>
  </si>
  <si>
    <t xml:space="preserve"> Mississippi</t>
  </si>
  <si>
    <t>Vauxhall-Opel</t>
  </si>
  <si>
    <t>Volvo</t>
  </si>
  <si>
    <t>Decision Maker for Auto Purchase</t>
  </si>
  <si>
    <t>I shared equally in the decision</t>
  </si>
  <si>
    <t>I was the sole decision-maker</t>
  </si>
  <si>
    <t>Electric and Plug-In Vehicles</t>
  </si>
  <si>
    <t>Financial Intent</t>
  </si>
  <si>
    <t>Banking</t>
  </si>
  <si>
    <t>Auto</t>
  </si>
  <si>
    <t>Tallahassee</t>
  </si>
  <si>
    <t>Loans and Credit</t>
  </si>
  <si>
    <t>Savannah</t>
  </si>
  <si>
    <t>Hybrid and Alternative Vehicles</t>
  </si>
  <si>
    <t>Primary Vehicle</t>
  </si>
  <si>
    <t>New</t>
  </si>
  <si>
    <t>Pre-owned</t>
  </si>
  <si>
    <t>Company Car</t>
  </si>
  <si>
    <t>Hattiesburg-Laurel</t>
  </si>
  <si>
    <t>Repair &amp; Oil Change</t>
  </si>
  <si>
    <t>Intend</t>
  </si>
  <si>
    <t>Services</t>
  </si>
  <si>
    <t>Pets</t>
  </si>
  <si>
    <t>Memphis</t>
  </si>
  <si>
    <t>Photography</t>
  </si>
  <si>
    <t>Auto Parts Stores</t>
  </si>
  <si>
    <t>CPGï¿½ Cosmetics</t>
  </si>
  <si>
    <t>CPGï¿½ Grocery</t>
  </si>
  <si>
    <t>CPGï¿½ Home Care</t>
  </si>
  <si>
    <t>Cameras and Photography Equip</t>
  </si>
  <si>
    <t>Computers, Laptops</t>
  </si>
  <si>
    <t>Tablets</t>
  </si>
  <si>
    <t>Televisions/TVs</t>
  </si>
  <si>
    <t>Video Game Consoles</t>
  </si>
  <si>
    <t>Drug Stores</t>
  </si>
  <si>
    <t>CVS</t>
  </si>
  <si>
    <t>Walgreens</t>
  </si>
  <si>
    <t>Entertainment</t>
  </si>
  <si>
    <t>Fashion</t>
  </si>
  <si>
    <t>Home Improvement</t>
  </si>
  <si>
    <t>Office Supplies</t>
  </si>
  <si>
    <t>Dog</t>
  </si>
  <si>
    <t>Sports and Outdoors</t>
  </si>
  <si>
    <t>Wireless Providers</t>
  </si>
  <si>
    <t>Hotels</t>
  </si>
  <si>
    <t>Budget Travel</t>
  </si>
  <si>
    <t>Business Travel</t>
  </si>
  <si>
    <t>Cruises</t>
  </si>
  <si>
    <t>Flights</t>
  </si>
  <si>
    <t>Future Travel</t>
  </si>
  <si>
    <t>Graduation Trip</t>
  </si>
  <si>
    <t>Luxury Travel</t>
  </si>
  <si>
    <t>Huntsville-Decatur (Florence)</t>
  </si>
  <si>
    <t xml:space="preserve"> Alabama</t>
  </si>
  <si>
    <t>Vehicle Ownership</t>
  </si>
  <si>
    <t>yes</t>
  </si>
  <si>
    <t>Vehicle Parts and Accessories</t>
  </si>
  <si>
    <t>Vehicle Shopping</t>
  </si>
  <si>
    <t>Fuel Economy and Gas Prices</t>
  </si>
  <si>
    <t>Decision Maker Responsibilities</t>
  </si>
  <si>
    <t>Accounting or Tax Services</t>
  </si>
  <si>
    <t>Advertising Services</t>
  </si>
  <si>
    <t>Company Liability or Insurance</t>
  </si>
  <si>
    <t>Computer Hardware</t>
  </si>
  <si>
    <t>Computer Software</t>
  </si>
  <si>
    <t>Employee Benefits</t>
  </si>
  <si>
    <t>Financial Services</t>
  </si>
  <si>
    <t>HR or Personnel Services</t>
  </si>
  <si>
    <t>Internet Services</t>
  </si>
  <si>
    <t>Marketing or Market Research</t>
  </si>
  <si>
    <t>Office Services or Moving</t>
  </si>
  <si>
    <t>Office Supplies or Equipment</t>
  </si>
  <si>
    <t>Copy or Photo Services</t>
  </si>
  <si>
    <t>Purchasing Utilities</t>
  </si>
  <si>
    <t>Purchasing Vehicles or Automobile Services</t>
  </si>
  <si>
    <t>Ft. Wayne</t>
  </si>
  <si>
    <t>Real Estate Services</t>
  </si>
  <si>
    <t>Sales</t>
  </si>
  <si>
    <t>Security Services</t>
  </si>
  <si>
    <t>services</t>
  </si>
  <si>
    <t>Occupation</t>
  </si>
  <si>
    <t>Architect</t>
  </si>
  <si>
    <t>Broker</t>
  </si>
  <si>
    <t>ComputerProgrammer</t>
  </si>
  <si>
    <t>Chattanooga</t>
  </si>
  <si>
    <t>ElectricalEngineer</t>
  </si>
  <si>
    <t>Entrepreneur</t>
  </si>
  <si>
    <t>MechanicalEngineer</t>
  </si>
  <si>
    <t>Musician</t>
  </si>
  <si>
    <t>OfficeManager</t>
  </si>
  <si>
    <t>PropertyManager</t>
  </si>
  <si>
    <t>Student</t>
  </si>
  <si>
    <t>SupplyChainManager</t>
  </si>
  <si>
    <t>SystemsAnalyst</t>
  </si>
  <si>
    <t>Teacher</t>
  </si>
  <si>
    <t>Purchase DM</t>
  </si>
  <si>
    <t>Hardware and or Software I am the sole decision maker</t>
  </si>
  <si>
    <t>Hardware and or Software I have no input into the final decision</t>
  </si>
  <si>
    <t>Hardware and or Software I make the final decision with input from staff</t>
  </si>
  <si>
    <t>Beauty Pageants</t>
  </si>
  <si>
    <t>Body Art</t>
  </si>
  <si>
    <t>Cosmetology and Beauty Professionals</t>
  </si>
  <si>
    <t>Face and Body Care</t>
  </si>
  <si>
    <t>Hygiene and Toiletries</t>
  </si>
  <si>
    <t>Make-Up and Cosmetics</t>
  </si>
  <si>
    <t>Skin and Nail Care</t>
  </si>
  <si>
    <t>Unwanted Body and Facial Hair Removal</t>
  </si>
  <si>
    <t>Fashion and Style</t>
  </si>
  <si>
    <t>Fashion Designers and Collections</t>
  </si>
  <si>
    <t>Fashion Modeling</t>
  </si>
  <si>
    <t>Fitness</t>
  </si>
  <si>
    <t>Bodybuilding</t>
  </si>
  <si>
    <t>Fitness Equipment and Accessories</t>
  </si>
  <si>
    <t>Fitness Instruction and Personal Training</t>
  </si>
  <si>
    <t>Gyms and Health Clubs</t>
  </si>
  <si>
    <t>Home Exercise</t>
  </si>
  <si>
    <t>Yoga and Pilates</t>
  </si>
  <si>
    <t>Hair Care</t>
  </si>
  <si>
    <t>Spas and Beauty Services</t>
  </si>
  <si>
    <t>Massage Therapy</t>
  </si>
  <si>
    <t>Weight Loss</t>
  </si>
  <si>
    <t>Apparel</t>
  </si>
  <si>
    <t>Bare Necessities Buyer Propensity</t>
  </si>
  <si>
    <t>JCPenney Buyer Propensity</t>
  </si>
  <si>
    <t>Lady Foot Locker Buyer Propensity</t>
  </si>
  <si>
    <t>Shreveport</t>
  </si>
  <si>
    <t xml:space="preserve"> Louisiana</t>
  </si>
  <si>
    <t>Shoebuy.com Buyer Propensity</t>
  </si>
  <si>
    <t>TOMS Buyer Propensity</t>
  </si>
  <si>
    <t>The Men's Wearhouse Buyer Propensity</t>
  </si>
  <si>
    <t>Ford Credit Buyer Propensity</t>
  </si>
  <si>
    <t>Tirerack.com Buyer Propensity</t>
  </si>
  <si>
    <t>Big Box Dollar General Buyer Propensity</t>
  </si>
  <si>
    <t>Big Box Dollar Tree Buyer Propensity</t>
  </si>
  <si>
    <t>Electronics</t>
  </si>
  <si>
    <t>Crutchfield Buyer Propensity</t>
  </si>
  <si>
    <t>RadioShack Buyer Propensity</t>
  </si>
  <si>
    <t>Food and Drug</t>
  </si>
  <si>
    <t>Postmates Buyer Propensity</t>
  </si>
  <si>
    <t>Mobile</t>
  </si>
  <si>
    <t>Health</t>
  </si>
  <si>
    <t>Bare Escentuals Buyer Propensity</t>
  </si>
  <si>
    <t>Beachbody Buyer Propensity</t>
  </si>
  <si>
    <t>Mary Kay Buyer Propensity</t>
  </si>
  <si>
    <t>SkinCareRx Buyer Propensity</t>
  </si>
  <si>
    <t>ULTA Buyer Propensity</t>
  </si>
  <si>
    <t>Toledo</t>
  </si>
  <si>
    <t xml:space="preserve"> Ohio</t>
  </si>
  <si>
    <t>Home and Household Goods</t>
  </si>
  <si>
    <t>Pottery Barn Kids Buyer Propensity</t>
  </si>
  <si>
    <t>Kids Products</t>
  </si>
  <si>
    <t>Disney Buyer Propensity</t>
  </si>
  <si>
    <t>Regal Cinemas Buyer Propensity</t>
  </si>
  <si>
    <t>Sony Network Entertainment International Buyer Propensity</t>
  </si>
  <si>
    <t>Steam Community Buyer Propensity</t>
  </si>
  <si>
    <t>pokerstars.net Buyer Propensity</t>
  </si>
  <si>
    <t>wwe.com Buyer Propensity</t>
  </si>
  <si>
    <t>Restaurants and Dining</t>
  </si>
  <si>
    <t>Seamless Buyer Propensity</t>
  </si>
  <si>
    <t>Telecom and Service Providers</t>
  </si>
  <si>
    <t>Page Plus Cellular Buyer Propensity</t>
  </si>
  <si>
    <t>American Airlines Buyer Propensity</t>
  </si>
  <si>
    <t>Booking.com Buyer Propensity</t>
  </si>
  <si>
    <t>Choice Hotels Buyer Propensity</t>
  </si>
  <si>
    <t>Hotel Tonight Buyer Propensity</t>
  </si>
  <si>
    <t>MGM Resorts International Buyer Propensity</t>
  </si>
  <si>
    <t>Sandals Resorts Buyer Propensity</t>
  </si>
  <si>
    <t>Online</t>
  </si>
  <si>
    <t>Women Born to Shop</t>
  </si>
  <si>
    <t>Age</t>
  </si>
  <si>
    <t>55-64</t>
  </si>
  <si>
    <t>65+</t>
  </si>
  <si>
    <t>21+</t>
  </si>
  <si>
    <t>Family</t>
  </si>
  <si>
    <t>Female Head of Household</t>
  </si>
  <si>
    <t>Households with 2 Adults</t>
  </si>
  <si>
    <t>Lafayette</t>
  </si>
  <si>
    <t>Households with 3 Adults</t>
  </si>
  <si>
    <t>Male Head of Household</t>
  </si>
  <si>
    <t>Household Income $50k+</t>
  </si>
  <si>
    <t>Preferred Language</t>
  </si>
  <si>
    <t>Non-Hispanic</t>
  </si>
  <si>
    <t>18 or older</t>
  </si>
  <si>
    <t>18-54</t>
  </si>
  <si>
    <t>18-64</t>
  </si>
  <si>
    <t>25 or older</t>
  </si>
  <si>
    <t>25-34</t>
  </si>
  <si>
    <t>Panama City</t>
  </si>
  <si>
    <t>25-44</t>
  </si>
  <si>
    <t>25-54</t>
  </si>
  <si>
    <t>25-64</t>
  </si>
  <si>
    <t>35-44</t>
  </si>
  <si>
    <t>65 or older</t>
  </si>
  <si>
    <t>Gender</t>
  </si>
  <si>
    <t>Female</t>
  </si>
  <si>
    <t>Male</t>
  </si>
  <si>
    <t>Gender and Age Combined</t>
  </si>
  <si>
    <t>Females 18-44</t>
  </si>
  <si>
    <t>Females 18-54</t>
  </si>
  <si>
    <t>Females 18-64</t>
  </si>
  <si>
    <t>Females 25 or older</t>
  </si>
  <si>
    <t>Females 25-34</t>
  </si>
  <si>
    <t>Females 25-44</t>
  </si>
  <si>
    <t>Females 25-64</t>
  </si>
  <si>
    <t>Females 35-44</t>
  </si>
  <si>
    <t>Females 45-54</t>
  </si>
  <si>
    <t>Females 55-64</t>
  </si>
  <si>
    <t>Females 65 or older</t>
  </si>
  <si>
    <t>Males 18-34</t>
  </si>
  <si>
    <t>Males 18-44</t>
  </si>
  <si>
    <t>Males 18-54</t>
  </si>
  <si>
    <t>Males 18-64</t>
  </si>
  <si>
    <t>Males 25 or older</t>
  </si>
  <si>
    <t>Males 25-44</t>
  </si>
  <si>
    <t>Males 25-54</t>
  </si>
  <si>
    <t>Males 25-64</t>
  </si>
  <si>
    <t>Males 55-64</t>
  </si>
  <si>
    <t>Education</t>
  </si>
  <si>
    <t>High Education Achievement</t>
  </si>
  <si>
    <t>Lowest Education Achievement</t>
  </si>
  <si>
    <t>Highest Rent Value</t>
  </si>
  <si>
    <t>Lowest Rent Value</t>
  </si>
  <si>
    <t>Charleston</t>
  </si>
  <si>
    <t xml:space="preserve"> South Carolina</t>
  </si>
  <si>
    <t>Smartphones</t>
  </si>
  <si>
    <t>Huawei</t>
  </si>
  <si>
    <t>Vivo</t>
  </si>
  <si>
    <t>ZTE</t>
  </si>
  <si>
    <t>iPhone 11</t>
  </si>
  <si>
    <t>iPhone X</t>
  </si>
  <si>
    <t>Accounting and Auditing</t>
  </si>
  <si>
    <t>Bookkeeping</t>
  </si>
  <si>
    <t>Tax Preparation and Planning</t>
  </si>
  <si>
    <t>ATMs and Branch Locations</t>
  </si>
  <si>
    <t>Debit and Checking Services</t>
  </si>
  <si>
    <t>Money Transfer and Wire Services</t>
  </si>
  <si>
    <t>Savings Accounts</t>
  </si>
  <si>
    <t>Credit Card Type</t>
  </si>
  <si>
    <t>Credit Card Holder - Unknown Type</t>
  </si>
  <si>
    <t>Credit and Lending</t>
  </si>
  <si>
    <t>Credit Cards</t>
  </si>
  <si>
    <t>Loans</t>
  </si>
  <si>
    <t>Digital Payments</t>
  </si>
  <si>
    <t>Chase Pay</t>
  </si>
  <si>
    <t>Estimated Discretionary Spending</t>
  </si>
  <si>
    <t>500</t>
  </si>
  <si>
    <t>Estimated Discretionary Spending (Financial)</t>
  </si>
  <si>
    <t>499</t>
  </si>
  <si>
    <t>Estimated Disposable Income</t>
  </si>
  <si>
    <t>999</t>
  </si>
  <si>
    <t>Financial Planning and Management</t>
  </si>
  <si>
    <t>Asset and Portfolio Management</t>
  </si>
  <si>
    <t>Inheritance and Estate Planning</t>
  </si>
  <si>
    <t>Retirement and Pension</t>
  </si>
  <si>
    <t>Grants, Scholarships and Financial Aid</t>
  </si>
  <si>
    <t>Government Grants</t>
  </si>
  <si>
    <t>Study Grants and Scholarships</t>
  </si>
  <si>
    <t>Insurance</t>
  </si>
  <si>
    <t>Health Insurance</t>
  </si>
  <si>
    <t>Home Insurance</t>
  </si>
  <si>
    <t>Life Insurance</t>
  </si>
  <si>
    <t>Travel Insurance</t>
  </si>
  <si>
    <t>Investing</t>
  </si>
  <si>
    <t>Brokerages and Day Trading</t>
  </si>
  <si>
    <t>Commodities and Futures Trading</t>
  </si>
  <si>
    <t>Derivatives</t>
  </si>
  <si>
    <t>Stocks and Bonds</t>
  </si>
  <si>
    <t>Likely Attitude and Behavior</t>
  </si>
  <si>
    <t>Customer Service Very Important (Financial)</t>
  </si>
  <si>
    <t>When I Find A Financial Product/Service I Like I Typically Recommend It To People I Know (Financial)</t>
  </si>
  <si>
    <t>Likely Bank Account and Services</t>
  </si>
  <si>
    <t>Personal or Join (Financial)</t>
  </si>
  <si>
    <t>Likely Credit Card</t>
  </si>
  <si>
    <t>Used for Personal Purposes</t>
  </si>
  <si>
    <t>Any major Credit/Debit Card (Financial)</t>
  </si>
  <si>
    <t>Likely In Market Timing</t>
  </si>
  <si>
    <t>First Home/Residence In The Next Year (Financial)</t>
  </si>
  <si>
    <t>Second House/Residence In The Next Year (Financial)</t>
  </si>
  <si>
    <t>Method of Payment</t>
  </si>
  <si>
    <t>Other</t>
  </si>
  <si>
    <t>Performance Score: Top 25%</t>
  </si>
  <si>
    <t>Performance Score: Top 50%</t>
  </si>
  <si>
    <t>Beverages</t>
  </si>
  <si>
    <t>Beer</t>
  </si>
  <si>
    <t>Bottled Water</t>
  </si>
  <si>
    <t>Coffee and Tea</t>
  </si>
  <si>
    <t>Juice</t>
  </si>
  <si>
    <t>Soft Drinks</t>
  </si>
  <si>
    <t>Cooking and Recipes</t>
  </si>
  <si>
    <t>Food and Grocery Delivery</t>
  </si>
  <si>
    <t>Food and Grocery Retailers</t>
  </si>
  <si>
    <t>Restaurant</t>
  </si>
  <si>
    <t>Buffalo Wild Wings</t>
  </si>
  <si>
    <t>Chilis</t>
  </si>
  <si>
    <t>Five Guys</t>
  </si>
  <si>
    <t>Krispy Kreme</t>
  </si>
  <si>
    <t>Moes Southwest Grill</t>
  </si>
  <si>
    <t>Outback Steakhouse</t>
  </si>
  <si>
    <t>Red Lobster</t>
  </si>
  <si>
    <t>Desserts</t>
  </si>
  <si>
    <t>Dining Guides</t>
  </si>
  <si>
    <t>Fast Food</t>
  </si>
  <si>
    <t>Fine Dining</t>
  </si>
  <si>
    <t>Users</t>
  </si>
  <si>
    <t>Arcade and Coin-Op Games</t>
  </si>
  <si>
    <t>Card Games</t>
  </si>
  <si>
    <t>Computer and Video Games</t>
  </si>
  <si>
    <t>Educational Games</t>
  </si>
  <si>
    <t>Family-Oriented Games and Activities</t>
  </si>
  <si>
    <t>Clubs and Organizations</t>
  </si>
  <si>
    <t>Contests, Awards and Prizes</t>
  </si>
  <si>
    <t>Crafts</t>
  </si>
  <si>
    <t>Outdoors</t>
  </si>
  <si>
    <t>Equestrian</t>
  </si>
  <si>
    <t>Fishing</t>
  </si>
  <si>
    <t>Hiking and Camping</t>
  </si>
  <si>
    <t>Special Occasions</t>
  </si>
  <si>
    <t>Holidays and Seasonal Events</t>
  </si>
  <si>
    <t>Party Planning</t>
  </si>
  <si>
    <t>Water Activities</t>
  </si>
  <si>
    <t>Dwelling Type</t>
  </si>
  <si>
    <t>Single-Family</t>
  </si>
  <si>
    <t>Property Type</t>
  </si>
  <si>
    <t>Single</t>
  </si>
  <si>
    <t>Home Renovators</t>
  </si>
  <si>
    <t>Bed and Bath</t>
  </si>
  <si>
    <t>Home Appliances</t>
  </si>
  <si>
    <t>Home Furnishings</t>
  </si>
  <si>
    <t>Homemaking and Interior Decor</t>
  </si>
  <si>
    <t>Kitchen and Dining</t>
  </si>
  <si>
    <t>Yard and Patio</t>
  </si>
  <si>
    <t>Cooking</t>
  </si>
  <si>
    <t>Food Enthusiasts</t>
  </si>
  <si>
    <t>House and Garden Merchandise Buyers</t>
  </si>
  <si>
    <t>Computers</t>
  </si>
  <si>
    <t>Consumer Electronics</t>
  </si>
  <si>
    <t>General</t>
  </si>
  <si>
    <t>Home Improvement Grouping</t>
  </si>
  <si>
    <t>Activities and Interests</t>
  </si>
  <si>
    <t>B2B Job Search</t>
  </si>
  <si>
    <t>College Life</t>
  </si>
  <si>
    <t>Ecommerce</t>
  </si>
  <si>
    <t>Financial Aid</t>
  </si>
  <si>
    <t>International News</t>
  </si>
  <si>
    <t>Local News</t>
  </si>
  <si>
    <t>National News</t>
  </si>
  <si>
    <t>Big Box Retail</t>
  </si>
  <si>
    <t>Quick Service Restaurants</t>
  </si>
  <si>
    <t>Celebrities</t>
  </si>
  <si>
    <t>Celebrity Fan Gossip</t>
  </si>
  <si>
    <t>Food and Drink</t>
  </si>
  <si>
    <t>American Cuisine</t>
  </si>
  <si>
    <t>Aetna Group</t>
  </si>
  <si>
    <t>Humana</t>
  </si>
  <si>
    <t>Lincoln Heritage</t>
  </si>
  <si>
    <t>MassMutual</t>
  </si>
  <si>
    <t>New York Life</t>
  </si>
  <si>
    <t>Northwestern Mutual</t>
  </si>
  <si>
    <t>Transamerica</t>
  </si>
  <si>
    <t>Unitedhealth Group</t>
  </si>
  <si>
    <t>Music</t>
  </si>
  <si>
    <t>Classic Rock</t>
  </si>
  <si>
    <t>Country</t>
  </si>
  <si>
    <t>Hip Hop and Rap</t>
  </si>
  <si>
    <t>Oil &amp; Gas</t>
  </si>
  <si>
    <t>QuickTrip</t>
  </si>
  <si>
    <t>Social</t>
  </si>
  <si>
    <t>Premium User Generated Content</t>
  </si>
  <si>
    <t>TV and Movies</t>
  </si>
  <si>
    <t>Drama</t>
  </si>
  <si>
    <t>Network TV</t>
  </si>
  <si>
    <t>Game Shows</t>
  </si>
  <si>
    <t>Sports TV</t>
  </si>
  <si>
    <t>Email and Messaging</t>
  </si>
  <si>
    <t>Mobile and Wireless</t>
  </si>
  <si>
    <t>Search Engines</t>
  </si>
  <si>
    <t>Web Apps and Online Tools</t>
  </si>
  <si>
    <t>Web Portals</t>
  </si>
  <si>
    <t>Web Services</t>
  </si>
  <si>
    <t>Jobs</t>
  </si>
  <si>
    <t>Government</t>
  </si>
  <si>
    <t>Legal</t>
  </si>
  <si>
    <t>Military</t>
  </si>
  <si>
    <t>Public Safety</t>
  </si>
  <si>
    <t>Bride</t>
  </si>
  <si>
    <t>College Applications</t>
  </si>
  <si>
    <t>College Graduation</t>
  </si>
  <si>
    <t>Engagement</t>
  </si>
  <si>
    <t>Home Buying</t>
  </si>
  <si>
    <t>Job Search</t>
  </si>
  <si>
    <t>Movers</t>
  </si>
  <si>
    <t>New Parent</t>
  </si>
  <si>
    <t>University Graduation</t>
  </si>
  <si>
    <t>Wedding Planning</t>
  </si>
  <si>
    <t>Offline CPG Purchasers</t>
  </si>
  <si>
    <t>Product Segment</t>
  </si>
  <si>
    <t>Home Supplies</t>
  </si>
  <si>
    <t>Online Shoppers</t>
  </si>
  <si>
    <t>Personal Finance</t>
  </si>
  <si>
    <t>Estate Planning</t>
  </si>
  <si>
    <t>Stocks</t>
  </si>
  <si>
    <t>Social Media</t>
  </si>
  <si>
    <t>Style, Fashion &amp; Clothing</t>
  </si>
  <si>
    <t>Children's Clothing Shoppers</t>
  </si>
  <si>
    <t>Clothing Shoppers</t>
  </si>
  <si>
    <t>Men's Clothing Shoppers</t>
  </si>
  <si>
    <t>Women's Clothing Shoppers</t>
  </si>
  <si>
    <t>Electronics &amp; Gadgets</t>
  </si>
  <si>
    <t>Mobile Phones</t>
  </si>
  <si>
    <t>International Travel</t>
  </si>
  <si>
    <t>Summer Travel</t>
  </si>
  <si>
    <t>Thanksgiving Travel</t>
  </si>
  <si>
    <t>Cincinnati</t>
  </si>
  <si>
    <t>Winter Holiday Travel</t>
  </si>
  <si>
    <t>LBDigital</t>
  </si>
  <si>
    <t>Open For Business B2B</t>
  </si>
  <si>
    <t>Audio and Video Streaming</t>
  </si>
  <si>
    <t>Streaming Audio</t>
  </si>
  <si>
    <t>Streaming Video</t>
  </si>
  <si>
    <t>Interest (Affinity)</t>
  </si>
  <si>
    <t>Interest (Affinity) Streaming Services</t>
  </si>
  <si>
    <t>Connected TV and Over-the-Top (CTV and OTT)</t>
  </si>
  <si>
    <t>OTT Movie Viewers Genre</t>
  </si>
  <si>
    <t>Consumer Entertainment Technology</t>
  </si>
  <si>
    <t>Events and Attractions</t>
  </si>
  <si>
    <t>Gaming</t>
  </si>
  <si>
    <t>In-Market</t>
  </si>
  <si>
    <t>Video Games</t>
  </si>
  <si>
    <t>Enthusiasts</t>
  </si>
  <si>
    <t>News and Current Events</t>
  </si>
  <si>
    <t>Online News Websites</t>
  </si>
  <si>
    <t>Sports and Recreational Activities</t>
  </si>
  <si>
    <t>Combat Sports</t>
  </si>
  <si>
    <t>Individual Sports</t>
  </si>
  <si>
    <t>Individual Sports Tennis and Racquet Sports</t>
  </si>
  <si>
    <t>Motorsports</t>
  </si>
  <si>
    <t>Olympics</t>
  </si>
  <si>
    <t>Olympics Summer Olympics</t>
  </si>
  <si>
    <t>Olympics Winter Olympics</t>
  </si>
  <si>
    <t>Team Sports Baseball</t>
  </si>
  <si>
    <t>Team Sports Football (American)</t>
  </si>
  <si>
    <t>Team Sports Soccer (Football)</t>
  </si>
  <si>
    <t>Television (TV)</t>
  </si>
  <si>
    <t>Viewership</t>
  </si>
  <si>
    <t>TV Genres Drama</t>
  </si>
  <si>
    <t>Lifestyle</t>
  </si>
  <si>
    <t>Arts Enthusiasts</t>
  </si>
  <si>
    <t>Club</t>
  </si>
  <si>
    <t>Continuity Buyers</t>
  </si>
  <si>
    <t>Pastimes Multibuyer</t>
  </si>
  <si>
    <t>Paid with Credit Card</t>
  </si>
  <si>
    <t>Business News</t>
  </si>
  <si>
    <t>Newspapers</t>
  </si>
  <si>
    <t>Politics</t>
  </si>
  <si>
    <t>Sports News</t>
  </si>
  <si>
    <t>Technology News</t>
  </si>
  <si>
    <t>Weather</t>
  </si>
  <si>
    <t>Animals &amp; Pet</t>
  </si>
  <si>
    <t>Vehicle Parts &amp; Accessories</t>
  </si>
  <si>
    <t>Baby &amp; Toddler</t>
  </si>
  <si>
    <t>Baby Toys</t>
  </si>
  <si>
    <t>Video Televisions</t>
  </si>
  <si>
    <t>Software</t>
  </si>
  <si>
    <t>Video Game Software</t>
  </si>
  <si>
    <t>Sporting Goods</t>
  </si>
  <si>
    <t>Team Sports</t>
  </si>
  <si>
    <t>Toys &amp; Games</t>
  </si>
  <si>
    <t>Intent</t>
  </si>
  <si>
    <t>Arts &amp; Entertainment</t>
  </si>
  <si>
    <t>Fine Art</t>
  </si>
  <si>
    <t>Music Lovers</t>
  </si>
  <si>
    <t>Television</t>
  </si>
  <si>
    <t>Business</t>
  </si>
  <si>
    <t>Economy</t>
  </si>
  <si>
    <t>Careers</t>
  </si>
  <si>
    <t>Food &amp; Drink</t>
  </si>
  <si>
    <t>Birmingham</t>
  </si>
  <si>
    <t>Art</t>
  </si>
  <si>
    <t>Life Stage</t>
  </si>
  <si>
    <t>News &amp; Magazines</t>
  </si>
  <si>
    <t>Weather Forecast</t>
  </si>
  <si>
    <t>Luxurious Brands</t>
  </si>
  <si>
    <t>Shopping Mall Buyers</t>
  </si>
  <si>
    <t>Social life</t>
  </si>
  <si>
    <t>Society</t>
  </si>
  <si>
    <t>Technology &amp; Computing</t>
  </si>
  <si>
    <t>Email</t>
  </si>
  <si>
    <t>Internet Technology</t>
  </si>
  <si>
    <t>Blogging Resources and Services</t>
  </si>
  <si>
    <t>Dating and Personals</t>
  </si>
  <si>
    <t>File Sharing and Hosting</t>
  </si>
  <si>
    <t>Online Goodies</t>
  </si>
  <si>
    <t>Photo and Video Sharing</t>
  </si>
  <si>
    <t>Social Networks</t>
  </si>
  <si>
    <t>Family and Relationships</t>
  </si>
  <si>
    <t>Moms</t>
  </si>
  <si>
    <t>Parents</t>
  </si>
  <si>
    <t>Millennials</t>
  </si>
  <si>
    <t>Seniors and Retirement</t>
  </si>
  <si>
    <t>Premium Magazine Enthusiasts</t>
  </si>
  <si>
    <t>Males</t>
  </si>
  <si>
    <t>Q2 Environmentally Concerned Shoppers</t>
  </si>
  <si>
    <t>Q2 Spring Cleaners</t>
  </si>
  <si>
    <t>Categories</t>
  </si>
  <si>
    <t>Office Supplies Buyers</t>
  </si>
  <si>
    <t>Propensity Models</t>
  </si>
  <si>
    <t>Credit Debit Card</t>
  </si>
  <si>
    <t>Books E-Book Reader</t>
  </si>
  <si>
    <t>Cultural Arts</t>
  </si>
  <si>
    <t>Food and Drinks Coffee Connoisseurs</t>
  </si>
  <si>
    <t>Food and Drinks Eats at Family Restaurants</t>
  </si>
  <si>
    <t>Food and Drinks Eats at Fast Food Restaurants</t>
  </si>
  <si>
    <t>Food and Drinks High-end Spirit Drinkers</t>
  </si>
  <si>
    <t>Food and Drinks Wine Lovers</t>
  </si>
  <si>
    <t>Music Listens to Country Music</t>
  </si>
  <si>
    <t>Music Listens to Pop Music</t>
  </si>
  <si>
    <t>Music Streaming</t>
  </si>
  <si>
    <t>Pets Cat Owners</t>
  </si>
  <si>
    <t>Pets Pet Enthusiast</t>
  </si>
  <si>
    <t>Sports Avid Runners</t>
  </si>
  <si>
    <t>Sports Boating</t>
  </si>
  <si>
    <t>Sports Canoeing</t>
  </si>
  <si>
    <t>Sports Fishing</t>
  </si>
  <si>
    <t>Sports Fitness Enthusiasts</t>
  </si>
  <si>
    <t>Sports Hunting Enthusiasts</t>
  </si>
  <si>
    <t>Sports NASCAR Enthusiast</t>
  </si>
  <si>
    <t>Sports NBA Enthusiast</t>
  </si>
  <si>
    <t>Sports NFL Enthusiast</t>
  </si>
  <si>
    <t>Sports NHL Enthusiast</t>
  </si>
  <si>
    <t>Sports PGA Tour Enthusiast</t>
  </si>
  <si>
    <t>Sports Plays Soccer</t>
  </si>
  <si>
    <t>Sports Plays Tennis</t>
  </si>
  <si>
    <t>Furniture</t>
  </si>
  <si>
    <t>Louisville</t>
  </si>
  <si>
    <t xml:space="preserve"> Kentucky</t>
  </si>
  <si>
    <t>Home Office</t>
  </si>
  <si>
    <t>Kitchen</t>
  </si>
  <si>
    <t>Lawn and Garden</t>
  </si>
  <si>
    <t>Charities Contributes by Volunteering</t>
  </si>
  <si>
    <t>Charities Contributes to Charities</t>
  </si>
  <si>
    <t>Healthy Living</t>
  </si>
  <si>
    <t>Loyalty Programs Loyalty Card User</t>
  </si>
  <si>
    <t>Luxury Home Goods Store Shopper</t>
  </si>
  <si>
    <t>Luxury Store Shoppers</t>
  </si>
  <si>
    <t>Electronics and Gadgets</t>
  </si>
  <si>
    <t>Monthly Mortgage Payment $800-$999</t>
  </si>
  <si>
    <t>Mortgage Amount $120,000-$159,999</t>
  </si>
  <si>
    <t>High Frequency Travel Foreign Vacationer</t>
  </si>
  <si>
    <t>Young Adult Clothing Shoppers</t>
  </si>
  <si>
    <t>45-49</t>
  </si>
  <si>
    <t>1 Unit</t>
  </si>
  <si>
    <t>Multi-family Dwelling Unit</t>
  </si>
  <si>
    <t>$160,000-$199,999</t>
  </si>
  <si>
    <t>Renter</t>
  </si>
  <si>
    <t>$50,000-$74,999</t>
  </si>
  <si>
    <t>Apartments and Residential Rentals</t>
  </si>
  <si>
    <t>Homeowner</t>
  </si>
  <si>
    <t>Lot Size</t>
  </si>
  <si>
    <t>Cozy Outdoor Living Space (Less than  an Acre)</t>
  </si>
  <si>
    <t>Occupancy</t>
  </si>
  <si>
    <t>Owner Occupied</t>
  </si>
  <si>
    <t>Residential</t>
  </si>
  <si>
    <t>Rent Amount</t>
  </si>
  <si>
    <t>Sensible  Rentals ($1000-$3000)</t>
  </si>
  <si>
    <t>Sale Activity</t>
  </si>
  <si>
    <t>Just Sold</t>
  </si>
  <si>
    <t>Direct Marketing Purchasers</t>
  </si>
  <si>
    <t>Direct Marketing Responders</t>
  </si>
  <si>
    <t>Brand</t>
  </si>
  <si>
    <t>Old Navy</t>
  </si>
  <si>
    <t>ConneXions Lifestage</t>
  </si>
  <si>
    <t>F1 Early Adopting Elite</t>
  </si>
  <si>
    <t>F2 Suburban Spenders</t>
  </si>
  <si>
    <t>M3 Offline Seniors</t>
  </si>
  <si>
    <t>M4 Elderly Traditionalists</t>
  </si>
  <si>
    <t>Y2 Emerging Techies</t>
  </si>
  <si>
    <t>P$YCLE Premier Lifestage</t>
  </si>
  <si>
    <t>F4 Working-Class USA</t>
  </si>
  <si>
    <t>M2 Wealthy Achievers</t>
  </si>
  <si>
    <t>M3 Upscale Empty Nests</t>
  </si>
  <si>
    <t>Y3 Fiscal Fledglings</t>
  </si>
  <si>
    <t>PRIZM Premier Lifestage</t>
  </si>
  <si>
    <t>F2 Young Accumulators</t>
  </si>
  <si>
    <t>PRIZM Premier Social</t>
  </si>
  <si>
    <t>C2 City Centers</t>
  </si>
  <si>
    <t>T2 Country Comfort</t>
  </si>
  <si>
    <t>Basketball</t>
  </si>
  <si>
    <t>NCAA College Basketball</t>
  </si>
  <si>
    <t>College Sports</t>
  </si>
  <si>
    <t>Extreme Sports</t>
  </si>
  <si>
    <t>Fantasy Sports</t>
  </si>
  <si>
    <t>Bowling</t>
  </si>
  <si>
    <t>Cycling</t>
  </si>
  <si>
    <t>Golf</t>
  </si>
  <si>
    <t>Running and Walking</t>
  </si>
  <si>
    <t>Skate Sports</t>
  </si>
  <si>
    <t>Track and Field</t>
  </si>
  <si>
    <t>Motor Sports</t>
  </si>
  <si>
    <t>NASCAR</t>
  </si>
  <si>
    <t>Sports League</t>
  </si>
  <si>
    <t>MLB</t>
  </si>
  <si>
    <t>NBA</t>
  </si>
  <si>
    <t>NFL</t>
  </si>
  <si>
    <t>NHL</t>
  </si>
  <si>
    <t>Premier League</t>
  </si>
  <si>
    <t>American Football</t>
  </si>
  <si>
    <t>Baseball</t>
  </si>
  <si>
    <t>Rugby</t>
  </si>
  <si>
    <t>Volleyball</t>
  </si>
  <si>
    <t>UFC Fans</t>
  </si>
  <si>
    <t>Water Sports</t>
  </si>
  <si>
    <t>Boating</t>
  </si>
  <si>
    <t>Surfing</t>
  </si>
  <si>
    <t>Winter Sports</t>
  </si>
  <si>
    <t>Ice Skating</t>
  </si>
  <si>
    <t>Skiing and Snowboarding</t>
  </si>
  <si>
    <t>Heavy Facebook User</t>
  </si>
  <si>
    <t>Subscribers</t>
  </si>
  <si>
    <t>Mobile Devices and Connected Technology</t>
  </si>
  <si>
    <t>Active Facebook Users</t>
  </si>
  <si>
    <t>CPG</t>
  </si>
  <si>
    <t>DIY</t>
  </si>
  <si>
    <t>Data For Good</t>
  </si>
  <si>
    <t>Current Affairs - Social Justice</t>
  </si>
  <si>
    <t>Delivery Services and Quick Service Restaurants</t>
  </si>
  <si>
    <t>Direct to Consumer</t>
  </si>
  <si>
    <t>Gaming Equipment</t>
  </si>
  <si>
    <t>Happy at Home</t>
  </si>
  <si>
    <t>Home Cooking</t>
  </si>
  <si>
    <t>Home Entertaining</t>
  </si>
  <si>
    <t>Home Learning</t>
  </si>
  <si>
    <t>Internet Connection</t>
  </si>
  <si>
    <t>Natural Disasters</t>
  </si>
  <si>
    <t>Online Retailers</t>
  </si>
  <si>
    <t>Personal Budgeting</t>
  </si>
  <si>
    <t>Pet Adoption</t>
  </si>
  <si>
    <t>Streaming Services</t>
  </si>
  <si>
    <t>Telehealth</t>
  </si>
  <si>
    <t>Trending TV Shows</t>
  </si>
  <si>
    <t>Virtual Events</t>
  </si>
  <si>
    <t>Work from Home</t>
  </si>
  <si>
    <t>Q2 Graduation Gift Shoppers</t>
  </si>
  <si>
    <t>Q3 Casual Dining Restaurant Goers</t>
  </si>
  <si>
    <t>Q3 Fashion Shoppers</t>
  </si>
  <si>
    <t>Q3 Gardening Shoppers</t>
  </si>
  <si>
    <t>Q3 Home Entertainers</t>
  </si>
  <si>
    <t>Activity</t>
  </si>
  <si>
    <t>Ski Travelers</t>
  </si>
  <si>
    <t>Air Travel</t>
  </si>
  <si>
    <t>Airport Parking and Transportation</t>
  </si>
  <si>
    <t>Bus and Rail</t>
  </si>
  <si>
    <t>Car Rental and Taxi Services</t>
  </si>
  <si>
    <t>Car Rentals</t>
  </si>
  <si>
    <t>Hertz</t>
  </si>
  <si>
    <t>Carpooling and Vehicle Sharing</t>
  </si>
  <si>
    <t>Cruises and Charters</t>
  </si>
  <si>
    <t>Destination</t>
  </si>
  <si>
    <t>Frequent Travelers</t>
  </si>
  <si>
    <t>Hotels and Accommodations</t>
  </si>
  <si>
    <t>Africa</t>
  </si>
  <si>
    <t>Europe</t>
  </si>
  <si>
    <t>Latin America</t>
  </si>
  <si>
    <t>North America</t>
  </si>
  <si>
    <t>Hotels and Lodging</t>
  </si>
  <si>
    <t>Likely Business Travel</t>
  </si>
  <si>
    <t>0 Nights</t>
  </si>
  <si>
    <t>Specialty Travel</t>
  </si>
  <si>
    <t>Adventure Travel</t>
  </si>
  <si>
    <t>Agritourism</t>
  </si>
  <si>
    <t>Tourist Destinations</t>
  </si>
  <si>
    <t>Beaches and Islands</t>
  </si>
  <si>
    <t>Historical Sites and Buildings</t>
  </si>
  <si>
    <t>Lakes and Rivers</t>
  </si>
  <si>
    <t>Mountain and Ski Resorts</t>
  </si>
  <si>
    <t>Regional Parks and Gardens</t>
  </si>
  <si>
    <t>Theme Parks</t>
  </si>
  <si>
    <t>Zoos-Aquariums-Preserves</t>
  </si>
  <si>
    <t>Travel Agencies and Services</t>
  </si>
  <si>
    <t>Tourist Boards and Visitor Centers</t>
  </si>
  <si>
    <t>Travel Guides and Travelogues</t>
  </si>
  <si>
    <t>Vacation Rentals</t>
  </si>
  <si>
    <t>HomeAway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</si>
</sst>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&quot;$&quot;#,##0.00"/>
    <numFmt numFmtId="167" formatCode="\$#,##0.00;\(\$#,##0.00\);\$#,##0.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1F4E79"/>
      <name val="Calibri"/>
      <family val="2"/>
      <scheme val="minor"/>
    </font>
    <font>
      <i/>
      <sz val="10"/>
      <color rgb="FF666666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2" applyFont="1"/>
    <xf numFmtId="164" fontId="0" fillId="0" borderId="0" xfId="1" applyNumberFormat="1" applyFont="1"/>
    <xf numFmtId="165" fontId="0" fillId="0" borderId="0" xfId="0" applyNumberFormat="1"/>
    <xf numFmtId="44" fontId="0" fillId="0" borderId="0" xfId="0" applyNumberFormat="1"/>
    <xf numFmtId="0" fontId="0" fillId="0" borderId="0" xfId="0" applyAlignment="1">
      <alignment horizontal="center" vertical="center" wrapText="1"/>
    </xf>
    <xf numFmtId="0" fontId="4" fillId="0" borderId="0" xfId="0" applyFont="1"/>
    <xf numFmtId="0" fontId="3" fillId="0" borderId="0" xfId="0" applyFont="1"/>
    <xf numFmtId="0" fontId="5" fillId="0" borderId="0" xfId="0" applyFont="1"/>
    <xf numFmtId="3" fontId="0" fillId="2" borderId="0" xfId="0" applyNumberFormat="1" applyFill="1"/>
    <xf numFmtId="166" fontId="0" fillId="2" borderId="0" xfId="0" applyNumberFormat="1" applyFill="1"/>
    <xf numFmtId="10" fontId="0" fillId="2" borderId="0" xfId="0" applyNumberFormat="1" applyFill="1"/>
    <xf numFmtId="3" fontId="0" fillId="0" borderId="1" xfId="0" applyNumberFormat="1" applyBorder="1"/>
    <xf numFmtId="166" fontId="0" fillId="0" borderId="1" xfId="0" applyNumberFormat="1" applyBorder="1"/>
    <xf numFmtId="0" fontId="6" fillId="3" borderId="1" xfId="0" applyFont="1" applyFill="1" applyBorder="1"/>
    <xf numFmtId="0" fontId="0" fillId="0" borderId="1" xfId="0" applyBorder="1"/>
    <xf numFmtId="10" fontId="0" fillId="0" borderId="1" xfId="0" applyNumberFormat="1" applyBorder="1"/>
    <xf numFmtId="0" fontId="6" fillId="4" borderId="1" xfId="0" applyFont="1" applyFill="1" applyBorder="1"/>
    <xf numFmtId="0" fontId="6" fillId="5" borderId="1" xfId="0" applyFont="1" applyFill="1" applyBorder="1"/>
    <xf numFmtId="0" fontId="6" fillId="6" borderId="1" xfId="0" applyFont="1" applyFill="1" applyBorder="1"/>
    <xf numFmtId="0" fontId="6" fillId="7" borderId="1" xfId="0" applyFont="1" applyFill="1" applyBorder="1"/>
    <xf numFmtId="0" fontId="6" fillId="8" borderId="1" xfId="0" applyFont="1" applyFill="1" applyBorder="1"/>
    <xf numFmtId="0" fontId="0" fillId="9" borderId="1" xfId="0" applyFill="1" applyBorder="1"/>
    <xf numFmtId="3" fontId="0" fillId="9" borderId="1" xfId="0" applyNumberFormat="1" applyFill="1" applyBorder="1"/>
    <xf numFmtId="166" fontId="0" fillId="9" borderId="1" xfId="0" applyNumberFormat="1" applyFill="1" applyBorder="1"/>
    <xf numFmtId="10" fontId="0" fillId="9" borderId="1" xfId="0" applyNumberFormat="1" applyFill="1" applyBorder="1"/>
    <xf numFmtId="0" fontId="0" fillId="10" borderId="1" xfId="0" applyFill="1" applyBorder="1"/>
    <xf numFmtId="3" fontId="0" fillId="10" borderId="1" xfId="0" applyNumberFormat="1" applyFill="1" applyBorder="1"/>
    <xf numFmtId="166" fontId="0" fillId="10" borderId="1" xfId="0" applyNumberFormat="1" applyFill="1" applyBorder="1"/>
    <xf numFmtId="0" fontId="7" fillId="0" borderId="0" xfId="0" applyFont="1"/>
    <xf numFmtId="0" fontId="8" fillId="0" borderId="0" xfId="0" applyFont="1"/>
    <xf numFmtId="0" fontId="0" fillId="0" borderId="0" xfId="0" pivotButton="1"/>
    <xf numFmtId="167" fontId="0" fillId="0" borderId="0" xfId="0" applyNumberFormat="1"/>
    <xf numFmtId="0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wrapText="1"/>
    </dxf>
    <dxf>
      <alignment horizontal="center"/>
    </dxf>
    <dxf>
      <alignment vertical="center"/>
    </dxf>
  </dxfs>
  <tableStyles count="1" defaultTableStyle="TableStyleMedium2" defaultPivotStyle="PivotStyleLight16">
    <tableStyle name="Invisible" pivot="0" table="0" count="0" xr9:uid="{B25BCE03-7431-4FDC-95A1-C0BEE24A7F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Impressions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Dashboard'!$B$12</c:f>
              <c:strCache>
                <c:ptCount val="1"/>
                <c:pt idx="0">
                  <c:v>Impressions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Dashboard'!$A$13:$A$22</c:f>
              <c:strCache>
                <c:ptCount val="10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Tennessee</c:v>
                </c:pt>
                <c:pt idx="5">
                  <c:v>Michigan</c:v>
                </c:pt>
                <c:pt idx="6">
                  <c:v>Indiana</c:v>
                </c:pt>
                <c:pt idx="7">
                  <c:v>Georgia</c:v>
                </c:pt>
                <c:pt idx="8">
                  <c:v>Alabama</c:v>
                </c:pt>
                <c:pt idx="9">
                  <c:v>Ohio</c:v>
                </c:pt>
              </c:strCache>
            </c:strRef>
          </c:cat>
          <c:val>
            <c:numRef>
              <c:f>'Summary Dashboard'!$B$13:$B$22</c:f>
              <c:numCache>
                <c:formatCode>#,##0</c:formatCode>
                <c:ptCount val="10"/>
                <c:pt idx="0">
                  <c:v>20155086</c:v>
                </c:pt>
                <c:pt idx="1">
                  <c:v>12361492</c:v>
                </c:pt>
                <c:pt idx="2">
                  <c:v>27857546</c:v>
                </c:pt>
                <c:pt idx="3">
                  <c:v>12389658</c:v>
                </c:pt>
                <c:pt idx="4">
                  <c:v>6235010</c:v>
                </c:pt>
                <c:pt idx="5">
                  <c:v>2424081</c:v>
                </c:pt>
                <c:pt idx="6">
                  <c:v>1901207</c:v>
                </c:pt>
                <c:pt idx="7">
                  <c:v>724339</c:v>
                </c:pt>
                <c:pt idx="8">
                  <c:v>183819</c:v>
                </c:pt>
                <c:pt idx="9">
                  <c:v>256526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E4-4EA7-9C8D-BABB29933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9965728"/>
        <c:axId val="630594112"/>
      </c:barChart>
      <c:catAx>
        <c:axId val="46996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594112"/>
        <c:crosses val="autoZero"/>
        <c:auto val="1"/>
        <c:lblAlgn val="ctr"/>
        <c:lblOffset val="100"/>
        <c:noMultiLvlLbl val="0"/>
      </c:catAx>
      <c:valAx>
        <c:axId val="63059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96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8F9FA"/>
    </a:solidFill>
    <a:ln w="9525" cap="flat" cmpd="sng" algn="ctr">
      <a:solidFill>
        <a:srgbClr val="D0D0D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Impressions by Device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'Summary Dashboard'!$B$26</c:f>
              <c:strCache>
                <c:ptCount val="1"/>
                <c:pt idx="0">
                  <c:v>Impressions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3E-4511-BFB9-12BFA8BE9B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3E-4511-BFB9-12BFA8BE9B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53E-4511-BFB9-12BFA8BE9B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'Summary Dashboard'!$A$27:$A$29</c:f>
              <c:strCache>
                <c:ptCount val="3"/>
                <c:pt idx="0">
                  <c:v>Smartphone</c:v>
                </c:pt>
                <c:pt idx="1">
                  <c:v>Windows PC</c:v>
                </c:pt>
                <c:pt idx="2">
                  <c:v>Apple PC</c:v>
                </c:pt>
              </c:strCache>
            </c:strRef>
          </c:cat>
          <c:val>
            <c:numRef>
              <c:f>'Summary Dashboard'!$B$27:$B$29</c:f>
              <c:numCache>
                <c:formatCode>#,##0</c:formatCode>
                <c:ptCount val="3"/>
                <c:pt idx="0">
                  <c:v>78213490</c:v>
                </c:pt>
                <c:pt idx="1">
                  <c:v>4686681</c:v>
                </c:pt>
                <c:pt idx="2">
                  <c:v>2805143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2-4A9E-8811-D88621E1C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8F9FA"/>
    </a:solidFill>
    <a:ln w="9525" cap="flat" cmpd="sng" algn="ctr">
      <a:solidFill>
        <a:srgbClr val="D0D0D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Impressions by Audience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'Summary Dashboard'!$I$4</c:f>
              <c:strCache>
                <c:ptCount val="1"/>
                <c:pt idx="0">
                  <c:v>Impressions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Dashboard'!$H$5:$H$14</c:f>
              <c:strCache>
                <c:ptCount val="10"/>
                <c:pt idx="0">
                  <c:v>Automotive</c:v>
                </c:pt>
                <c:pt idx="1">
                  <c:v>Beauty and Fitness</c:v>
                </c:pt>
                <c:pt idx="2">
                  <c:v>B2B</c:v>
                </c:pt>
                <c:pt idx="3">
                  <c:v>Brand Propensities</c:v>
                </c:pt>
                <c:pt idx="4">
                  <c:v>Arts and Entertainment</c:v>
                </c:pt>
                <c:pt idx="5">
                  <c:v>Finance</c:v>
                </c:pt>
                <c:pt idx="6">
                  <c:v>Demographics</c:v>
                </c:pt>
                <c:pt idx="7">
                  <c:v>Food</c:v>
                </c:pt>
                <c:pt idx="8">
                  <c:v>Home and Garden</c:v>
                </c:pt>
                <c:pt idx="9">
                  <c:v>Media and Entertainment</c:v>
                </c:pt>
              </c:strCache>
            </c:strRef>
          </c:cat>
          <c:val>
            <c:numRef>
              <c:f>'Summary Dashboard'!$I$5:$I$14</c:f>
              <c:numCache>
                <c:formatCode>#,##0</c:formatCode>
                <c:ptCount val="10"/>
                <c:pt idx="0">
                  <c:v>12709966</c:v>
                </c:pt>
                <c:pt idx="1">
                  <c:v>4609241</c:v>
                </c:pt>
                <c:pt idx="2">
                  <c:v>2617549</c:v>
                </c:pt>
                <c:pt idx="3">
                  <c:v>4191580</c:v>
                </c:pt>
                <c:pt idx="4">
                  <c:v>1279283</c:v>
                </c:pt>
                <c:pt idx="5">
                  <c:v>13200810</c:v>
                </c:pt>
                <c:pt idx="6">
                  <c:v>886174</c:v>
                </c:pt>
                <c:pt idx="7">
                  <c:v>1981212</c:v>
                </c:pt>
                <c:pt idx="8">
                  <c:v>281692</c:v>
                </c:pt>
                <c:pt idx="9">
                  <c:v>2705224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C3-42F5-BA04-3356A388B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3799584"/>
        <c:axId val="983800064"/>
      </c:barChart>
      <c:catAx>
        <c:axId val="983799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800064"/>
        <c:crosses val="autoZero"/>
        <c:auto val="1"/>
        <c:lblAlgn val="ctr"/>
        <c:lblOffset val="100"/>
        <c:noMultiLvlLbl val="0"/>
      </c:catAx>
      <c:valAx>
        <c:axId val="983800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79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8F9FA"/>
    </a:solidFill>
    <a:ln w="9525" cap="flat" cmpd="sng" algn="ctr">
      <a:solidFill>
        <a:srgbClr val="D0D0D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Impressions by Ad Exchange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'Summary Dashboard'!$I$18</c:f>
              <c:strCache>
                <c:ptCount val="1"/>
                <c:pt idx="0">
                  <c:v>Impressions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Dashboard'!$H$19:$H$24</c:f>
              <c:strCache>
                <c:ptCount val="6"/>
                <c:pt idx="0">
                  <c:v>Google Ad Manager</c:v>
                </c:pt>
                <c:pt idx="1">
                  <c:v>BidSwitch</c:v>
                </c:pt>
                <c:pt idx="2">
                  <c:v>PubMatic</c:v>
                </c:pt>
                <c:pt idx="3">
                  <c:v>Magnite DV+</c:v>
                </c:pt>
                <c:pt idx="4">
                  <c:v>Index Exchange</c:v>
                </c:pt>
                <c:pt idx="5">
                  <c:v>OpenX</c:v>
                </c:pt>
              </c:strCache>
            </c:strRef>
          </c:cat>
          <c:val>
            <c:numRef>
              <c:f>'Summary Dashboard'!$I$19:$I$24</c:f>
              <c:numCache>
                <c:formatCode>#,##0</c:formatCode>
                <c:ptCount val="6"/>
                <c:pt idx="0">
                  <c:v>34342307</c:v>
                </c:pt>
                <c:pt idx="1">
                  <c:v>8708607</c:v>
                </c:pt>
                <c:pt idx="2">
                  <c:v>13445406</c:v>
                </c:pt>
                <c:pt idx="3">
                  <c:v>8362480</c:v>
                </c:pt>
                <c:pt idx="4">
                  <c:v>3682064</c:v>
                </c:pt>
                <c:pt idx="5">
                  <c:v>4462460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C1-49EF-A36C-626019F7E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7847168"/>
        <c:axId val="717847648"/>
      </c:barChart>
      <c:catAx>
        <c:axId val="717847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847648"/>
        <c:crosses val="autoZero"/>
        <c:auto val="1"/>
        <c:lblAlgn val="ctr"/>
        <c:lblOffset val="100"/>
        <c:noMultiLvlLbl val="0"/>
      </c:catAx>
      <c:valAx>
        <c:axId val="71784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84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8F9FA"/>
    </a:solidFill>
    <a:ln w="9525" cap="flat" cmpd="sng" algn="ctr">
      <a:solidFill>
        <a:srgbClr val="D0D0D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6</xdr:col>
      <xdr:colOff>0</xdr:colOff>
      <xdr:row>50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8F1B97-551D-76FB-E7D1-68A261ABFE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12</xdr:col>
      <xdr:colOff>0</xdr:colOff>
      <xdr:row>50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2ED193-AE54-EE8F-D7A0-B953D82F4AE7}"/>
            </a:ext>
            <a:ext uri="{147F2762-F138-4A5C-976F-8EAC2B608ADB}">
              <a16:predDERef xmlns:a16="http://schemas.microsoft.com/office/drawing/2014/main" pred="{C28F1B97-551D-76FB-E7D1-68A261ABFE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51</xdr:row>
      <xdr:rowOff>0</xdr:rowOff>
    </xdr:from>
    <xdr:to>
      <xdr:col>6</xdr:col>
      <xdr:colOff>0</xdr:colOff>
      <xdr:row>72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D9ECEB-662B-1588-759E-603F20344AA4}"/>
            </a:ext>
            <a:ext uri="{147F2762-F138-4A5C-976F-8EAC2B608ADB}">
              <a16:predDERef xmlns:a16="http://schemas.microsoft.com/office/drawing/2014/main" pred="{252ED193-AE54-EE8F-D7A0-B953D82F4A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51</xdr:row>
      <xdr:rowOff>0</xdr:rowOff>
    </xdr:from>
    <xdr:to>
      <xdr:col>12</xdr:col>
      <xdr:colOff>0</xdr:colOff>
      <xdr:row>72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B9EAF4-E01E-B25F-020A-DACB5E02C4CE}"/>
            </a:ext>
            <a:ext uri="{147F2762-F138-4A5C-976F-8EAC2B608ADB}">
              <a16:predDERef xmlns:a16="http://schemas.microsoft.com/office/drawing/2014/main" pred="{D5D9ECEB-662B-1588-759E-603F20344A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vgeni Reshetnikov" id="{ABFC6D34-5665-48B2-913E-EBD973000788}" userId="b930fc9293bde7e5" providerId="Windows Live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vgeni Resh" refreshedDate="46153.85347800926" backgroundQuery="1" createdVersion="8" refreshedVersion="8" minRefreshableVersion="3" recordCount="0" supportSubquery="1" supportAdvancedDrill="1" xr:uid="{56ABCC58-C837-450F-8AE2-607D90B4B833}">
  <cacheSource type="external" connectionId="2"/>
  <cacheFields count="9">
    <cacheField name="[PBL_DA_CAPSTONE_DATA].[Audience Segment].[Audience Segment]" caption="Audience Segment" numFmtId="0" level="1">
      <sharedItems count="65">
        <s v="Arts and Entertainment"/>
        <s v="Automotive"/>
        <s v="B2B"/>
        <s v="Beauty and Fitness"/>
        <s v="Brand Propensities"/>
        <s v="Buying Channel Preference"/>
        <s v="Composite Segment"/>
        <s v="Connected Impulse-Shopper Audience"/>
        <s v="Demographics"/>
        <s v="Demographics Validated"/>
        <s v="Demos"/>
        <s v="Device Ownership"/>
        <s v="Entertainment and Pastimes"/>
        <s v="Finance"/>
        <s v="Financially in Charge"/>
        <s v="Food"/>
        <s v="Gamers"/>
        <s v="Games"/>
        <s v="Green Consumer Audience"/>
        <s v="Health and Fitness"/>
        <s v="Health and Wellbeing"/>
        <s v="Hobbies and Leisure"/>
        <s v="Home"/>
        <s v="Home and Garden"/>
        <s v="Home and Garden Interests"/>
        <s v="Home Renovation"/>
        <s v="Interest"/>
        <s v="Interest Propensities"/>
        <s v="Internet and Telecom"/>
        <s v="Jobs and Education"/>
        <s v="Law and Government"/>
        <s v="Life Event"/>
        <s v="Lotame"/>
        <s v="Made In America Audience"/>
        <s v="Mail Order Buyer"/>
        <s v="Media and Entertainment"/>
        <s v="Media Source"/>
        <s v="Mobile Audience"/>
        <s v="Multibuyer Behaviors"/>
        <s v="News"/>
        <s v="OnAudience"/>
        <s v="Online Communities"/>
        <s v="People and Society"/>
        <s v="Premium Entertainment and Pastimes"/>
        <s v="Premium Gender"/>
        <s v="Price-Driven Traditionalist Audience"/>
        <s v="Purchase Behaviors"/>
        <s v="Purchase-Based"/>
        <s v="Quality-First Shopper Audience"/>
        <s v="Reach"/>
        <s v="Real Estate"/>
        <s v="Response Performance"/>
        <s v="Restaurants"/>
        <s v="Retail"/>
        <s v="Rural Improvement Fanatic"/>
        <s v="Shopping"/>
        <s v="Sociodemographic"/>
        <s v="Sports"/>
        <s v="Tech Enthusiasts"/>
        <s v="Technology"/>
        <s v="Telecommunications (Telco)"/>
        <s v="Telecommunications and Mobile Tech"/>
        <s v="The Changing Consumer"/>
        <s v="Transactional"/>
        <s v="Travel"/>
      </sharedItems>
    </cacheField>
    <cacheField name="[Measures].[CPM]" caption="CPM" numFmtId="0" hierarchy="17" level="32767"/>
    <cacheField name="[PBL_DA_CAPSTONE_DATA].[State1].[State1]" caption="State1" numFmtId="0" hierarchy="7" level="1">
      <sharedItems count="15">
        <s v="California"/>
        <s v="Florida"/>
        <s v="Illinois"/>
        <s v="New York"/>
        <s v="Tennessee"/>
        <s v="Alabama"/>
        <s v="Arkansas"/>
        <s v="Georgia"/>
        <s v="Indiana"/>
        <s v="Michigan"/>
        <s v="Mississippi"/>
        <s v="Louisiana"/>
        <s v="Ohio"/>
        <s v="South Carolina"/>
        <s v="Kentucky"/>
      </sharedItems>
    </cacheField>
    <cacheField name="[Measures].[vCPM]" caption="vCPM" numFmtId="0" hierarchy="18" level="32767"/>
    <cacheField name="[Measures].[CPA]" caption="CPA" numFmtId="0" hierarchy="19" level="32767"/>
    <cacheField name="[Measures].[CVR]" caption="CVR" numFmtId="0" hierarchy="20" level="32767"/>
    <cacheField name="[Measures].[CTR]" caption="CTR" numFmtId="0" hierarchy="21" level="32767"/>
    <cacheField name="[Measures].[CPC]" caption="CPC" numFmtId="0" hierarchy="22" level="32767"/>
    <cacheField name="[Measures].[Viewable Rate]" caption="Viewable Rate" numFmtId="0" hierarchy="23" level="32767"/>
  </cacheFields>
  <cacheHierarchies count="28">
    <cacheHierarchy uniqueName="[PBL_DA_CAPSTONE_DATA].[Audience Segment]" caption="Audience Segment" attribute="1" defaultMemberUniqueName="[PBL_DA_CAPSTONE_DATA].[Audience Segment].[All]" allUniqueName="[PBL_DA_CAPSTONE_DATA].[Audience Segment].[All]" dimensionUniqueName="[PBL_DA_CAPSTONE_DATA]" displayFolder="" count="2" memberValueDatatype="130" unbalanced="0">
      <fieldsUsage count="2">
        <fieldUsage x="-1"/>
        <fieldUsage x="0"/>
      </fieldsUsage>
    </cacheHierarchy>
    <cacheHierarchy uniqueName="[PBL_DA_CAPSTONE_DATA].[Category]" caption="Category" attribute="1" defaultMemberUniqueName="[PBL_DA_CAPSTONE_DATA].[Category].[All]" allUniqueName="[PBL_DA_CAPSTONE_DATA].[Category].[All]" dimensionUniqueName="[PBL_DA_CAPSTONE_DATA]" displayFolder="" count="0" memberValueDatatype="130" unbalanced="0"/>
    <cacheHierarchy uniqueName="[PBL_DA_CAPSTONE_DATA].[Sub category]" caption="Sub category" attribute="1" defaultMemberUniqueName="[PBL_DA_CAPSTONE_DATA].[Sub category].[All]" allUniqueName="[PBL_DA_CAPSTONE_DATA].[Sub category].[All]" dimensionUniqueName="[PBL_DA_CAPSTONE_DATA]" displayFolder="" count="0" memberValueDatatype="130" unbalanced="0"/>
    <cacheHierarchy uniqueName="[PBL_DA_CAPSTONE_DATA].[Description]" caption="Description" attribute="1" defaultMemberUniqueName="[PBL_DA_CAPSTONE_DATA].[Description].[All]" allUniqueName="[PBL_DA_CAPSTONE_DATA].[Description].[All]" dimensionUniqueName="[PBL_DA_CAPSTONE_DATA]" displayFolder="" count="0" memberValueDatatype="130" unbalanced="0"/>
    <cacheHierarchy uniqueName="[PBL_DA_CAPSTONE_DATA].[Creative Size]" caption="Creative Size" attribute="1" defaultMemberUniqueName="[PBL_DA_CAPSTONE_DATA].[Creative Size].[All]" allUniqueName="[PBL_DA_CAPSTONE_DATA].[Creative Size].[All]" dimensionUniqueName="[PBL_DA_CAPSTONE_DATA]" displayFolder="" count="0" memberValueDatatype="130" unbalanced="0"/>
    <cacheHierarchy uniqueName="[PBL_DA_CAPSTONE_DATA].[Creative Messaging]" caption="Creative Messaging" attribute="1" defaultMemberUniqueName="[PBL_DA_CAPSTONE_DATA].[Creative Messaging].[All]" allUniqueName="[PBL_DA_CAPSTONE_DATA].[Creative Messaging].[All]" dimensionUniqueName="[PBL_DA_CAPSTONE_DATA]" displayFolder="" count="0" memberValueDatatype="130" unbalanced="0"/>
    <cacheHierarchy uniqueName="[PBL_DA_CAPSTONE_DATA].[City1]" caption="City1" attribute="1" defaultMemberUniqueName="[PBL_DA_CAPSTONE_DATA].[City1].[All]" allUniqueName="[PBL_DA_CAPSTONE_DATA].[City1].[All]" dimensionUniqueName="[PBL_DA_CAPSTONE_DATA]" displayFolder="" count="0" memberValueDatatype="130" unbalanced="0"/>
    <cacheHierarchy uniqueName="[PBL_DA_CAPSTONE_DATA].[State1]" caption="State1" attribute="1" defaultMemberUniqueName="[PBL_DA_CAPSTONE_DATA].[State1].[All]" allUniqueName="[PBL_DA_CAPSTONE_DATA].[State1].[All]" dimensionUniqueName="[PBL_DA_CAPSTONE_DATA]" displayFolder="" count="2" memberValueDatatype="130" unbalanced="0">
      <fieldsUsage count="2">
        <fieldUsage x="-1"/>
        <fieldUsage x="2"/>
      </fieldsUsage>
    </cacheHierarchy>
    <cacheHierarchy uniqueName="[PBL_DA_CAPSTONE_DATA].[App/URL]" caption="App/URL" attribute="1" defaultMemberUniqueName="[PBL_DA_CAPSTONE_DATA].[App/URL].[All]" allUniqueName="[PBL_DA_CAPSTONE_DATA].[App/URL].[All]" dimensionUniqueName="[PBL_DA_CAPSTONE_DATA]" displayFolder="" count="0" memberValueDatatype="130" unbalanced="0"/>
    <cacheHierarchy uniqueName="[PBL_DA_CAPSTONE_DATA].[Exchange]" caption="Exchange" attribute="1" defaultMemberUniqueName="[PBL_DA_CAPSTONE_DATA].[Exchange].[All]" allUniqueName="[PBL_DA_CAPSTONE_DATA].[Exchange].[All]" dimensionUniqueName="[PBL_DA_CAPSTONE_DATA]" displayFolder="" count="0" memberValueDatatype="130" unbalanced="0"/>
    <cacheHierarchy uniqueName="[PBL_DA_CAPSTONE_DATA].[Device Make]" caption="Device Make" attribute="1" defaultMemberUniqueName="[PBL_DA_CAPSTONE_DATA].[Device Make].[All]" allUniqueName="[PBL_DA_CAPSTONE_DATA].[Device Make].[All]" dimensionUniqueName="[PBL_DA_CAPSTONE_DATA]" displayFolder="" count="0" memberValueDatatype="130" unbalanced="0"/>
    <cacheHierarchy uniqueName="[PBL_DA_CAPSTONE_DATA].[Impressions]" caption="Impressions" attribute="1" defaultMemberUniqueName="[PBL_DA_CAPSTONE_DATA].[Impressions].[All]" allUniqueName="[PBL_DA_CAPSTONE_DATA].[Impressions].[All]" dimensionUniqueName="[PBL_DA_CAPSTONE_DATA]" displayFolder="" count="0" memberValueDatatype="20" unbalanced="0"/>
    <cacheHierarchy uniqueName="[PBL_DA_CAPSTONE_DATA].[Clicks]" caption="Clicks" attribute="1" defaultMemberUniqueName="[PBL_DA_CAPSTONE_DATA].[Clicks].[All]" allUniqueName="[PBL_DA_CAPSTONE_DATA].[Clicks].[All]" dimensionUniqueName="[PBL_DA_CAPSTONE_DATA]" displayFolder="" count="0" memberValueDatatype="20" unbalanced="0"/>
    <cacheHierarchy uniqueName="[PBL_DA_CAPSTONE_DATA].[Viewable Impressions]" caption="Viewable Impressions" attribute="1" defaultMemberUniqueName="[PBL_DA_CAPSTONE_DATA].[Viewable Impressions].[All]" allUniqueName="[PBL_DA_CAPSTONE_DATA].[Viewable Impressions].[All]" dimensionUniqueName="[PBL_DA_CAPSTONE_DATA]" displayFolder="" count="0" memberValueDatatype="20" unbalanced="0"/>
    <cacheHierarchy uniqueName="[PBL_DA_CAPSTONE_DATA].[Measurable Impressions]" caption="Measurable Impressions" attribute="1" defaultMemberUniqueName="[PBL_DA_CAPSTONE_DATA].[Measurable Impressions].[All]" allUniqueName="[PBL_DA_CAPSTONE_DATA].[Measurable Impressions].[All]" dimensionUniqueName="[PBL_DA_CAPSTONE_DATA]" displayFolder="" count="0" memberValueDatatype="20" unbalanced="0"/>
    <cacheHierarchy uniqueName="[PBL_DA_CAPSTONE_DATA].[Total Conversions]" caption="Total Conversions" attribute="1" defaultMemberUniqueName="[PBL_DA_CAPSTONE_DATA].[Total Conversions].[All]" allUniqueName="[PBL_DA_CAPSTONE_DATA].[Total Conversions].[All]" dimensionUniqueName="[PBL_DA_CAPSTONE_DATA]" displayFolder="" count="0" memberValueDatatype="20" unbalanced="0"/>
    <cacheHierarchy uniqueName="[PBL_DA_CAPSTONE_DATA].[Gross Cost]" caption="Gross Cost" attribute="1" defaultMemberUniqueName="[PBL_DA_CAPSTONE_DATA].[Gross Cost].[All]" allUniqueName="[PBL_DA_CAPSTONE_DATA].[Gross Cost].[All]" dimensionUniqueName="[PBL_DA_CAPSTONE_DATA]" displayFolder="" count="0" memberValueDatatype="5" unbalanced="0"/>
    <cacheHierarchy uniqueName="[Measures].[CPM]" caption="CPM" measure="1" displayFolder="" measureGroup="PBL_DA_CAPSTONE_DATA" count="0" oneField="1">
      <fieldsUsage count="1">
        <fieldUsage x="1"/>
      </fieldsUsage>
    </cacheHierarchy>
    <cacheHierarchy uniqueName="[Measures].[vCPM]" caption="vCPM" measure="1" displayFolder="" measureGroup="PBL_DA_CAPSTONE_DATA" count="0" oneField="1">
      <fieldsUsage count="1">
        <fieldUsage x="3"/>
      </fieldsUsage>
    </cacheHierarchy>
    <cacheHierarchy uniqueName="[Measures].[CPA]" caption="CPA" measure="1" displayFolder="" measureGroup="PBL_DA_CAPSTONE_DATA" count="0" oneField="1">
      <fieldsUsage count="1">
        <fieldUsage x="4"/>
      </fieldsUsage>
    </cacheHierarchy>
    <cacheHierarchy uniqueName="[Measures].[CVR]" caption="CVR" measure="1" displayFolder="" measureGroup="PBL_DA_CAPSTONE_DATA" count="0" oneField="1">
      <fieldsUsage count="1">
        <fieldUsage x="5"/>
      </fieldsUsage>
    </cacheHierarchy>
    <cacheHierarchy uniqueName="[Measures].[CTR]" caption="CTR" measure="1" displayFolder="" measureGroup="PBL_DA_CAPSTONE_DATA" count="0" oneField="1">
      <fieldsUsage count="1">
        <fieldUsage x="6"/>
      </fieldsUsage>
    </cacheHierarchy>
    <cacheHierarchy uniqueName="[Measures].[CPC]" caption="CPC" measure="1" displayFolder="" measureGroup="PBL_DA_CAPSTONE_DATA" count="0" oneField="1">
      <fieldsUsage count="1">
        <fieldUsage x="7"/>
      </fieldsUsage>
    </cacheHierarchy>
    <cacheHierarchy uniqueName="[Measures].[Viewable Rate]" caption="Viewable Rate" measure="1" displayFolder="" measureGroup="PBL_DA_CAPSTONE_DATA" count="0" oneField="1">
      <fieldsUsage count="1">
        <fieldUsage x="8"/>
      </fieldsUsage>
    </cacheHierarchy>
    <cacheHierarchy uniqueName="[Measures].[__XL_Count PBL_DA_CAPSTONE_DATA]" caption="__XL_Count PBL_DA_CAPSTONE_DATA" measure="1" displayFolder="" measureGroup="PBL_DA_CAPSTONE_DATA" count="0" hidden="1"/>
    <cacheHierarchy uniqueName="[Measures].[__No measures defined]" caption="__No measures defined" measure="1" displayFolder="" count="0" hidden="1"/>
    <cacheHierarchy uniqueName="[Measures].[Sum of Viewable Impressions]" caption="Sum of Viewable Impressions" measure="1" displayFolder="" measureGroup="PBL_DA_CAPSTONE_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Measurable Impressions]" caption="Sum of Measurable Impressions" measure="1" displayFolder="" measureGroup="PBL_DA_CAPSTONE_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PBL_DA_CAPSTONE_DATA" uniqueName="[PBL_DA_CAPSTONE_DATA]" caption="PBL_DA_CAPSTONE_DATA"/>
  </dimensions>
  <measureGroups count="1">
    <measureGroup name="PBL_DA_CAPSTONE_DATA" caption="PBL_DA_CAPSTONE_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edric Centers" refreshedDate="46155.860643981483" backgroundQuery="1" createdVersion="8" refreshedVersion="8" minRefreshableVersion="3" recordCount="0" supportSubquery="1" supportAdvancedDrill="1" xr:uid="{E1EC1D8F-320A-4421-9C47-7597DA5CBE88}">
  <cacheSource type="external" connectionId="2"/>
  <cacheFields count="12">
    <cacheField name="[PBL_DA_CAPSTONE_DATA].[Audience Segment].[Audience Segment]" caption="Audience Segment" numFmtId="0" level="1">
      <sharedItems count="65">
        <s v="Arts and Entertainment"/>
        <s v="Automotive"/>
        <s v="B2B"/>
        <s v="Beauty and Fitness"/>
        <s v="Brand Propensities"/>
        <s v="Buying Channel Preference"/>
        <s v="Composite Segment"/>
        <s v="Connected Impulse-Shopper Audience"/>
        <s v="Demographics"/>
        <s v="Demographics Validated"/>
        <s v="Demos"/>
        <s v="Device Ownership"/>
        <s v="Entertainment and Pastimes"/>
        <s v="Finance"/>
        <s v="Financially in Charge"/>
        <s v="Food"/>
        <s v="Gamers"/>
        <s v="Games"/>
        <s v="Green Consumer Audience"/>
        <s v="Health and Fitness"/>
        <s v="Health and Wellbeing"/>
        <s v="Hobbies and Leisure"/>
        <s v="Home"/>
        <s v="Home and Garden"/>
        <s v="Home and Garden Interests"/>
        <s v="Home Renovation"/>
        <s v="Interest"/>
        <s v="Interest Propensities"/>
        <s v="Internet and Telecom"/>
        <s v="Jobs and Education"/>
        <s v="Law and Government"/>
        <s v="Life Event"/>
        <s v="Lotame"/>
        <s v="Made In America Audience"/>
        <s v="Mail Order Buyer"/>
        <s v="Media and Entertainment"/>
        <s v="Media Source"/>
        <s v="Mobile Audience"/>
        <s v="Multibuyer Behaviors"/>
        <s v="News"/>
        <s v="OnAudience"/>
        <s v="Online Communities"/>
        <s v="People and Society"/>
        <s v="Premium Entertainment and Pastimes"/>
        <s v="Premium Gender"/>
        <s v="Price-Driven Traditionalist Audience"/>
        <s v="Purchase Behaviors"/>
        <s v="Purchase-Based"/>
        <s v="Quality-First Shopper Audience"/>
        <s v="Reach"/>
        <s v="Real Estate"/>
        <s v="Response Performance"/>
        <s v="Restaurants"/>
        <s v="Retail"/>
        <s v="Rural Improvement Fanatic"/>
        <s v="Shopping"/>
        <s v="Sociodemographic"/>
        <s v="Sports"/>
        <s v="Tech Enthusiasts"/>
        <s v="Technology"/>
        <s v="Telecommunications (Telco)"/>
        <s v="Telecommunications and Mobile Tech"/>
        <s v="The Changing Consumer"/>
        <s v="Transactional"/>
        <s v="Travel"/>
      </sharedItems>
    </cacheField>
    <cacheField name="[Measures].[CPM]" caption="CPM" numFmtId="0" hierarchy="17" level="32767"/>
    <cacheField name="[Measures].[vCPM]" caption="vCPM" numFmtId="0" hierarchy="18" level="32767"/>
    <cacheField name="[Measures].[CPA]" caption="CPA" numFmtId="0" hierarchy="19" level="32767"/>
    <cacheField name="[Measures].[CVR]" caption="CVR" numFmtId="0" hierarchy="20" level="32767"/>
    <cacheField name="[Measures].[CTR]" caption="CTR" numFmtId="0" hierarchy="21" level="32767"/>
    <cacheField name="[Measures].[CPC]" caption="CPC" numFmtId="0" hierarchy="22" level="32767"/>
    <cacheField name="[Measures].[Viewable Rate]" caption="Viewable Rate" numFmtId="0" hierarchy="23" level="32767"/>
    <cacheField name="[PBL_DA_CAPSTONE_DATA].[Exchange].[Exchange]" caption="Exchange" numFmtId="0" hierarchy="9" level="1">
      <sharedItems count="17">
        <s v="BidSwitch"/>
        <s v="Google Ad Manager"/>
        <s v="GumGum"/>
        <s v="Index Exchange"/>
        <s v="Kargo"/>
        <s v="Magnite DV+"/>
        <s v="OpenX"/>
        <s v="PubMatic"/>
        <s v="PulsePoint"/>
        <s v="Sharethrough"/>
        <s v="Smart RTB+ (Smartadserver)"/>
        <s v="Sovrn"/>
        <s v="Taboola"/>
        <s v="TripleLift"/>
        <s v="Xandr - Monetize SSP (AppNexus)"/>
        <s v="Yahoo Exchange"/>
        <s v="Yieldmo"/>
      </sharedItems>
    </cacheField>
    <cacheField name="[PBL_DA_CAPSTONE_DATA].[App/URL].[App/URL]" caption="App/URL" numFmtId="0" hierarchy="8" level="1">
      <sharedItems count="235">
        <s v="accuweather.com"/>
        <s v="activebeat.com"/>
        <s v="apnews.com"/>
        <s v="att.yahoo.com"/>
        <s v="autotrader.com"/>
        <s v="baseball.fantasysports.yahoo.com"/>
        <s v="bbc.com"/>
        <s v="bestbuy.com"/>
        <s v="boattrader.com"/>
        <s v="cars.com"/>
        <s v="cbsnews.com"/>
        <s v="cnet.com"/>
        <s v="dafont.com"/>
        <s v="dictionary.com"/>
        <s v="dmv.org"/>
        <s v="drugs.com"/>
        <s v="ebay.com"/>
        <s v="essentiallysports.com"/>
        <s v="femanin.com"/>
        <s v="findagrave.com"/>
        <s v="firstcoastnews.com"/>
        <s v="forbes.com"/>
        <s v="foxnews.com"/>
        <s v="gameofglam.com"/>
        <s v="gamespot.com"/>
        <s v="geeksforgeeks.org"/>
        <s v="greatschools.org"/>
        <s v="historyallday.com"/>
        <s v="homeaddict.io"/>
        <s v="houseplans.net"/>
        <s v="investopedia.com"/>
        <s v="kbb.com"/>
        <s v="livescience.com"/>
        <s v="m.timesofindia.com"/>
        <s v="mail.aol.com"/>
        <s v="mail.yahoo.com"/>
        <s v="medicalnewstoday.com"/>
        <s v="merriam-webster.com/dictionary"/>
        <s v="mlb.com"/>
        <s v="msn.com"/>
        <s v="my.yahoo.com"/>
        <s v="nbcdfw.com"/>
        <s v="nbcnews.com"/>
        <s v="news.yahoo.com"/>
        <s v="outlook.live.com"/>
        <s v="politico.com"/>
        <s v="ranker.com"/>
        <s v="realtor.com"/>
        <s v="rent.com"/>
        <s v="sciencealert.com"/>
        <s v="screenrant.com"/>
        <s v="signupgenius.com"/>
        <s v="slickdeals.net"/>
        <s v="sports.yahoo.com"/>
        <s v="tastesbetterfromscratch.com"/>
        <s v="thebigmansworld.com"/>
        <s v="thefinancechatter.com"/>
        <s v="thegamer.com"/>
        <s v="thesaurus.com"/>
        <s v="travelerdreams.com"/>
        <s v="usatoday.com"/>
        <s v="uscellular.com"/>
        <s v="w3schools.com"/>
        <s v="weather.com"/>
        <s v="whatismyipaddress.com"/>
        <s v="wikihow.com"/>
        <s v="womenshealthmag.com"/>
        <s v="wsvn.com"/>
        <s v="yahoo.com"/>
        <s v="zdnet.com"/>
        <s v="zillow.com"/>
        <s v="abcnews.go.com"/>
        <s v="ajc.com"/>
        <s v="allrecipes.com"/>
        <s v="aol.com"/>
        <s v="behindthevoiceactors.com"/>
        <s v="biblegateway.com"/>
        <s v="biblestudytools.com"/>
        <s v="billboard.com"/>
        <s v="bridesblush.com"/>
        <s v="britannica.com"/>
        <s v="businessinsider.com"/>
        <s v="calculator.net"/>
        <s v="cbssports.com"/>
        <s v="cheapoair.com"/>
        <s v="cheezburger.com"/>
        <s v="chicagotribune.com"/>
        <s v="chocolatecoveredkatie.com"/>
        <s v="citationmachine.net"/>
        <s v="classmates.com"/>
        <s v="clutchpoints.com"/>
        <s v="cnbc.com"/>
        <s v="cnn.com"/>
        <s v="commercialappeal.com"/>
        <s v="culinaryhill.com"/>
        <s v="culturess.com"/>
        <s v="dailybee.com"/>
        <s v="dailydot.com"/>
        <s v="dailymail.co.uk/news"/>
        <s v="dailymail.co.uk/tvshowbiz"/>
        <s v="dinneratthezoo.com"/>
        <s v="doodle.com"/>
        <s v="editorsnation.com"/>
        <s v="eenadu.net"/>
        <s v="eonline.com"/>
        <s v="espn.com"/>
        <s v="evite.com"/>
        <s v="fandom.com"/>
        <s v="fandomwire.com"/>
        <s v="finance.yahoo.com"/>
        <s v="finviz.com"/>
        <s v="flightaware.com"/>
        <s v="fortune.com"/>
        <s v="fox59.com"/>
        <s v="foxbusiness.com"/>
        <s v="funnyand.com"/>
        <s v="gamerant.com"/>
        <s v="gamingbible.com"/>
        <s v="greedyfinance.com"/>
        <s v="health.usnews.com"/>
        <s v="healthline.com"/>
        <s v="hindustantimes.com"/>
        <s v="historycollection.com"/>
        <s v="homehacks.co"/>
        <s v="icy-veins.com"/>
        <s v="iflscience.com"/>
        <s v="ign.com"/>
        <s v="insider.com"/>
        <s v="investing.com"/>
        <s v="jdpower.com"/>
        <s v="macrumors.com"/>
        <s v="marca.com"/>
        <s v="maxroll.gg"/>
        <s v="miamiherald.com"/>
        <s v="milb.com"/>
        <s v="mobileposse.com"/>
        <s v="my.earthlink.net"/>
        <s v="mydailymagazine.com"/>
        <s v="nba.com"/>
        <s v="nbcchicago.com"/>
        <s v="nbcmiami.com"/>
        <s v="newsmemory.com"/>
        <s v="nypost.com"/>
        <s v="nytimes.com"/>
        <s v="omnicalculator.com"/>
        <s v="pandora.com"/>
        <s v="people.com"/>
        <s v="poshland.com"/>
        <s v="reference.com"/>
        <s v="rollingstone.com"/>
        <s v="rvtrader.com"/>
        <s v="sallysbakingaddiction.com"/>
        <s v="seedsgames.com"/>
        <s v="shareably.net"/>
        <s v="soaps.sheknows.com"/>
        <s v="streetinsider.com"/>
        <s v="tasteofhome.com"/>
        <s v="techradar.com"/>
        <s v="thesaltymarshmallow.com"/>
        <s v="the-sun.com"/>
        <s v="timeanddate.com"/>
        <s v="todaysnyc.com"/>
        <s v="tomsguide.com"/>
        <s v="usssa.com"/>
        <s v="webmd.com"/>
        <s v="wordunscrambler.me"/>
        <s v="wsj.com"/>
        <s v="wsmv.com"/>
        <s v="yellowpages.com"/>
        <s v="yourdailysportfix.com"/>
        <s v="yourroyals.com"/>
        <s v="phys.org"/>
        <s v="sporcle.com"/>
        <s v="cargurus.com"/>
        <s v="doctoreport.com"/>
        <s v="mapquest.com"/>
        <s v="mayoclinic.org"/>
        <s v="nbcsports.com"/>
        <s v="scitechdaily.com"/>
        <s v="sportpirate.com"/>
        <s v="therighthairstyles.com"/>
        <s v="topclassactions.com"/>
        <s v="factable.com"/>
        <s v="factinate.com"/>
        <s v="insidethemagic.net"/>
        <s v="lotterypost.com"/>
        <s v="microsoftcasualgames.com"/>
        <s v="onechicagocenter.com"/>
        <s v="reuters.com"/>
        <s v="thekrazycouponlady.com"/>
        <s v="wizofawes.com"/>
        <s v="alotfinance.com"/>
        <s v="a-z-animals.com"/>
        <s v="bleacherbreaker.com"/>
        <s v="daily-choices.com"/>
        <s v="dexerto.com"/>
        <s v="investmentguru.com"/>
        <s v="kiplinger.com"/>
        <s v="redfin.com"/>
        <s v="sciencesensei.com"/>
        <s v="semana.com"/>
        <s v="wunderground.com"/>
        <s v="al.com"/>
        <s v="androidauthority.com"/>
        <s v="carscoops.com"/>
        <s v="motor-junkie.com"/>
        <s v="myfitnesspal.com"/>
        <s v="nsfas-applications.co.za"/>
        <s v="sneakertoast.com"/>
        <s v="thehulltruth.com"/>
        <s v="upworthy.com"/>
        <s v="usnews.com"/>
        <s v="yachtworld.com"/>
        <s v="zone.msn.com"/>
        <s v="heraldweekly.com"/>
        <s v="boxrox.com"/>
        <s v="npr.org"/>
        <s v="androidpolice.com"/>
        <s v="buzzfeed.com"/>
        <s v="newsharper.com"/>
        <s v="si.com"/>
        <s v="signin.ebay.com"/>
        <s v="taboolanews.com"/>
        <s v="baseball-reference.com"/>
        <s v="dailyhodl.com"/>
        <s v="dotesports.com"/>
        <s v="ew.com"/>
        <s v="moneyppl.com"/>
        <s v="washingtonpost.com"/>
        <s v="medical-news.org"/>
        <s v="repairlinkshop.com"/>
        <s v="healthyrecipesblogs.com"/>
        <s v="lensvid.com"/>
        <s v="merriam-webster.com"/>
        <s v="tripadvisor.com"/>
      </sharedItems>
    </cacheField>
    <cacheField name="[Measures].[Sum of Viewable Impressions]" caption="Sum of Viewable Impressions" numFmtId="0" hierarchy="26" level="32767"/>
    <cacheField name="[Measures].[Sum of Measurable Impressions]" caption="Sum of Measurable Impressions" numFmtId="0" hierarchy="27" level="32767"/>
  </cacheFields>
  <cacheHierarchies count="28">
    <cacheHierarchy uniqueName="[PBL_DA_CAPSTONE_DATA].[Audience Segment]" caption="Audience Segment" attribute="1" defaultMemberUniqueName="[PBL_DA_CAPSTONE_DATA].[Audience Segment].[All]" allUniqueName="[PBL_DA_CAPSTONE_DATA].[Audience Segment].[All]" dimensionUniqueName="[PBL_DA_CAPSTONE_DATA]" displayFolder="" count="2" memberValueDatatype="130" unbalanced="0">
      <fieldsUsage count="2">
        <fieldUsage x="-1"/>
        <fieldUsage x="0"/>
      </fieldsUsage>
    </cacheHierarchy>
    <cacheHierarchy uniqueName="[PBL_DA_CAPSTONE_DATA].[Category]" caption="Category" attribute="1" defaultMemberUniqueName="[PBL_DA_CAPSTONE_DATA].[Category].[All]" allUniqueName="[PBL_DA_CAPSTONE_DATA].[Category].[All]" dimensionUniqueName="[PBL_DA_CAPSTONE_DATA]" displayFolder="" count="0" memberValueDatatype="130" unbalanced="0"/>
    <cacheHierarchy uniqueName="[PBL_DA_CAPSTONE_DATA].[Sub category]" caption="Sub category" attribute="1" defaultMemberUniqueName="[PBL_DA_CAPSTONE_DATA].[Sub category].[All]" allUniqueName="[PBL_DA_CAPSTONE_DATA].[Sub category].[All]" dimensionUniqueName="[PBL_DA_CAPSTONE_DATA]" displayFolder="" count="0" memberValueDatatype="130" unbalanced="0"/>
    <cacheHierarchy uniqueName="[PBL_DA_CAPSTONE_DATA].[Description]" caption="Description" attribute="1" defaultMemberUniqueName="[PBL_DA_CAPSTONE_DATA].[Description].[All]" allUniqueName="[PBL_DA_CAPSTONE_DATA].[Description].[All]" dimensionUniqueName="[PBL_DA_CAPSTONE_DATA]" displayFolder="" count="0" memberValueDatatype="130" unbalanced="0"/>
    <cacheHierarchy uniqueName="[PBL_DA_CAPSTONE_DATA].[Creative Size]" caption="Creative Size" attribute="1" defaultMemberUniqueName="[PBL_DA_CAPSTONE_DATA].[Creative Size].[All]" allUniqueName="[PBL_DA_CAPSTONE_DATA].[Creative Size].[All]" dimensionUniqueName="[PBL_DA_CAPSTONE_DATA]" displayFolder="" count="0" memberValueDatatype="130" unbalanced="0"/>
    <cacheHierarchy uniqueName="[PBL_DA_CAPSTONE_DATA].[Creative Messaging]" caption="Creative Messaging" attribute="1" defaultMemberUniqueName="[PBL_DA_CAPSTONE_DATA].[Creative Messaging].[All]" allUniqueName="[PBL_DA_CAPSTONE_DATA].[Creative Messaging].[All]" dimensionUniqueName="[PBL_DA_CAPSTONE_DATA]" displayFolder="" count="0" memberValueDatatype="130" unbalanced="0"/>
    <cacheHierarchy uniqueName="[PBL_DA_CAPSTONE_DATA].[City1]" caption="City1" attribute="1" defaultMemberUniqueName="[PBL_DA_CAPSTONE_DATA].[City1].[All]" allUniqueName="[PBL_DA_CAPSTONE_DATA].[City1].[All]" dimensionUniqueName="[PBL_DA_CAPSTONE_DATA]" displayFolder="" count="0" memberValueDatatype="130" unbalanced="0"/>
    <cacheHierarchy uniqueName="[PBL_DA_CAPSTONE_DATA].[State1]" caption="State1" attribute="1" defaultMemberUniqueName="[PBL_DA_CAPSTONE_DATA].[State1].[All]" allUniqueName="[PBL_DA_CAPSTONE_DATA].[State1].[All]" dimensionUniqueName="[PBL_DA_CAPSTONE_DATA]" displayFolder="" count="0" memberValueDatatype="130" unbalanced="0"/>
    <cacheHierarchy uniqueName="[PBL_DA_CAPSTONE_DATA].[App/URL]" caption="App/URL" attribute="1" defaultMemberUniqueName="[PBL_DA_CAPSTONE_DATA].[App/URL].[All]" allUniqueName="[PBL_DA_CAPSTONE_DATA].[App/URL].[All]" dimensionUniqueName="[PBL_DA_CAPSTONE_DATA]" displayFolder="" count="2" memberValueDatatype="130" unbalanced="0">
      <fieldsUsage count="2">
        <fieldUsage x="-1"/>
        <fieldUsage x="9"/>
      </fieldsUsage>
    </cacheHierarchy>
    <cacheHierarchy uniqueName="[PBL_DA_CAPSTONE_DATA].[Exchange]" caption="Exchange" attribute="1" defaultMemberUniqueName="[PBL_DA_CAPSTONE_DATA].[Exchange].[All]" allUniqueName="[PBL_DA_CAPSTONE_DATA].[Exchange].[All]" dimensionUniqueName="[PBL_DA_CAPSTONE_DATA]" displayFolder="" count="2" memberValueDatatype="130" unbalanced="0">
      <fieldsUsage count="2">
        <fieldUsage x="-1"/>
        <fieldUsage x="8"/>
      </fieldsUsage>
    </cacheHierarchy>
    <cacheHierarchy uniqueName="[PBL_DA_CAPSTONE_DATA].[Device Make]" caption="Device Make" attribute="1" defaultMemberUniqueName="[PBL_DA_CAPSTONE_DATA].[Device Make].[All]" allUniqueName="[PBL_DA_CAPSTONE_DATA].[Device Make].[All]" dimensionUniqueName="[PBL_DA_CAPSTONE_DATA]" displayFolder="" count="0" memberValueDatatype="130" unbalanced="0"/>
    <cacheHierarchy uniqueName="[PBL_DA_CAPSTONE_DATA].[Impressions]" caption="Impressions" attribute="1" defaultMemberUniqueName="[PBL_DA_CAPSTONE_DATA].[Impressions].[All]" allUniqueName="[PBL_DA_CAPSTONE_DATA].[Impressions].[All]" dimensionUniqueName="[PBL_DA_CAPSTONE_DATA]" displayFolder="" count="0" memberValueDatatype="20" unbalanced="0"/>
    <cacheHierarchy uniqueName="[PBL_DA_CAPSTONE_DATA].[Clicks]" caption="Clicks" attribute="1" defaultMemberUniqueName="[PBL_DA_CAPSTONE_DATA].[Clicks].[All]" allUniqueName="[PBL_DA_CAPSTONE_DATA].[Clicks].[All]" dimensionUniqueName="[PBL_DA_CAPSTONE_DATA]" displayFolder="" count="0" memberValueDatatype="20" unbalanced="0"/>
    <cacheHierarchy uniqueName="[PBL_DA_CAPSTONE_DATA].[Viewable Impressions]" caption="Viewable Impressions" attribute="1" defaultMemberUniqueName="[PBL_DA_CAPSTONE_DATA].[Viewable Impressions].[All]" allUniqueName="[PBL_DA_CAPSTONE_DATA].[Viewable Impressions].[All]" dimensionUniqueName="[PBL_DA_CAPSTONE_DATA]" displayFolder="" count="0" memberValueDatatype="20" unbalanced="0"/>
    <cacheHierarchy uniqueName="[PBL_DA_CAPSTONE_DATA].[Measurable Impressions]" caption="Measurable Impressions" attribute="1" defaultMemberUniqueName="[PBL_DA_CAPSTONE_DATA].[Measurable Impressions].[All]" allUniqueName="[PBL_DA_CAPSTONE_DATA].[Measurable Impressions].[All]" dimensionUniqueName="[PBL_DA_CAPSTONE_DATA]" displayFolder="" count="0" memberValueDatatype="20" unbalanced="0"/>
    <cacheHierarchy uniqueName="[PBL_DA_CAPSTONE_DATA].[Total Conversions]" caption="Total Conversions" attribute="1" defaultMemberUniqueName="[PBL_DA_CAPSTONE_DATA].[Total Conversions].[All]" allUniqueName="[PBL_DA_CAPSTONE_DATA].[Total Conversions].[All]" dimensionUniqueName="[PBL_DA_CAPSTONE_DATA]" displayFolder="" count="0" memberValueDatatype="20" unbalanced="0"/>
    <cacheHierarchy uniqueName="[PBL_DA_CAPSTONE_DATA].[Gross Cost]" caption="Gross Cost" attribute="1" defaultMemberUniqueName="[PBL_DA_CAPSTONE_DATA].[Gross Cost].[All]" allUniqueName="[PBL_DA_CAPSTONE_DATA].[Gross Cost].[All]" dimensionUniqueName="[PBL_DA_CAPSTONE_DATA]" displayFolder="" count="0" memberValueDatatype="5" unbalanced="0"/>
    <cacheHierarchy uniqueName="[Measures].[CPM]" caption="CPM" measure="1" displayFolder="" measureGroup="PBL_DA_CAPSTONE_DATA" count="0" oneField="1">
      <fieldsUsage count="1">
        <fieldUsage x="1"/>
      </fieldsUsage>
    </cacheHierarchy>
    <cacheHierarchy uniqueName="[Measures].[vCPM]" caption="vCPM" measure="1" displayFolder="" measureGroup="PBL_DA_CAPSTONE_DATA" count="0" oneField="1">
      <fieldsUsage count="1">
        <fieldUsage x="2"/>
      </fieldsUsage>
    </cacheHierarchy>
    <cacheHierarchy uniqueName="[Measures].[CPA]" caption="CPA" measure="1" displayFolder="" measureGroup="PBL_DA_CAPSTONE_DATA" count="0" oneField="1">
      <fieldsUsage count="1">
        <fieldUsage x="3"/>
      </fieldsUsage>
    </cacheHierarchy>
    <cacheHierarchy uniqueName="[Measures].[CVR]" caption="CVR" measure="1" displayFolder="" measureGroup="PBL_DA_CAPSTONE_DATA" count="0" oneField="1">
      <fieldsUsage count="1">
        <fieldUsage x="4"/>
      </fieldsUsage>
    </cacheHierarchy>
    <cacheHierarchy uniqueName="[Measures].[CTR]" caption="CTR" measure="1" displayFolder="" measureGroup="PBL_DA_CAPSTONE_DATA" count="0" oneField="1">
      <fieldsUsage count="1">
        <fieldUsage x="5"/>
      </fieldsUsage>
    </cacheHierarchy>
    <cacheHierarchy uniqueName="[Measures].[CPC]" caption="CPC" measure="1" displayFolder="" measureGroup="PBL_DA_CAPSTONE_DATA" count="0" oneField="1">
      <fieldsUsage count="1">
        <fieldUsage x="6"/>
      </fieldsUsage>
    </cacheHierarchy>
    <cacheHierarchy uniqueName="[Measures].[Viewable Rate]" caption="Viewable Rate" measure="1" displayFolder="" measureGroup="PBL_DA_CAPSTONE_DATA" count="0" oneField="1">
      <fieldsUsage count="1">
        <fieldUsage x="7"/>
      </fieldsUsage>
    </cacheHierarchy>
    <cacheHierarchy uniqueName="[Measures].[__XL_Count PBL_DA_CAPSTONE_DATA]" caption="__XL_Count PBL_DA_CAPSTONE_DATA" measure="1" displayFolder="" measureGroup="PBL_DA_CAPSTONE_DATA" count="0" hidden="1"/>
    <cacheHierarchy uniqueName="[Measures].[__No measures defined]" caption="__No measures defined" measure="1" displayFolder="" count="0" hidden="1"/>
    <cacheHierarchy uniqueName="[Measures].[Sum of Viewable Impressions]" caption="Sum of Viewable Impressions" measure="1" displayFolder="" measureGroup="PBL_DA_CAPSTONE_DATA" count="0" oneField="1" hidden="1">
      <fieldsUsage count="1">
        <fieldUsage x="1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Measurable Impressions]" caption="Sum of Measurable Impressions" measure="1" displayFolder="" measureGroup="PBL_DA_CAPSTONE_DATA" count="0" oneField="1" hidden="1">
      <fieldsUsage count="1">
        <fieldUsage x="1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PBL_DA_CAPSTONE_DATA" uniqueName="[PBL_DA_CAPSTONE_DATA]" caption="PBL_DA_CAPSTONE_DATA"/>
  </dimensions>
  <measureGroups count="1">
    <measureGroup name="PBL_DA_CAPSTONE_DATA" caption="PBL_DA_CAPSTONE_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8AAD44-F958-4117-ADD2-B2EE43847D44}" name="KPI_PivotT" cacheId="376" applyNumberFormats="0" applyBorderFormats="0" applyFontFormats="0" applyPatternFormats="0" applyAlignmentFormats="0" applyWidthHeightFormats="1" dataCaption="Values" tag="a5ddc2db-ccdc-4e21-b5a7-db0b07504be4" updatedVersion="8" minRefreshableVersion="3" showDrill="0" useAutoFormatting="1" colGrandTotals="0" itemPrintTitles="1" createdVersion="8" indent="0" showHeaders="0" outline="1" outlineData="1" multipleFieldFilters="0">
  <location ref="A3:H362" firstHeaderRow="0" firstDataRow="1" firstDataCol="1"/>
  <pivotFields count="9">
    <pivotField axis="axisRow" allDrilled="1" subtotalTop="0" showAll="0" dataSourceSort="1" defaultAttributeDrillState="1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dataField="1" showAll="0" defaultSubtotal="0"/>
    <pivotField axis="axisRow" allDrilled="1" subtotalTop="0" showAll="0" dataSourceSort="1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2">
    <field x="0"/>
    <field x="2"/>
  </rowFields>
  <rowItems count="359">
    <i>
      <x/>
    </i>
    <i r="1">
      <x/>
    </i>
    <i r="1">
      <x v="1"/>
    </i>
    <i r="1">
      <x v="2"/>
    </i>
    <i r="1">
      <x v="3"/>
    </i>
    <i r="1">
      <x v="4"/>
    </i>
    <i t="default">
      <x/>
    </i>
    <i>
      <x v="1"/>
    </i>
    <i r="1">
      <x v="5"/>
    </i>
    <i r="1">
      <x v="6"/>
    </i>
    <i r="1">
      <x/>
    </i>
    <i r="1">
      <x v="1"/>
    </i>
    <i r="1">
      <x v="7"/>
    </i>
    <i r="1">
      <x v="2"/>
    </i>
    <i r="1">
      <x v="8"/>
    </i>
    <i r="1">
      <x v="9"/>
    </i>
    <i r="1">
      <x v="10"/>
    </i>
    <i r="1">
      <x v="3"/>
    </i>
    <i r="1">
      <x v="4"/>
    </i>
    <i t="default">
      <x v="1"/>
    </i>
    <i>
      <x v="2"/>
    </i>
    <i r="1">
      <x/>
    </i>
    <i r="1">
      <x v="1"/>
    </i>
    <i r="1">
      <x v="2"/>
    </i>
    <i r="1">
      <x v="8"/>
    </i>
    <i r="1">
      <x v="9"/>
    </i>
    <i r="1">
      <x v="3"/>
    </i>
    <i r="1">
      <x v="4"/>
    </i>
    <i t="default">
      <x v="2"/>
    </i>
    <i>
      <x v="3"/>
    </i>
    <i r="1">
      <x/>
    </i>
    <i r="1">
      <x v="1"/>
    </i>
    <i r="1">
      <x v="2"/>
    </i>
    <i r="1">
      <x v="3"/>
    </i>
    <i r="1">
      <x v="4"/>
    </i>
    <i t="default">
      <x v="3"/>
    </i>
    <i>
      <x v="4"/>
    </i>
    <i r="1">
      <x v="5"/>
    </i>
    <i r="1">
      <x/>
    </i>
    <i r="1">
      <x v="1"/>
    </i>
    <i r="1">
      <x v="2"/>
    </i>
    <i r="1">
      <x v="8"/>
    </i>
    <i r="1">
      <x v="11"/>
    </i>
    <i r="1">
      <x v="3"/>
    </i>
    <i r="1">
      <x v="12"/>
    </i>
    <i r="1">
      <x v="4"/>
    </i>
    <i t="default">
      <x v="4"/>
    </i>
    <i>
      <x v="5"/>
    </i>
    <i r="1">
      <x v="9"/>
    </i>
    <i t="default">
      <x v="5"/>
    </i>
    <i>
      <x v="6"/>
    </i>
    <i r="1">
      <x/>
    </i>
    <i t="default">
      <x v="6"/>
    </i>
    <i>
      <x v="7"/>
    </i>
    <i r="1">
      <x v="1"/>
    </i>
    <i t="default">
      <x v="7"/>
    </i>
    <i>
      <x v="8"/>
    </i>
    <i r="1">
      <x/>
    </i>
    <i r="1">
      <x v="1"/>
    </i>
    <i r="1">
      <x v="2"/>
    </i>
    <i r="1">
      <x v="8"/>
    </i>
    <i r="1">
      <x v="9"/>
    </i>
    <i r="1">
      <x v="3"/>
    </i>
    <i r="1">
      <x v="4"/>
    </i>
    <i t="default">
      <x v="8"/>
    </i>
    <i>
      <x v="9"/>
    </i>
    <i r="1">
      <x/>
    </i>
    <i r="1">
      <x v="1"/>
    </i>
    <i r="1">
      <x v="7"/>
    </i>
    <i r="1">
      <x v="2"/>
    </i>
    <i r="1">
      <x v="9"/>
    </i>
    <i r="1">
      <x v="3"/>
    </i>
    <i r="1">
      <x v="4"/>
    </i>
    <i t="default">
      <x v="9"/>
    </i>
    <i>
      <x v="10"/>
    </i>
    <i r="1">
      <x/>
    </i>
    <i r="1">
      <x v="1"/>
    </i>
    <i r="1">
      <x v="9"/>
    </i>
    <i r="1">
      <x v="13"/>
    </i>
    <i t="default">
      <x v="10"/>
    </i>
    <i>
      <x v="11"/>
    </i>
    <i r="1">
      <x/>
    </i>
    <i r="1">
      <x v="1"/>
    </i>
    <i r="1">
      <x v="3"/>
    </i>
    <i r="1">
      <x v="4"/>
    </i>
    <i t="default">
      <x v="11"/>
    </i>
    <i>
      <x v="12"/>
    </i>
    <i r="1">
      <x v="1"/>
    </i>
    <i t="default">
      <x v="12"/>
    </i>
    <i>
      <x v="13"/>
    </i>
    <i r="1">
      <x/>
    </i>
    <i r="1">
      <x v="1"/>
    </i>
    <i r="1">
      <x v="7"/>
    </i>
    <i r="1">
      <x v="2"/>
    </i>
    <i r="1">
      <x v="11"/>
    </i>
    <i r="1">
      <x v="10"/>
    </i>
    <i r="1">
      <x v="3"/>
    </i>
    <i r="1">
      <x v="4"/>
    </i>
    <i t="default">
      <x v="13"/>
    </i>
    <i>
      <x v="14"/>
    </i>
    <i r="1">
      <x v="3"/>
    </i>
    <i r="1">
      <x v="4"/>
    </i>
    <i t="default">
      <x v="14"/>
    </i>
    <i>
      <x v="15"/>
    </i>
    <i r="1">
      <x/>
    </i>
    <i r="1">
      <x v="1"/>
    </i>
    <i r="1">
      <x v="2"/>
    </i>
    <i r="1">
      <x v="8"/>
    </i>
    <i r="1">
      <x v="9"/>
    </i>
    <i r="1">
      <x v="3"/>
    </i>
    <i r="1">
      <x v="4"/>
    </i>
    <i t="default">
      <x v="15"/>
    </i>
    <i>
      <x v="16"/>
    </i>
    <i r="1">
      <x v="2"/>
    </i>
    <i t="default">
      <x v="16"/>
    </i>
    <i>
      <x v="17"/>
    </i>
    <i r="1">
      <x/>
    </i>
    <i r="1">
      <x v="1"/>
    </i>
    <i r="1">
      <x v="2"/>
    </i>
    <i t="default">
      <x v="17"/>
    </i>
    <i>
      <x v="18"/>
    </i>
    <i r="1">
      <x v="1"/>
    </i>
    <i t="default">
      <x v="18"/>
    </i>
    <i>
      <x v="19"/>
    </i>
    <i r="1">
      <x/>
    </i>
    <i t="default">
      <x v="19"/>
    </i>
    <i>
      <x v="20"/>
    </i>
    <i r="1">
      <x v="2"/>
    </i>
    <i t="default">
      <x v="20"/>
    </i>
    <i>
      <x v="21"/>
    </i>
    <i r="1">
      <x/>
    </i>
    <i r="1">
      <x v="2"/>
    </i>
    <i r="1">
      <x v="9"/>
    </i>
    <i r="1">
      <x v="3"/>
    </i>
    <i r="1">
      <x v="13"/>
    </i>
    <i t="default">
      <x v="21"/>
    </i>
    <i>
      <x v="22"/>
    </i>
    <i r="1">
      <x v="2"/>
    </i>
    <i r="1">
      <x v="3"/>
    </i>
    <i t="default">
      <x v="22"/>
    </i>
    <i>
      <x v="23"/>
    </i>
    <i r="1">
      <x/>
    </i>
    <i r="1">
      <x v="1"/>
    </i>
    <i r="1">
      <x v="2"/>
    </i>
    <i r="1">
      <x v="9"/>
    </i>
    <i r="1">
      <x v="3"/>
    </i>
    <i t="default">
      <x v="23"/>
    </i>
    <i>
      <x v="24"/>
    </i>
    <i r="1">
      <x v="1"/>
    </i>
    <i t="default">
      <x v="24"/>
    </i>
    <i>
      <x v="25"/>
    </i>
    <i r="1">
      <x v="2"/>
    </i>
    <i t="default">
      <x v="25"/>
    </i>
    <i>
      <x v="26"/>
    </i>
    <i r="1">
      <x v="1"/>
    </i>
    <i r="1">
      <x v="2"/>
    </i>
    <i r="1">
      <x v="3"/>
    </i>
    <i t="default">
      <x v="26"/>
    </i>
    <i>
      <x v="27"/>
    </i>
    <i r="1">
      <x v="5"/>
    </i>
    <i r="1">
      <x/>
    </i>
    <i r="1">
      <x v="1"/>
    </i>
    <i r="1">
      <x v="2"/>
    </i>
    <i r="1">
      <x v="9"/>
    </i>
    <i r="1">
      <x v="10"/>
    </i>
    <i r="1">
      <x v="3"/>
    </i>
    <i r="1">
      <x v="4"/>
    </i>
    <i t="default">
      <x v="27"/>
    </i>
    <i>
      <x v="28"/>
    </i>
    <i r="1">
      <x v="1"/>
    </i>
    <i r="1">
      <x v="2"/>
    </i>
    <i r="1">
      <x v="9"/>
    </i>
    <i r="1">
      <x v="3"/>
    </i>
    <i r="1">
      <x v="4"/>
    </i>
    <i t="default">
      <x v="28"/>
    </i>
    <i>
      <x v="29"/>
    </i>
    <i r="1">
      <x v="1"/>
    </i>
    <i r="1">
      <x v="2"/>
    </i>
    <i t="default">
      <x v="29"/>
    </i>
    <i>
      <x v="30"/>
    </i>
    <i r="1">
      <x v="7"/>
    </i>
    <i r="1">
      <x v="2"/>
    </i>
    <i r="1">
      <x v="9"/>
    </i>
    <i t="default">
      <x v="30"/>
    </i>
    <i>
      <x v="31"/>
    </i>
    <i r="1">
      <x/>
    </i>
    <i r="1">
      <x v="1"/>
    </i>
    <i r="1">
      <x v="2"/>
    </i>
    <i r="1">
      <x v="9"/>
    </i>
    <i r="1">
      <x v="3"/>
    </i>
    <i r="1">
      <x v="4"/>
    </i>
    <i t="default">
      <x v="31"/>
    </i>
    <i>
      <x v="32"/>
    </i>
    <i r="1">
      <x/>
    </i>
    <i r="1">
      <x v="1"/>
    </i>
    <i r="1">
      <x v="2"/>
    </i>
    <i r="1">
      <x v="9"/>
    </i>
    <i r="1">
      <x v="3"/>
    </i>
    <i r="1">
      <x v="12"/>
    </i>
    <i r="1">
      <x v="4"/>
    </i>
    <i t="default">
      <x v="32"/>
    </i>
    <i>
      <x v="33"/>
    </i>
    <i r="1">
      <x v="3"/>
    </i>
    <i t="default">
      <x v="33"/>
    </i>
    <i>
      <x v="34"/>
    </i>
    <i r="1">
      <x v="3"/>
    </i>
    <i t="default">
      <x v="34"/>
    </i>
    <i>
      <x v="35"/>
    </i>
    <i r="1">
      <x/>
    </i>
    <i r="1">
      <x v="1"/>
    </i>
    <i r="1">
      <x v="2"/>
    </i>
    <i r="1">
      <x v="9"/>
    </i>
    <i r="1">
      <x v="3"/>
    </i>
    <i r="1">
      <x v="12"/>
    </i>
    <i r="1">
      <x v="4"/>
    </i>
    <i t="default">
      <x v="35"/>
    </i>
    <i>
      <x v="36"/>
    </i>
    <i r="1">
      <x/>
    </i>
    <i t="default">
      <x v="36"/>
    </i>
    <i>
      <x v="37"/>
    </i>
    <i r="1">
      <x v="1"/>
    </i>
    <i t="default">
      <x v="37"/>
    </i>
    <i>
      <x v="38"/>
    </i>
    <i r="1">
      <x v="1"/>
    </i>
    <i r="1">
      <x v="3"/>
    </i>
    <i t="default">
      <x v="38"/>
    </i>
    <i>
      <x v="39"/>
    </i>
    <i r="1">
      <x v="1"/>
    </i>
    <i r="1">
      <x v="2"/>
    </i>
    <i r="1">
      <x v="3"/>
    </i>
    <i r="1">
      <x v="4"/>
    </i>
    <i t="default">
      <x v="39"/>
    </i>
    <i>
      <x v="40"/>
    </i>
    <i r="1">
      <x v="5"/>
    </i>
    <i r="1">
      <x/>
    </i>
    <i r="1">
      <x v="1"/>
    </i>
    <i r="1">
      <x v="7"/>
    </i>
    <i r="1">
      <x v="2"/>
    </i>
    <i r="1">
      <x v="8"/>
    </i>
    <i r="1">
      <x v="9"/>
    </i>
    <i r="1">
      <x v="3"/>
    </i>
    <i r="1">
      <x v="13"/>
    </i>
    <i r="1">
      <x v="4"/>
    </i>
    <i t="default">
      <x v="40"/>
    </i>
    <i>
      <x v="41"/>
    </i>
    <i r="1">
      <x/>
    </i>
    <i r="1">
      <x v="1"/>
    </i>
    <i r="1">
      <x v="2"/>
    </i>
    <i r="1">
      <x v="4"/>
    </i>
    <i t="default">
      <x v="41"/>
    </i>
    <i>
      <x v="42"/>
    </i>
    <i r="1">
      <x v="1"/>
    </i>
    <i r="1">
      <x v="9"/>
    </i>
    <i t="default">
      <x v="42"/>
    </i>
    <i>
      <x v="43"/>
    </i>
    <i r="1">
      <x v="2"/>
    </i>
    <i t="default">
      <x v="43"/>
    </i>
    <i>
      <x v="44"/>
    </i>
    <i r="1">
      <x v="2"/>
    </i>
    <i t="default">
      <x v="44"/>
    </i>
    <i>
      <x v="45"/>
    </i>
    <i r="1">
      <x v="4"/>
    </i>
    <i t="default">
      <x v="45"/>
    </i>
    <i>
      <x v="46"/>
    </i>
    <i r="1">
      <x v="10"/>
    </i>
    <i r="1">
      <x v="4"/>
    </i>
    <i t="default">
      <x v="46"/>
    </i>
    <i>
      <x v="47"/>
    </i>
    <i r="1">
      <x v="2"/>
    </i>
    <i t="default">
      <x v="47"/>
    </i>
    <i>
      <x v="48"/>
    </i>
    <i r="1">
      <x v="4"/>
    </i>
    <i t="default">
      <x v="48"/>
    </i>
    <i>
      <x v="49"/>
    </i>
    <i r="1">
      <x v="5"/>
    </i>
    <i r="1">
      <x/>
    </i>
    <i r="1">
      <x v="1"/>
    </i>
    <i r="1">
      <x v="7"/>
    </i>
    <i r="1">
      <x v="2"/>
    </i>
    <i r="1">
      <x v="8"/>
    </i>
    <i r="1">
      <x v="14"/>
    </i>
    <i r="1">
      <x v="9"/>
    </i>
    <i r="1">
      <x v="3"/>
    </i>
    <i r="1">
      <x v="13"/>
    </i>
    <i r="1">
      <x v="4"/>
    </i>
    <i t="default">
      <x v="49"/>
    </i>
    <i>
      <x v="50"/>
    </i>
    <i r="1">
      <x/>
    </i>
    <i r="1">
      <x v="2"/>
    </i>
    <i r="1">
      <x v="8"/>
    </i>
    <i r="1">
      <x v="3"/>
    </i>
    <i t="default">
      <x v="50"/>
    </i>
    <i>
      <x v="51"/>
    </i>
    <i r="1">
      <x v="2"/>
    </i>
    <i t="default">
      <x v="51"/>
    </i>
    <i>
      <x v="52"/>
    </i>
    <i r="1">
      <x v="4"/>
    </i>
    <i t="default">
      <x v="52"/>
    </i>
    <i>
      <x v="53"/>
    </i>
    <i r="1">
      <x v="8"/>
    </i>
    <i t="default">
      <x v="53"/>
    </i>
    <i>
      <x v="54"/>
    </i>
    <i r="1">
      <x v="3"/>
    </i>
    <i t="default">
      <x v="54"/>
    </i>
    <i>
      <x v="55"/>
    </i>
    <i r="1">
      <x/>
    </i>
    <i t="default">
      <x v="55"/>
    </i>
    <i>
      <x v="56"/>
    </i>
    <i r="1">
      <x/>
    </i>
    <i r="1">
      <x v="1"/>
    </i>
    <i r="1">
      <x v="2"/>
    </i>
    <i r="1">
      <x v="9"/>
    </i>
    <i r="1">
      <x v="3"/>
    </i>
    <i r="1">
      <x v="4"/>
    </i>
    <i t="default">
      <x v="56"/>
    </i>
    <i>
      <x v="57"/>
    </i>
    <i r="1">
      <x/>
    </i>
    <i r="1">
      <x v="1"/>
    </i>
    <i r="1">
      <x v="2"/>
    </i>
    <i r="1">
      <x v="8"/>
    </i>
    <i r="1">
      <x v="9"/>
    </i>
    <i r="1">
      <x v="3"/>
    </i>
    <i r="1">
      <x v="13"/>
    </i>
    <i r="1">
      <x v="4"/>
    </i>
    <i t="default">
      <x v="57"/>
    </i>
    <i>
      <x v="58"/>
    </i>
    <i r="1">
      <x v="1"/>
    </i>
    <i t="default">
      <x v="58"/>
    </i>
    <i>
      <x v="59"/>
    </i>
    <i r="1">
      <x v="3"/>
    </i>
    <i t="default">
      <x v="59"/>
    </i>
    <i>
      <x v="60"/>
    </i>
    <i r="1">
      <x v="5"/>
    </i>
    <i r="1">
      <x v="1"/>
    </i>
    <i t="default">
      <x v="60"/>
    </i>
    <i>
      <x v="61"/>
    </i>
    <i r="1">
      <x v="9"/>
    </i>
    <i t="default">
      <x v="61"/>
    </i>
    <i>
      <x v="62"/>
    </i>
    <i r="1">
      <x/>
    </i>
    <i r="1">
      <x v="1"/>
    </i>
    <i r="1">
      <x v="2"/>
    </i>
    <i r="1">
      <x v="9"/>
    </i>
    <i r="1">
      <x v="3"/>
    </i>
    <i r="1">
      <x v="4"/>
    </i>
    <i t="default">
      <x v="62"/>
    </i>
    <i>
      <x v="63"/>
    </i>
    <i r="1">
      <x/>
    </i>
    <i r="1">
      <x v="9"/>
    </i>
    <i t="default">
      <x v="63"/>
    </i>
    <i>
      <x v="64"/>
    </i>
    <i r="1">
      <x/>
    </i>
    <i r="1">
      <x v="1"/>
    </i>
    <i r="1">
      <x v="2"/>
    </i>
    <i r="1">
      <x v="8"/>
    </i>
    <i r="1">
      <x v="3"/>
    </i>
    <i r="1">
      <x v="4"/>
    </i>
    <i t="default">
      <x v="64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fld="6" subtotal="count" baseField="0" baseItem="0" numFmtId="165"/>
    <dataField fld="5" subtotal="count" baseField="0" baseItem="0" numFmtId="165"/>
    <dataField fld="8" subtotal="count" baseField="0" baseItem="0" numFmtId="165"/>
    <dataField fld="3" subtotal="count" baseField="0" baseItem="0" numFmtId="44"/>
    <dataField fld="1" subtotal="count" baseField="0" baseItem="0" numFmtId="44"/>
    <dataField fld="7" subtotal="count" baseField="0" baseItem="0" numFmtId="44"/>
    <dataField fld="4" subtotal="count" baseField="0" baseItem="0" numFmtId="44"/>
  </dataFields>
  <formats count="3">
    <format dxfId="15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6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7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13" showRowHeaders="1" showColHeaders="1" showRowStripes="1" showColStripes="1" showLastColumn="1"/>
  <rowHierarchiesUsage count="2">
    <rowHierarchyUsage hierarchyUsage="0"/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OP Capstone.xlsx!PBL_DA_CAPSTONE_DATA">
        <x15:activeTabTopLevelEntity name="[PBL_DA_CAPSTONE_DATA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CA7F1C-F7C1-4E67-B9E6-516FBA6EEF2A}" name="PivotTable2" cacheId="37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J483" firstHeaderRow="0" firstDataRow="1" firstDataCol="1"/>
  <pivotFields count="12">
    <pivotField allDrilled="1" subtotalTop="0" showAll="0" sortType="ascending" defaultSubtotal="0" defaultAttributeDrillState="1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sortType="ascending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axis="axisRow" allDrilled="1" subtotalTop="0" showAll="0" sortType="descending" defaultSubtotal="0" defaultAttributeDrillState="1">
      <items count="2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</items>
      <autoSortScope>
        <pivotArea dataOnly="0" outline="0" fieldPosition="0">
          <references count="1">
            <reference field="4294967294" count="1" selected="0">
              <x v="8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2">
    <field x="8"/>
    <field x="9"/>
  </rowFields>
  <rowItems count="480">
    <i>
      <x v="4"/>
    </i>
    <i r="1">
      <x v="38"/>
    </i>
    <i>
      <x v="14"/>
    </i>
    <i r="1">
      <x v="35"/>
    </i>
    <i r="1">
      <x v="16"/>
    </i>
    <i r="1">
      <x v="68"/>
    </i>
    <i r="1">
      <x v="44"/>
    </i>
    <i r="1">
      <x v="39"/>
    </i>
    <i r="1">
      <x v="142"/>
    </i>
    <i r="1">
      <x v="223"/>
    </i>
    <i r="1">
      <x v="145"/>
    </i>
    <i r="1">
      <x v="224"/>
    </i>
    <i r="1">
      <x v="227"/>
    </i>
    <i r="1">
      <x v="72"/>
    </i>
    <i r="1">
      <x v="225"/>
    </i>
    <i r="1">
      <x v="228"/>
    </i>
    <i r="1">
      <x v="226"/>
    </i>
    <i r="1">
      <x/>
    </i>
    <i r="1">
      <x v="133"/>
    </i>
    <i r="1">
      <x v="107"/>
    </i>
    <i>
      <x v="11"/>
    </i>
    <i r="1">
      <x v="47"/>
    </i>
    <i r="1">
      <x v="9"/>
    </i>
    <i r="1">
      <x v="109"/>
    </i>
    <i r="1">
      <x v="50"/>
    </i>
    <i r="1">
      <x v="33"/>
    </i>
    <i>
      <x v="12"/>
    </i>
    <i r="1">
      <x v="35"/>
    </i>
    <i r="1">
      <x v="70"/>
    </i>
    <i r="1">
      <x v="109"/>
    </i>
    <i r="1">
      <x v="76"/>
    </i>
    <i r="1">
      <x v="188"/>
    </i>
    <i r="1">
      <x v="217"/>
    </i>
    <i>
      <x v="13"/>
    </i>
    <i r="1">
      <x v="222"/>
    </i>
    <i r="1">
      <x v="10"/>
    </i>
    <i r="1">
      <x v="39"/>
    </i>
    <i r="1">
      <x v="21"/>
    </i>
    <i r="1">
      <x v="43"/>
    </i>
    <i r="1">
      <x v="68"/>
    </i>
    <i r="1">
      <x v="81"/>
    </i>
    <i r="1">
      <x v="219"/>
    </i>
    <i r="1">
      <x v="220"/>
    </i>
    <i r="1">
      <x v="218"/>
    </i>
    <i r="1">
      <x v="11"/>
    </i>
    <i r="1">
      <x v="221"/>
    </i>
    <i>
      <x v="8"/>
    </i>
    <i r="1">
      <x v="22"/>
    </i>
    <i r="1">
      <x v="186"/>
    </i>
    <i r="1">
      <x v="89"/>
    </i>
    <i>
      <x v="10"/>
    </i>
    <i r="1">
      <x v="35"/>
    </i>
    <i r="1">
      <x v="63"/>
    </i>
    <i r="1">
      <x v="39"/>
    </i>
    <i r="1">
      <x v="10"/>
    </i>
    <i r="1">
      <x v="15"/>
    </i>
    <i r="1">
      <x v="215"/>
    </i>
    <i r="1">
      <x v="34"/>
    </i>
    <i r="1">
      <x v="149"/>
    </i>
    <i r="1">
      <x v="76"/>
    </i>
    <i r="1">
      <x v="216"/>
    </i>
    <i>
      <x v="6"/>
    </i>
    <i r="1">
      <x v="39"/>
    </i>
    <i r="1">
      <x v="159"/>
    </i>
    <i r="1">
      <x v="185"/>
    </i>
    <i r="1">
      <x v="108"/>
    </i>
    <i r="1">
      <x v="192"/>
    </i>
    <i r="1">
      <x v="22"/>
    </i>
    <i r="1">
      <x/>
    </i>
    <i r="1">
      <x v="31"/>
    </i>
    <i r="1">
      <x v="109"/>
    </i>
    <i r="1">
      <x v="60"/>
    </i>
    <i r="1">
      <x v="198"/>
    </i>
    <i r="1">
      <x v="191"/>
    </i>
    <i r="1">
      <x v="194"/>
    </i>
    <i r="1">
      <x v="196"/>
    </i>
    <i r="1">
      <x v="129"/>
    </i>
    <i r="1">
      <x v="83"/>
    </i>
    <i r="1">
      <x v="107"/>
    </i>
    <i r="1">
      <x v="162"/>
    </i>
    <i r="1">
      <x v="52"/>
    </i>
    <i r="1">
      <x v="199"/>
    </i>
    <i r="1">
      <x v="200"/>
    </i>
    <i r="1">
      <x v="126"/>
    </i>
    <i r="1">
      <x v="201"/>
    </i>
    <i r="1">
      <x v="195"/>
    </i>
    <i r="1">
      <x v="74"/>
    </i>
    <i r="1">
      <x v="197"/>
    </i>
    <i r="1">
      <x v="146"/>
    </i>
    <i r="1">
      <x v="193"/>
    </i>
    <i>
      <x v="7"/>
    </i>
    <i r="1">
      <x v="39"/>
    </i>
    <i r="1">
      <x v="35"/>
    </i>
    <i r="1">
      <x v="68"/>
    </i>
    <i r="1">
      <x v="63"/>
    </i>
    <i r="1">
      <x v="34"/>
    </i>
    <i r="1">
      <x v="105"/>
    </i>
    <i r="1">
      <x v="109"/>
    </i>
    <i r="1">
      <x v="84"/>
    </i>
    <i r="1">
      <x v="108"/>
    </i>
    <i r="1">
      <x v="142"/>
    </i>
    <i r="1">
      <x v="43"/>
    </i>
    <i r="1">
      <x v="16"/>
    </i>
    <i r="1">
      <x v="4"/>
    </i>
    <i r="1">
      <x v="47"/>
    </i>
    <i r="1">
      <x v="82"/>
    </i>
    <i r="1">
      <x v="52"/>
    </i>
    <i r="1">
      <x v="58"/>
    </i>
    <i r="1">
      <x v="205"/>
    </i>
    <i r="1">
      <x v="9"/>
    </i>
    <i r="1">
      <x v="127"/>
    </i>
    <i r="1">
      <x v="206"/>
    </i>
    <i r="1">
      <x/>
    </i>
    <i r="1">
      <x v="85"/>
    </i>
    <i r="1">
      <x v="38"/>
    </i>
    <i r="1">
      <x v="6"/>
    </i>
    <i r="1">
      <x v="194"/>
    </i>
    <i r="1">
      <x v="201"/>
    </i>
    <i r="1">
      <x v="51"/>
    </i>
    <i r="1">
      <x v="146"/>
    </i>
    <i r="1">
      <x v="124"/>
    </i>
    <i r="1">
      <x v="74"/>
    </i>
    <i r="1">
      <x v="207"/>
    </i>
    <i r="1">
      <x v="210"/>
    </i>
    <i r="1">
      <x v="99"/>
    </i>
    <i r="1">
      <x v="202"/>
    </i>
    <i r="1">
      <x v="203"/>
    </i>
    <i r="1">
      <x v="70"/>
    </i>
    <i r="1">
      <x v="10"/>
    </i>
    <i r="1">
      <x v="72"/>
    </i>
    <i r="1">
      <x v="111"/>
    </i>
    <i r="1">
      <x v="130"/>
    </i>
    <i r="1">
      <x v="208"/>
    </i>
    <i r="1">
      <x v="19"/>
    </i>
    <i r="1">
      <x v="212"/>
    </i>
    <i r="1">
      <x v="65"/>
    </i>
    <i r="1">
      <x v="213"/>
    </i>
    <i r="1">
      <x v="211"/>
    </i>
    <i r="1">
      <x v="181"/>
    </i>
    <i r="1">
      <x v="13"/>
    </i>
    <i r="1">
      <x v="92"/>
    </i>
    <i r="1">
      <x v="204"/>
    </i>
    <i r="1">
      <x v="209"/>
    </i>
    <i r="1">
      <x v="186"/>
    </i>
    <i>
      <x v="16"/>
    </i>
    <i r="1">
      <x v="16"/>
    </i>
    <i r="1">
      <x v="146"/>
    </i>
    <i r="1">
      <x v="233"/>
    </i>
    <i r="1">
      <x v="234"/>
    </i>
    <i r="1">
      <x v="218"/>
    </i>
    <i r="1">
      <x v="231"/>
    </i>
    <i r="1">
      <x v="232"/>
    </i>
    <i>
      <x/>
    </i>
    <i r="1">
      <x v="35"/>
    </i>
    <i r="1">
      <x v="68"/>
    </i>
    <i r="1">
      <x v="10"/>
    </i>
    <i r="1">
      <x v="34"/>
    </i>
    <i r="1">
      <x v="16"/>
    </i>
    <i r="1">
      <x v="44"/>
    </i>
    <i r="1">
      <x v="47"/>
    </i>
    <i r="1">
      <x v="22"/>
    </i>
    <i r="1">
      <x/>
    </i>
    <i r="1">
      <x v="9"/>
    </i>
    <i r="1">
      <x v="31"/>
    </i>
    <i r="1">
      <x v="39"/>
    </i>
    <i r="1">
      <x v="2"/>
    </i>
    <i r="1">
      <x v="18"/>
    </i>
    <i r="1">
      <x v="50"/>
    </i>
    <i r="1">
      <x v="17"/>
    </i>
    <i r="1">
      <x v="25"/>
    </i>
    <i r="1">
      <x v="28"/>
    </i>
    <i r="1">
      <x v="1"/>
    </i>
    <i r="1">
      <x v="58"/>
    </i>
    <i r="1">
      <x v="46"/>
    </i>
    <i r="1">
      <x v="4"/>
    </i>
    <i r="1">
      <x v="65"/>
    </i>
    <i r="1">
      <x v="8"/>
    </i>
    <i r="1">
      <x v="63"/>
    </i>
    <i r="1">
      <x v="38"/>
    </i>
    <i r="1">
      <x v="62"/>
    </i>
    <i r="1">
      <x v="43"/>
    </i>
    <i r="1">
      <x v="40"/>
    </i>
    <i r="1">
      <x v="12"/>
    </i>
    <i r="1">
      <x v="54"/>
    </i>
    <i r="1">
      <x v="42"/>
    </i>
    <i r="1">
      <x v="45"/>
    </i>
    <i r="1">
      <x v="19"/>
    </i>
    <i r="1">
      <x v="60"/>
    </i>
    <i r="1">
      <x v="7"/>
    </i>
    <i r="1">
      <x v="30"/>
    </i>
    <i r="1">
      <x v="36"/>
    </i>
    <i r="1">
      <x v="13"/>
    </i>
    <i r="1">
      <x v="48"/>
    </i>
    <i r="1">
      <x v="66"/>
    </i>
    <i r="1">
      <x v="51"/>
    </i>
    <i r="1">
      <x v="14"/>
    </i>
    <i r="1">
      <x v="24"/>
    </i>
    <i r="1">
      <x v="6"/>
    </i>
    <i r="1">
      <x v="33"/>
    </i>
    <i r="1">
      <x v="27"/>
    </i>
    <i r="1">
      <x v="67"/>
    </i>
    <i r="1">
      <x v="49"/>
    </i>
    <i r="1">
      <x v="26"/>
    </i>
    <i r="1">
      <x v="5"/>
    </i>
    <i r="1">
      <x v="15"/>
    </i>
    <i r="1">
      <x v="41"/>
    </i>
    <i r="1">
      <x v="20"/>
    </i>
    <i r="1">
      <x v="64"/>
    </i>
    <i r="1">
      <x v="3"/>
    </i>
    <i r="1">
      <x v="59"/>
    </i>
    <i r="1">
      <x v="61"/>
    </i>
    <i r="1">
      <x v="55"/>
    </i>
    <i r="1">
      <x v="70"/>
    </i>
    <i r="1">
      <x v="52"/>
    </i>
    <i r="1">
      <x v="23"/>
    </i>
    <i r="1">
      <x v="32"/>
    </i>
    <i r="1">
      <x v="11"/>
    </i>
    <i r="1">
      <x v="57"/>
    </i>
    <i r="1">
      <x v="21"/>
    </i>
    <i r="1">
      <x v="69"/>
    </i>
    <i r="1">
      <x v="29"/>
    </i>
    <i r="1">
      <x v="53"/>
    </i>
    <i r="1">
      <x v="37"/>
    </i>
    <i r="1">
      <x v="56"/>
    </i>
    <i>
      <x v="1"/>
    </i>
    <i r="1">
      <x v="39"/>
    </i>
    <i r="1">
      <x v="68"/>
    </i>
    <i r="1">
      <x v="35"/>
    </i>
    <i r="1">
      <x v="16"/>
    </i>
    <i r="1">
      <x v="63"/>
    </i>
    <i r="1">
      <x v="70"/>
    </i>
    <i r="1">
      <x v="34"/>
    </i>
    <i r="1">
      <x v="155"/>
    </i>
    <i r="1">
      <x v="109"/>
    </i>
    <i r="1">
      <x v="76"/>
    </i>
    <i r="1">
      <x v="44"/>
    </i>
    <i r="1">
      <x v="92"/>
    </i>
    <i r="1">
      <x v="47"/>
    </i>
    <i r="1">
      <x v="159"/>
    </i>
    <i r="1">
      <x v="21"/>
    </i>
    <i r="1">
      <x v="163"/>
    </i>
    <i r="1">
      <x v="58"/>
    </i>
    <i r="1">
      <x v="42"/>
    </i>
    <i r="1">
      <x v="22"/>
    </i>
    <i r="1">
      <x v="60"/>
    </i>
    <i r="1">
      <x v="142"/>
    </i>
    <i r="1">
      <x v="127"/>
    </i>
    <i r="1">
      <x v="147"/>
    </i>
    <i r="1">
      <x v="148"/>
    </i>
    <i r="1">
      <x v="10"/>
    </i>
    <i r="1">
      <x v="50"/>
    </i>
    <i r="1">
      <x v="31"/>
    </i>
    <i r="1">
      <x v="122"/>
    </i>
    <i r="1">
      <x v="81"/>
    </i>
    <i r="1">
      <x v="146"/>
    </i>
    <i r="1">
      <x v="135"/>
    </i>
    <i r="1">
      <x v="43"/>
    </i>
    <i r="1">
      <x v="6"/>
    </i>
    <i r="1">
      <x v="105"/>
    </i>
    <i r="1">
      <x/>
    </i>
    <i r="1">
      <x v="4"/>
    </i>
    <i r="1">
      <x v="17"/>
    </i>
    <i r="1">
      <x v="1"/>
    </i>
    <i r="1">
      <x v="9"/>
    </i>
    <i r="1">
      <x v="168"/>
    </i>
    <i r="1">
      <x v="108"/>
    </i>
    <i r="1">
      <x v="139"/>
    </i>
    <i r="1">
      <x v="149"/>
    </i>
    <i r="1">
      <x v="38"/>
    </i>
    <i r="1">
      <x v="112"/>
    </i>
    <i r="1">
      <x v="82"/>
    </i>
    <i r="1">
      <x v="64"/>
    </i>
    <i r="1">
      <x v="52"/>
    </i>
    <i r="1">
      <x v="91"/>
    </i>
    <i r="1">
      <x v="131"/>
    </i>
    <i r="1">
      <x v="145"/>
    </i>
    <i r="1">
      <x v="133"/>
    </i>
    <i r="1">
      <x v="134"/>
    </i>
    <i r="1">
      <x v="62"/>
    </i>
    <i r="1">
      <x v="128"/>
    </i>
    <i r="1">
      <x v="51"/>
    </i>
    <i r="1">
      <x v="116"/>
    </i>
    <i r="1">
      <x v="121"/>
    </i>
    <i r="1">
      <x v="48"/>
    </i>
    <i r="1">
      <x v="88"/>
    </i>
    <i r="1">
      <x v="89"/>
    </i>
    <i r="1">
      <x v="97"/>
    </i>
    <i r="1">
      <x v="151"/>
    </i>
    <i r="1">
      <x v="107"/>
    </i>
    <i r="1">
      <x v="169"/>
    </i>
    <i r="1">
      <x v="59"/>
    </i>
    <i r="1">
      <x v="8"/>
    </i>
    <i r="1">
      <x v="65"/>
    </i>
    <i r="1">
      <x v="36"/>
    </i>
    <i r="1">
      <x v="45"/>
    </i>
    <i r="1">
      <x v="120"/>
    </i>
    <i r="1">
      <x v="141"/>
    </i>
    <i r="1">
      <x v="123"/>
    </i>
    <i r="1">
      <x v="98"/>
    </i>
    <i r="1">
      <x v="73"/>
    </i>
    <i r="1">
      <x v="126"/>
    </i>
    <i r="1">
      <x v="118"/>
    </i>
    <i r="1">
      <x v="85"/>
    </i>
    <i r="1">
      <x v="166"/>
    </i>
    <i r="1">
      <x v="37"/>
    </i>
    <i r="1">
      <x v="99"/>
    </i>
    <i r="1">
      <x v="15"/>
    </i>
    <i r="1">
      <x v="167"/>
    </i>
    <i r="1">
      <x v="154"/>
    </i>
    <i r="1">
      <x v="40"/>
    </i>
    <i r="1">
      <x v="72"/>
    </i>
    <i r="1">
      <x v="106"/>
    </i>
    <i r="1">
      <x v="143"/>
    </i>
    <i r="1">
      <x v="25"/>
    </i>
    <i r="1">
      <x v="164"/>
    </i>
    <i r="1">
      <x v="158"/>
    </i>
    <i r="1">
      <x v="3"/>
    </i>
    <i r="1">
      <x v="75"/>
    </i>
    <i r="1">
      <x v="152"/>
    </i>
    <i r="1">
      <x v="161"/>
    </i>
    <i r="1">
      <x v="150"/>
    </i>
    <i r="1">
      <x v="103"/>
    </i>
    <i r="1">
      <x v="2"/>
    </i>
    <i r="1">
      <x v="100"/>
    </i>
    <i r="1">
      <x v="114"/>
    </i>
    <i r="1">
      <x v="160"/>
    </i>
    <i r="1">
      <x v="104"/>
    </i>
    <i r="1">
      <x v="101"/>
    </i>
    <i r="1">
      <x v="140"/>
    </i>
    <i r="1">
      <x v="157"/>
    </i>
    <i r="1">
      <x v="78"/>
    </i>
    <i r="1">
      <x v="117"/>
    </i>
    <i r="1">
      <x v="77"/>
    </i>
    <i r="1">
      <x v="144"/>
    </i>
    <i r="1">
      <x v="71"/>
    </i>
    <i r="1">
      <x v="125"/>
    </i>
    <i r="1">
      <x v="162"/>
    </i>
    <i r="1">
      <x v="94"/>
    </i>
    <i r="1">
      <x v="102"/>
    </i>
    <i r="1">
      <x v="83"/>
    </i>
    <i r="1">
      <x v="110"/>
    </i>
    <i r="1">
      <x v="95"/>
    </i>
    <i r="1">
      <x v="93"/>
    </i>
    <i r="1">
      <x v="84"/>
    </i>
    <i r="1">
      <x v="138"/>
    </i>
    <i r="1">
      <x v="115"/>
    </i>
    <i r="1">
      <x v="124"/>
    </i>
    <i r="1">
      <x v="129"/>
    </i>
    <i r="1">
      <x v="156"/>
    </i>
    <i r="1">
      <x v="165"/>
    </i>
    <i r="1">
      <x v="137"/>
    </i>
    <i r="1">
      <x v="111"/>
    </i>
    <i r="1">
      <x v="18"/>
    </i>
    <i r="1">
      <x v="53"/>
    </i>
    <i r="1">
      <x v="74"/>
    </i>
    <i r="1">
      <x v="153"/>
    </i>
    <i r="1">
      <x v="80"/>
    </i>
    <i r="1">
      <x v="33"/>
    </i>
    <i r="1">
      <x v="119"/>
    </i>
    <i r="1">
      <x v="79"/>
    </i>
    <i r="1">
      <x v="30"/>
    </i>
    <i r="1">
      <x v="87"/>
    </i>
    <i r="1">
      <x v="130"/>
    </i>
    <i r="1">
      <x v="136"/>
    </i>
    <i r="1">
      <x v="86"/>
    </i>
    <i r="1">
      <x v="46"/>
    </i>
    <i r="1">
      <x v="170"/>
    </i>
    <i r="1">
      <x v="132"/>
    </i>
    <i r="1">
      <x v="96"/>
    </i>
    <i r="1">
      <x v="90"/>
    </i>
    <i r="1">
      <x v="113"/>
    </i>
    <i>
      <x v="5"/>
    </i>
    <i r="1">
      <x v="35"/>
    </i>
    <i r="1">
      <x v="63"/>
    </i>
    <i r="1">
      <x v="68"/>
    </i>
    <i r="1">
      <x v="76"/>
    </i>
    <i r="1">
      <x v="44"/>
    </i>
    <i r="1">
      <x v="16"/>
    </i>
    <i r="1">
      <x v="42"/>
    </i>
    <i r="1">
      <x v="185"/>
    </i>
    <i r="1">
      <x v="22"/>
    </i>
    <i r="1">
      <x v="39"/>
    </i>
    <i r="1">
      <x v="31"/>
    </i>
    <i r="1">
      <x v="34"/>
    </i>
    <i r="1">
      <x v="1"/>
    </i>
    <i r="1">
      <x v="83"/>
    </i>
    <i r="1">
      <x v="128"/>
    </i>
    <i r="1">
      <x v="109"/>
    </i>
    <i r="1">
      <x v="47"/>
    </i>
    <i r="1">
      <x v="145"/>
    </i>
    <i r="1">
      <x/>
    </i>
    <i r="1">
      <x v="51"/>
    </i>
    <i r="1">
      <x v="183"/>
    </i>
    <i r="1">
      <x v="15"/>
    </i>
    <i r="1">
      <x v="182"/>
    </i>
    <i r="1">
      <x v="175"/>
    </i>
    <i r="1">
      <x v="184"/>
    </i>
    <i r="1">
      <x v="65"/>
    </i>
    <i r="1">
      <x v="160"/>
    </i>
    <i r="1">
      <x v="187"/>
    </i>
    <i r="1">
      <x v="64"/>
    </i>
    <i r="1">
      <x v="19"/>
    </i>
    <i r="1">
      <x v="147"/>
    </i>
    <i r="1">
      <x v="159"/>
    </i>
    <i r="1">
      <x v="143"/>
    </i>
    <i r="1">
      <x v="186"/>
    </i>
    <i r="1">
      <x v="52"/>
    </i>
    <i r="1">
      <x v="58"/>
    </i>
    <i r="1">
      <x v="72"/>
    </i>
    <i r="1">
      <x v="144"/>
    </i>
    <i r="1">
      <x v="8"/>
    </i>
    <i r="1">
      <x v="190"/>
    </i>
    <i r="1">
      <x v="89"/>
    </i>
    <i r="1">
      <x v="162"/>
    </i>
    <i r="1">
      <x v="50"/>
    </i>
    <i r="1">
      <x v="189"/>
    </i>
    <i r="1">
      <x v="188"/>
    </i>
    <i r="1">
      <x v="129"/>
    </i>
    <i r="1">
      <x v="36"/>
    </i>
    <i>
      <x v="3"/>
    </i>
    <i r="1">
      <x v="39"/>
    </i>
    <i r="1">
      <x v="63"/>
    </i>
    <i r="1">
      <x v="16"/>
    </i>
    <i r="1">
      <x v="76"/>
    </i>
    <i r="1">
      <x v="47"/>
    </i>
    <i r="1">
      <x v="92"/>
    </i>
    <i r="1">
      <x v="44"/>
    </i>
    <i r="1">
      <x v="128"/>
    </i>
    <i r="1">
      <x v="62"/>
    </i>
    <i r="1">
      <x v="147"/>
    </i>
    <i r="1">
      <x v="173"/>
    </i>
    <i r="1">
      <x v="168"/>
    </i>
    <i r="1">
      <x v="159"/>
    </i>
    <i r="1">
      <x v="82"/>
    </i>
    <i r="1">
      <x v="52"/>
    </i>
    <i r="1">
      <x v="175"/>
    </i>
    <i r="1">
      <x v="34"/>
    </i>
    <i r="1">
      <x v="64"/>
    </i>
    <i r="1">
      <x v="70"/>
    </i>
    <i r="1">
      <x v="35"/>
    </i>
    <i r="1">
      <x v="181"/>
    </i>
    <i r="1">
      <x v="177"/>
    </i>
    <i r="1">
      <x v="176"/>
    </i>
    <i r="1">
      <x v="25"/>
    </i>
    <i r="1">
      <x v="69"/>
    </i>
    <i r="1">
      <x v="10"/>
    </i>
    <i r="1">
      <x v="111"/>
    </i>
    <i r="1">
      <x v="179"/>
    </i>
    <i r="1">
      <x v="91"/>
    </i>
    <i r="1">
      <x v="178"/>
    </i>
    <i r="1">
      <x v="180"/>
    </i>
    <i r="1">
      <x v="126"/>
    </i>
    <i r="1">
      <x v="174"/>
    </i>
    <i>
      <x v="15"/>
    </i>
    <i r="1">
      <x v="68"/>
    </i>
    <i r="1">
      <x v="16"/>
    </i>
    <i r="1">
      <x v="35"/>
    </i>
    <i r="1">
      <x v="47"/>
    </i>
    <i r="1">
      <x v="229"/>
    </i>
    <i r="1">
      <x v="160"/>
    </i>
    <i r="1">
      <x v="44"/>
    </i>
    <i r="1">
      <x v="92"/>
    </i>
    <i r="1">
      <x v="173"/>
    </i>
    <i r="1">
      <x v="221"/>
    </i>
    <i r="1">
      <x v="164"/>
    </i>
    <i r="1">
      <x/>
    </i>
    <i r="1">
      <x v="42"/>
    </i>
    <i r="1">
      <x v="230"/>
    </i>
    <i r="1">
      <x v="216"/>
    </i>
    <i>
      <x v="2"/>
    </i>
    <i r="1">
      <x v="68"/>
    </i>
    <i r="1">
      <x v="16"/>
    </i>
    <i r="1">
      <x v="171"/>
    </i>
    <i r="1">
      <x v="172"/>
    </i>
    <i>
      <x v="9"/>
    </i>
    <i r="1">
      <x v="214"/>
    </i>
    <i r="1">
      <x v="63"/>
    </i>
    <i r="1">
      <x v="131"/>
    </i>
    <i r="1">
      <x v="17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  <dataField fld="6" subtotal="count" baseField="0" baseItem="0"/>
    <dataField fld="7" subtotal="count" baseField="0" baseItem="0"/>
    <dataField name="Total Viewable Imp." fld="10" baseField="8" baseItem="4"/>
    <dataField name="Total Measurable Imp." fld="11" baseField="8" baseItem="4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Viewable Imp."/>
    <pivotHierarchy dragToData="1" caption="Total Measurable Imp."/>
  </pivotHierarchies>
  <pivotTableStyleInfo name="PivotStyleLight16" showRowHeaders="1" showColHeaders="1" showRowStripes="0" showColStripes="0" showLastColumn="1"/>
  <rowHierarchiesUsage count="2">
    <rowHierarchyUsage hierarchyUsage="9"/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OP Capstone.xlsx!PBL_DA_CAPSTONE_DATA">
        <x15:activeTabTopLevelEntity name="[PBL_DA_CAPSTONE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71C8569-4C34-4F42-B77E-4A7E2F0A721C}" autoFormatId="16" applyNumberFormats="0" applyBorderFormats="0" applyFontFormats="0" applyPatternFormats="0" applyAlignmentFormats="0" applyWidthHeightFormats="0">
  <queryTableRefresh nextId="57">
    <queryTableFields count="16">
      <queryTableField id="18" name="Audience Segment" tableColumnId="18"/>
      <queryTableField id="19" name="Category" tableColumnId="19"/>
      <queryTableField id="51" name="Sub Category" tableColumnId="4"/>
      <queryTableField id="6" name="Creative Size" tableColumnId="6"/>
      <queryTableField id="7" name="Creative Messaging" tableColumnId="7"/>
      <queryTableField id="52" name="City" tableColumnId="5"/>
      <queryTableField id="53" name="State" tableColumnId="8"/>
      <queryTableField id="9" name="App/URL" tableColumnId="9"/>
      <queryTableField id="10" name="Exchange" tableColumnId="10"/>
      <queryTableField id="11" name="Device Make" tableColumnId="11"/>
      <queryTableField id="12" name="Impressions" tableColumnId="12"/>
      <queryTableField id="13" name="Clicks" tableColumnId="13"/>
      <queryTableField id="14" name="Viewable Impressions" tableColumnId="14"/>
      <queryTableField id="15" name="Measurable Impressions" tableColumnId="15"/>
      <queryTableField id="16" name="Total Conversions" tableColumnId="16"/>
      <queryTableField id="17" name="Gross Cost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BCED5C-0D25-4B5E-8EFA-C45BFD7BA3E0}" name="PBL_DA_CAPSTONE_DATA" displayName="PBL_DA_CAPSTONE_DATA" ref="A1:P728" tableType="queryTable" totalsRowShown="0">
  <autoFilter ref="A1:P728" xr:uid="{D5BCED5C-0D25-4B5E-8EFA-C45BFD7BA3E0}"/>
  <tableColumns count="16">
    <tableColumn id="18" xr3:uid="{E3852FCE-85DF-436F-8EE0-55FDA81675D5}" uniqueName="18" name="Audience Segment" queryTableFieldId="18" dataDxfId="14"/>
    <tableColumn id="19" xr3:uid="{F2EC7F5C-2A4B-40AA-8654-D1B4239D0350}" uniqueName="19" name="Category" queryTableFieldId="19" dataDxfId="13"/>
    <tableColumn id="4" xr3:uid="{37B39B29-2B82-42C3-8CDF-43E6103F26A8}" uniqueName="4" name="Sub Category" queryTableFieldId="51" dataCellStyle="Comma"/>
    <tableColumn id="6" xr3:uid="{860457B2-5FC4-416E-B38B-5B67EBE1235E}" uniqueName="6" name="Creative Size" queryTableFieldId="6" dataDxfId="12"/>
    <tableColumn id="7" xr3:uid="{8B49F43F-5B5D-4051-8DF9-A699E481121D}" uniqueName="7" name="Creative Messaging" queryTableFieldId="7" dataDxfId="11"/>
    <tableColumn id="5" xr3:uid="{5A165BE6-3706-4399-B1DF-EC7A0AB01218}" uniqueName="5" name="City" queryTableFieldId="52" dataDxfId="10" dataCellStyle="Comma"/>
    <tableColumn id="8" xr3:uid="{3EEA2F0F-B862-4B17-9C9E-C84F92C9E979}" uniqueName="8" name="State" queryTableFieldId="53" dataDxfId="9" dataCellStyle="Comma"/>
    <tableColumn id="9" xr3:uid="{50379DC1-1B50-49F1-AE67-8ABF7E0BEC2D}" uniqueName="9" name="App/URL" queryTableFieldId="9" dataDxfId="8"/>
    <tableColumn id="10" xr3:uid="{7B817262-70C4-4485-A0DD-778138B4FC92}" uniqueName="10" name="Exchange" queryTableFieldId="10" dataDxfId="7"/>
    <tableColumn id="11" xr3:uid="{1CBEB867-5AFE-4BA0-9D5F-C247120DBB10}" uniqueName="11" name="Device Make" queryTableFieldId="11" dataDxfId="6"/>
    <tableColumn id="12" xr3:uid="{F50D53B0-632F-4982-8068-9661DD2F8356}" uniqueName="12" name="Impressions" queryTableFieldId="12" dataDxfId="5" dataCellStyle="Comma"/>
    <tableColumn id="13" xr3:uid="{4102E9C2-828F-4514-B9BE-37A9B2BB7164}" uniqueName="13" name="Clicks" queryTableFieldId="13" dataDxfId="4" dataCellStyle="Comma"/>
    <tableColumn id="14" xr3:uid="{5CD0DB91-DC77-4720-824E-E4722D85F252}" uniqueName="14" name="Viewable Impressions" queryTableFieldId="14" dataDxfId="3" dataCellStyle="Comma"/>
    <tableColumn id="15" xr3:uid="{6321DCF1-B893-49E5-85B9-F652511C91A2}" uniqueName="15" name="Measurable Impressions" queryTableFieldId="15" dataDxfId="2" dataCellStyle="Comma"/>
    <tableColumn id="16" xr3:uid="{8FC64754-B156-4111-8EF2-A8DCCE4CEBFD}" uniqueName="16" name="Total Conversions" queryTableFieldId="16" dataDxfId="1" dataCellStyle="Comma"/>
    <tableColumn id="17" xr3:uid="{087B1637-AB83-4137-B605-DFEC08FA039E}" uniqueName="17" name="Gross Cost" queryTableFieldId="17" dataDxfId="0" dataCellStyle="Currency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5-12T02:13:09.45" personId="{ABFC6D34-5665-48B2-913E-EBD973000788}" id="{F0CFA1BC-BB56-49DF-A585-56C3FA381594}">
    <text>Applied copilot suggestions to clean up the table some more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CF91BA2-D48D-4E14-AA46-6DAB15016973}">
  <we:reference id="wa200000019" version="25.0.2.0" store="en-US" storeType="OMEX"/>
  <we:alternateReferences>
    <we:reference id="WA200000019" version="25.0.2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PSIFORECAST</we:customFunctionIds>
        <we:customFunctionIds>PSIPREDICT</we:customFunctionIds>
        <we:customFunctionIds>PSIPOSTERIORS</we:customFunctionIds>
        <we:customFunctionIds>PSITRANSFORM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4A0C1-33AC-4381-B68F-1DB589BE4FC2}">
  <sheetPr>
    <tabColor theme="8"/>
  </sheetPr>
  <dimension ref="A1:L91"/>
  <sheetViews>
    <sheetView topLeftCell="A32" workbookViewId="0">
      <selection activeCell="B94" sqref="B94"/>
    </sheetView>
  </sheetViews>
  <sheetFormatPr defaultRowHeight="14.45"/>
  <cols>
    <col min="1" max="1" width="34.28515625" customWidth="1"/>
    <col min="2" max="2" width="19" customWidth="1"/>
    <col min="3" max="3" width="15.28515625" customWidth="1"/>
    <col min="4" max="4" width="17.140625" customWidth="1"/>
    <col min="5" max="5" width="19" customWidth="1"/>
    <col min="6" max="6" width="13.28515625" customWidth="1"/>
    <col min="7" max="7" width="3.85546875" customWidth="1"/>
    <col min="8" max="8" width="38.140625" customWidth="1"/>
    <col min="9" max="9" width="19" customWidth="1"/>
    <col min="10" max="10" width="15.28515625" customWidth="1"/>
    <col min="11" max="11" width="17.140625" customWidth="1"/>
    <col min="12" max="12" width="19" customWidth="1"/>
  </cols>
  <sheetData>
    <row r="1" spans="1:12" ht="23.45">
      <c r="A1" s="8" t="s">
        <v>0</v>
      </c>
    </row>
    <row r="3" spans="1:12" ht="18">
      <c r="A3" s="10" t="s">
        <v>1</v>
      </c>
      <c r="H3" s="10" t="s">
        <v>2</v>
      </c>
    </row>
    <row r="4" spans="1:12">
      <c r="A4" s="9" t="s">
        <v>3</v>
      </c>
      <c r="B4" s="11">
        <f>SUM(PBL_DA_CAPSTONE_DATA!K:K)</f>
        <v>85705314</v>
      </c>
      <c r="H4" s="20" t="s">
        <v>4</v>
      </c>
      <c r="I4" s="20" t="s">
        <v>5</v>
      </c>
      <c r="J4" s="20" t="s">
        <v>6</v>
      </c>
      <c r="K4" s="20" t="s">
        <v>7</v>
      </c>
      <c r="L4" s="20" t="s">
        <v>8</v>
      </c>
    </row>
    <row r="5" spans="1:12">
      <c r="A5" s="9" t="s">
        <v>9</v>
      </c>
      <c r="B5" s="11">
        <f>SUM(PBL_DA_CAPSTONE_DATA!L:L)</f>
        <v>233099</v>
      </c>
      <c r="H5" s="28" t="s">
        <v>10</v>
      </c>
      <c r="I5" s="29">
        <f>SUMIF(PBL_DA_CAPSTONE_DATA!A:A,"Automotive",PBL_DA_CAPSTONE_DATA!K:K)</f>
        <v>12709966</v>
      </c>
      <c r="J5" s="29">
        <f>SUMIF(PBL_DA_CAPSTONE_DATA!A:A,"Automotive",PBL_DA_CAPSTONE_DATA!L:L)</f>
        <v>37608</v>
      </c>
      <c r="K5" s="29">
        <f>SUMIF(PBL_DA_CAPSTONE_DATA!A:A,"Automotive",PBL_DA_CAPSTONE_DATA!U:U)</f>
        <v>0</v>
      </c>
      <c r="L5" s="30">
        <f>SUMIF(PBL_DA_CAPSTONE_DATA!A:A,"Automotive",PBL_DA_CAPSTONE_DATA!V:V)</f>
        <v>0</v>
      </c>
    </row>
    <row r="6" spans="1:12">
      <c r="A6" s="9" t="s">
        <v>11</v>
      </c>
      <c r="B6" s="11">
        <f>SUM(PBL_DA_CAPSTONE_DATA!M:M)</f>
        <v>41896691</v>
      </c>
      <c r="H6" s="17" t="s">
        <v>12</v>
      </c>
      <c r="I6" s="14">
        <f>SUMIF(PBL_DA_CAPSTONE_DATA!A:A,"Beauty and Fitness",PBL_DA_CAPSTONE_DATA!K:K)</f>
        <v>4609241</v>
      </c>
      <c r="J6" s="14">
        <f>SUMIF(PBL_DA_CAPSTONE_DATA!A:A,"Beauty and Fitness",PBL_DA_CAPSTONE_DATA!L:L)</f>
        <v>14384</v>
      </c>
      <c r="K6" s="14">
        <f>SUMIF(PBL_DA_CAPSTONE_DATA!A:A,"Beauty and Fitness",PBL_DA_CAPSTONE_DATA!U:U)</f>
        <v>0</v>
      </c>
      <c r="L6" s="15">
        <f>SUMIF(PBL_DA_CAPSTONE_DATA!A:A,"Beauty and Fitness",PBL_DA_CAPSTONE_DATA!V:V)</f>
        <v>0</v>
      </c>
    </row>
    <row r="7" spans="1:12">
      <c r="A7" s="9" t="s">
        <v>13</v>
      </c>
      <c r="B7" s="11">
        <f>SUM(PBL_DA_CAPSTONE_DATA!U:U)</f>
        <v>0</v>
      </c>
      <c r="H7" s="28" t="s">
        <v>14</v>
      </c>
      <c r="I7" s="29">
        <f>SUMIF(PBL_DA_CAPSTONE_DATA!A:A,"B2B",PBL_DA_CAPSTONE_DATA!K:K)</f>
        <v>2617549</v>
      </c>
      <c r="J7" s="29">
        <f>SUMIF(PBL_DA_CAPSTONE_DATA!A:A,"B2B",PBL_DA_CAPSTONE_DATA!L:L)</f>
        <v>7372</v>
      </c>
      <c r="K7" s="29">
        <f>SUMIF(PBL_DA_CAPSTONE_DATA!A:A,"B2B",PBL_DA_CAPSTONE_DATA!U:U)</f>
        <v>0</v>
      </c>
      <c r="L7" s="30">
        <f>SUMIF(PBL_DA_CAPSTONE_DATA!A:A,"B2B",PBL_DA_CAPSTONE_DATA!V:V)</f>
        <v>0</v>
      </c>
    </row>
    <row r="8" spans="1:12">
      <c r="A8" s="9" t="s">
        <v>15</v>
      </c>
      <c r="B8" s="12">
        <f>SUM(PBL_DA_CAPSTONE_DATA!V:V)</f>
        <v>0</v>
      </c>
      <c r="H8" s="17" t="s">
        <v>16</v>
      </c>
      <c r="I8" s="14">
        <f>SUMIF(PBL_DA_CAPSTONE_DATA!A:A,"Brand Propensities",PBL_DA_CAPSTONE_DATA!K:K)</f>
        <v>4191580</v>
      </c>
      <c r="J8" s="14">
        <f>SUMIF(PBL_DA_CAPSTONE_DATA!A:A,"Brand Propensities",PBL_DA_CAPSTONE_DATA!L:L)</f>
        <v>11567</v>
      </c>
      <c r="K8" s="14">
        <f>SUMIF(PBL_DA_CAPSTONE_DATA!A:A,"Brand Propensities",PBL_DA_CAPSTONE_DATA!U:U)</f>
        <v>0</v>
      </c>
      <c r="L8" s="15">
        <f>SUMIF(PBL_DA_CAPSTONE_DATA!A:A,"Brand Propensities",PBL_DA_CAPSTONE_DATA!V:V)</f>
        <v>0</v>
      </c>
    </row>
    <row r="9" spans="1:12">
      <c r="A9" s="9" t="s">
        <v>17</v>
      </c>
      <c r="B9" s="13">
        <f>IF(B4&gt;0,B5/B4,0)</f>
        <v>2.7197730119744969E-3</v>
      </c>
      <c r="H9" s="28" t="s">
        <v>18</v>
      </c>
      <c r="I9" s="29">
        <f>SUMIF(PBL_DA_CAPSTONE_DATA!A:A,"Arts and Entertainment",PBL_DA_CAPSTONE_DATA!K:K)</f>
        <v>1279283</v>
      </c>
      <c r="J9" s="29">
        <f>SUMIF(PBL_DA_CAPSTONE_DATA!A:A,"Arts and Entertainment",PBL_DA_CAPSTONE_DATA!L:L)</f>
        <v>2947</v>
      </c>
      <c r="K9" s="29">
        <f>SUMIF(PBL_DA_CAPSTONE_DATA!A:A,"Arts and Entertainment",PBL_DA_CAPSTONE_DATA!U:U)</f>
        <v>0</v>
      </c>
      <c r="L9" s="30">
        <f>SUMIF(PBL_DA_CAPSTONE_DATA!A:A,"Arts and Entertainment",PBL_DA_CAPSTONE_DATA!V:V)</f>
        <v>0</v>
      </c>
    </row>
    <row r="10" spans="1:12">
      <c r="H10" s="17" t="s">
        <v>19</v>
      </c>
      <c r="I10" s="14">
        <f>SUMIF(PBL_DA_CAPSTONE_DATA!A:A,"Finance",PBL_DA_CAPSTONE_DATA!K:K)</f>
        <v>13200810</v>
      </c>
      <c r="J10" s="14">
        <f>SUMIF(PBL_DA_CAPSTONE_DATA!A:A,"Finance",PBL_DA_CAPSTONE_DATA!L:L)</f>
        <v>25675</v>
      </c>
      <c r="K10" s="14">
        <f>SUMIF(PBL_DA_CAPSTONE_DATA!A:A,"Finance",PBL_DA_CAPSTONE_DATA!U:U)</f>
        <v>0</v>
      </c>
      <c r="L10" s="15">
        <f>SUMIF(PBL_DA_CAPSTONE_DATA!A:A,"Finance",PBL_DA_CAPSTONE_DATA!V:V)</f>
        <v>0</v>
      </c>
    </row>
    <row r="11" spans="1:12" ht="18">
      <c r="A11" s="10" t="s">
        <v>20</v>
      </c>
      <c r="H11" s="28" t="s">
        <v>21</v>
      </c>
      <c r="I11" s="29">
        <f>SUMIF(PBL_DA_CAPSTONE_DATA!A:A,"Demographics",PBL_DA_CAPSTONE_DATA!K:K)</f>
        <v>886174</v>
      </c>
      <c r="J11" s="29">
        <f>SUMIF(PBL_DA_CAPSTONE_DATA!A:A,"Demographics",PBL_DA_CAPSTONE_DATA!L:L)</f>
        <v>1981</v>
      </c>
      <c r="K11" s="29">
        <f>SUMIF(PBL_DA_CAPSTONE_DATA!A:A,"Demographics",PBL_DA_CAPSTONE_DATA!U:U)</f>
        <v>0</v>
      </c>
      <c r="L11" s="30">
        <f>SUMIF(PBL_DA_CAPSTONE_DATA!A:A,"Demographics",PBL_DA_CAPSTONE_DATA!V:V)</f>
        <v>0</v>
      </c>
    </row>
    <row r="12" spans="1:12">
      <c r="A12" s="16" t="s">
        <v>22</v>
      </c>
      <c r="B12" s="16" t="s">
        <v>5</v>
      </c>
      <c r="C12" s="16" t="s">
        <v>6</v>
      </c>
      <c r="D12" s="16" t="s">
        <v>7</v>
      </c>
      <c r="E12" s="16" t="s">
        <v>8</v>
      </c>
      <c r="F12" s="16" t="s">
        <v>23</v>
      </c>
      <c r="H12" s="16" t="s">
        <v>24</v>
      </c>
      <c r="I12" s="14">
        <f>SUMIF(PBL_DA_CAPSTONE_DATA!A:A,"Food",PBL_DA_CAPSTONE_DATA!K:K)</f>
        <v>1981212</v>
      </c>
      <c r="J12" s="14">
        <f>SUMIF(PBL_DA_CAPSTONE_DATA!A:A,"Food",PBL_DA_CAPSTONE_DATA!L:L)</f>
        <v>5498</v>
      </c>
      <c r="K12" s="14">
        <f>SUMIF(PBL_DA_CAPSTONE_DATA!A:A,"Food",PBL_DA_CAPSTONE_DATA!U:U)</f>
        <v>0</v>
      </c>
      <c r="L12" s="15">
        <f>SUMIF(PBL_DA_CAPSTONE_DATA!A:A,"Food",PBL_DA_CAPSTONE_DATA!V:V)</f>
        <v>0</v>
      </c>
    </row>
    <row r="13" spans="1:12">
      <c r="A13" s="24" t="s">
        <v>25</v>
      </c>
      <c r="B13" s="25">
        <f>SUMIF(PBL_DA_CAPSTONE_DATA!G:G,"*California*",PBL_DA_CAPSTONE_DATA!K:K)</f>
        <v>20155086</v>
      </c>
      <c r="C13" s="25">
        <f>SUMIF(PBL_DA_CAPSTONE_DATA!G:G,"*California*",PBL_DA_CAPSTONE_DATA!L:L)</f>
        <v>55756</v>
      </c>
      <c r="D13" s="25">
        <f>SUMIF(PBL_DA_CAPSTONE_DATA!G:G,"*California*",PBL_DA_CAPSTONE_DATA!U:U)</f>
        <v>0</v>
      </c>
      <c r="E13" s="26">
        <f>SUMIF(PBL_DA_CAPSTONE_DATA!G:G,"*California*",PBL_DA_CAPSTONE_DATA!V:V)</f>
        <v>0</v>
      </c>
      <c r="F13" s="27">
        <f t="shared" ref="F13:F22" si="0">IF(B13&gt;0,C13/B13,0)</f>
        <v>2.7663489007191534E-3</v>
      </c>
      <c r="H13" s="28" t="s">
        <v>26</v>
      </c>
      <c r="I13" s="29">
        <f>SUMIF(PBL_DA_CAPSTONE_DATA!A:A,"Home and Garden",PBL_DA_CAPSTONE_DATA!K:K)</f>
        <v>281692</v>
      </c>
      <c r="J13" s="29">
        <f>SUMIF(PBL_DA_CAPSTONE_DATA!A:A,"Home and Garden",PBL_DA_CAPSTONE_DATA!L:L)</f>
        <v>1059</v>
      </c>
      <c r="K13" s="29">
        <f>SUMIF(PBL_DA_CAPSTONE_DATA!A:A,"Home and Garden",PBL_DA_CAPSTONE_DATA!U:U)</f>
        <v>0</v>
      </c>
      <c r="L13" s="30">
        <f>SUMIF(PBL_DA_CAPSTONE_DATA!A:A,"Home and Garden",PBL_DA_CAPSTONE_DATA!V:V)</f>
        <v>0</v>
      </c>
    </row>
    <row r="14" spans="1:12">
      <c r="A14" s="17" t="s">
        <v>27</v>
      </c>
      <c r="B14" s="14">
        <f>SUMIF(PBL_DA_CAPSTONE_DATA!G:G,"*Florida*",PBL_DA_CAPSTONE_DATA!K:K)</f>
        <v>12361492</v>
      </c>
      <c r="C14" s="14">
        <f>SUMIF(PBL_DA_CAPSTONE_DATA!G:G,"*Florida*",PBL_DA_CAPSTONE_DATA!L:L)</f>
        <v>36764</v>
      </c>
      <c r="D14" s="14">
        <f>SUMIF(PBL_DA_CAPSTONE_DATA!G:G,"*Florida*",PBL_DA_CAPSTONE_DATA!U:U)</f>
        <v>0</v>
      </c>
      <c r="E14" s="15">
        <f>SUMIF(PBL_DA_CAPSTONE_DATA!G:G,"*Florida*",PBL_DA_CAPSTONE_DATA!V:V)</f>
        <v>0</v>
      </c>
      <c r="F14" s="18">
        <f t="shared" si="0"/>
        <v>2.9740746505357118E-3</v>
      </c>
      <c r="H14" s="17" t="s">
        <v>28</v>
      </c>
      <c r="I14" s="14">
        <f>SUMIF(PBL_DA_CAPSTONE_DATA!A:A,"Media and Entertainment",PBL_DA_CAPSTONE_DATA!K:K)</f>
        <v>2705224</v>
      </c>
      <c r="J14" s="14">
        <f>SUMIF(PBL_DA_CAPSTONE_DATA!A:A,"Media and Entertainment",PBL_DA_CAPSTONE_DATA!L:L)</f>
        <v>8163</v>
      </c>
      <c r="K14" s="14">
        <f>SUMIF(PBL_DA_CAPSTONE_DATA!A:A,"Media and Entertainment",PBL_DA_CAPSTONE_DATA!U:U)</f>
        <v>0</v>
      </c>
      <c r="L14" s="15">
        <f>SUMIF(PBL_DA_CAPSTONE_DATA!A:A,"Media and Entertainment",PBL_DA_CAPSTONE_DATA!V:V)</f>
        <v>0</v>
      </c>
    </row>
    <row r="15" spans="1:12">
      <c r="A15" s="24" t="s">
        <v>29</v>
      </c>
      <c r="B15" s="25">
        <f>SUMIF(PBL_DA_CAPSTONE_DATA!G:G,"*Illinois*",PBL_DA_CAPSTONE_DATA!K:K)</f>
        <v>27857546</v>
      </c>
      <c r="C15" s="25">
        <f>SUMIF(PBL_DA_CAPSTONE_DATA!G:G,"*Illinois*",PBL_DA_CAPSTONE_DATA!L:L)</f>
        <v>69176</v>
      </c>
      <c r="D15" s="25">
        <f>SUMIF(PBL_DA_CAPSTONE_DATA!G:G,"*Illinois*",PBL_DA_CAPSTONE_DATA!U:U)</f>
        <v>0</v>
      </c>
      <c r="E15" s="26">
        <f>SUMIF(PBL_DA_CAPSTONE_DATA!G:G,"*Illinois*",PBL_DA_CAPSTONE_DATA!V:V)</f>
        <v>0</v>
      </c>
      <c r="F15" s="27">
        <f t="shared" si="0"/>
        <v>2.4832050892063503E-3</v>
      </c>
    </row>
    <row r="16" spans="1:12">
      <c r="A16" s="17" t="s">
        <v>30</v>
      </c>
      <c r="B16" s="14">
        <f>SUMIF(PBL_DA_CAPSTONE_DATA!G:G,"*New York*",PBL_DA_CAPSTONE_DATA!K:K)</f>
        <v>12389658</v>
      </c>
      <c r="C16" s="14">
        <f>SUMIF(PBL_DA_CAPSTONE_DATA!G:G,"*New York*",PBL_DA_CAPSTONE_DATA!L:L)</f>
        <v>35141</v>
      </c>
      <c r="D16" s="14">
        <f>SUMIF(PBL_DA_CAPSTONE_DATA!G:G,"*New York*",PBL_DA_CAPSTONE_DATA!U:U)</f>
        <v>0</v>
      </c>
      <c r="E16" s="15">
        <f>SUMIF(PBL_DA_CAPSTONE_DATA!G:G,"*New York*",PBL_DA_CAPSTONE_DATA!V:V)</f>
        <v>0</v>
      </c>
      <c r="F16" s="18">
        <f t="shared" si="0"/>
        <v>2.8363171929362378E-3</v>
      </c>
    </row>
    <row r="17" spans="1:11" ht="18">
      <c r="A17" s="24" t="s">
        <v>31</v>
      </c>
      <c r="B17" s="25">
        <f>SUMIF(PBL_DA_CAPSTONE_DATA!G:G,"*Tennessee*",PBL_DA_CAPSTONE_DATA!K:K)</f>
        <v>6235010</v>
      </c>
      <c r="C17" s="25">
        <f>SUMIF(PBL_DA_CAPSTONE_DATA!G:G,"*Tennessee*",PBL_DA_CAPSTONE_DATA!L:L)</f>
        <v>17186</v>
      </c>
      <c r="D17" s="25">
        <f>SUMIF(PBL_DA_CAPSTONE_DATA!G:G,"*Tennessee*",PBL_DA_CAPSTONE_DATA!U:U)</f>
        <v>0</v>
      </c>
      <c r="E17" s="26">
        <f>SUMIF(PBL_DA_CAPSTONE_DATA!G:G,"*Tennessee*",PBL_DA_CAPSTONE_DATA!V:V)</f>
        <v>0</v>
      </c>
      <c r="F17" s="27">
        <f t="shared" si="0"/>
        <v>2.7563708799183961E-3</v>
      </c>
      <c r="H17" s="10" t="s">
        <v>32</v>
      </c>
    </row>
    <row r="18" spans="1:11">
      <c r="A18" s="17" t="s">
        <v>33</v>
      </c>
      <c r="B18" s="14">
        <f>SUMIF(PBL_DA_CAPSTONE_DATA!G:G,"*Michigan*",PBL_DA_CAPSTONE_DATA!K:K)</f>
        <v>2424081</v>
      </c>
      <c r="C18" s="14">
        <f>SUMIF(PBL_DA_CAPSTONE_DATA!G:G,"*Michigan*",PBL_DA_CAPSTONE_DATA!L:L)</f>
        <v>7456</v>
      </c>
      <c r="D18" s="14">
        <f>SUMIF(PBL_DA_CAPSTONE_DATA!G:G,"*Michigan*",PBL_DA_CAPSTONE_DATA!U:U)</f>
        <v>0</v>
      </c>
      <c r="E18" s="15">
        <f>SUMIF(PBL_DA_CAPSTONE_DATA!G:G,"*Michigan*",PBL_DA_CAPSTONE_DATA!V:V)</f>
        <v>0</v>
      </c>
      <c r="F18" s="18">
        <f t="shared" si="0"/>
        <v>3.0758048101527961E-3</v>
      </c>
      <c r="H18" s="21" t="s">
        <v>34</v>
      </c>
      <c r="I18" s="21" t="s">
        <v>5</v>
      </c>
      <c r="J18" s="21" t="s">
        <v>6</v>
      </c>
      <c r="K18" s="21" t="s">
        <v>8</v>
      </c>
    </row>
    <row r="19" spans="1:11">
      <c r="A19" s="24" t="s">
        <v>35</v>
      </c>
      <c r="B19" s="25">
        <f>SUMIF(PBL_DA_CAPSTONE_DATA!G:G,"*Indiana*",PBL_DA_CAPSTONE_DATA!K:K)</f>
        <v>1901207</v>
      </c>
      <c r="C19" s="25">
        <f>SUMIF(PBL_DA_CAPSTONE_DATA!G:G,"*Indiana*",PBL_DA_CAPSTONE_DATA!L:L)</f>
        <v>4811</v>
      </c>
      <c r="D19" s="25">
        <f>SUMIF(PBL_DA_CAPSTONE_DATA!G:G,"*Indiana*",PBL_DA_CAPSTONE_DATA!U:U)</f>
        <v>0</v>
      </c>
      <c r="E19" s="26">
        <f>SUMIF(PBL_DA_CAPSTONE_DATA!G:G,"*Indiana*",PBL_DA_CAPSTONE_DATA!V:V)</f>
        <v>0</v>
      </c>
      <c r="F19" s="27">
        <f t="shared" si="0"/>
        <v>2.5304977311781411E-3</v>
      </c>
      <c r="H19" s="17" t="s">
        <v>36</v>
      </c>
      <c r="I19" s="14">
        <f>SUMIF(PBL_DA_CAPSTONE_DATA!I:I,"Google Ad Manager",PBL_DA_CAPSTONE_DATA!K:K)</f>
        <v>34342307</v>
      </c>
      <c r="J19" s="14">
        <f>SUMIF(PBL_DA_CAPSTONE_DATA!I:I,"Google Ad Manager",PBL_DA_CAPSTONE_DATA!L:L)</f>
        <v>97488</v>
      </c>
      <c r="K19" s="15">
        <f>SUMIF(PBL_DA_CAPSTONE_DATA!I:I,"Google Ad Manager",PBL_DA_CAPSTONE_DATA!V:V)</f>
        <v>0</v>
      </c>
    </row>
    <row r="20" spans="1:11">
      <c r="A20" s="17" t="s">
        <v>37</v>
      </c>
      <c r="B20" s="14">
        <f>SUMIF(PBL_DA_CAPSTONE_DATA!G:G,"*Georgia*",PBL_DA_CAPSTONE_DATA!K:K)</f>
        <v>724339</v>
      </c>
      <c r="C20" s="14">
        <f>SUMIF(PBL_DA_CAPSTONE_DATA!G:G,"*Georgia*",PBL_DA_CAPSTONE_DATA!L:L)</f>
        <v>2045</v>
      </c>
      <c r="D20" s="14">
        <f>SUMIF(PBL_DA_CAPSTONE_DATA!G:G,"*Georgia*",PBL_DA_CAPSTONE_DATA!U:U)</f>
        <v>0</v>
      </c>
      <c r="E20" s="15">
        <f>SUMIF(PBL_DA_CAPSTONE_DATA!G:G,"*Georgia*",PBL_DA_CAPSTONE_DATA!V:V)</f>
        <v>0</v>
      </c>
      <c r="F20" s="18">
        <f t="shared" si="0"/>
        <v>2.82326369282891E-3</v>
      </c>
      <c r="H20" s="17" t="s">
        <v>38</v>
      </c>
      <c r="I20" s="14">
        <f>SUMIF(PBL_DA_CAPSTONE_DATA!I:I,"BidSwitch",PBL_DA_CAPSTONE_DATA!K:K)</f>
        <v>8708607</v>
      </c>
      <c r="J20" s="14">
        <f>SUMIF(PBL_DA_CAPSTONE_DATA!I:I,"BidSwitch",PBL_DA_CAPSTONE_DATA!L:L)</f>
        <v>23187</v>
      </c>
      <c r="K20" s="15">
        <f>SUMIF(PBL_DA_CAPSTONE_DATA!I:I,"BidSwitch",PBL_DA_CAPSTONE_DATA!V:V)</f>
        <v>0</v>
      </c>
    </row>
    <row r="21" spans="1:11">
      <c r="A21" s="24" t="s">
        <v>39</v>
      </c>
      <c r="B21" s="25">
        <f>SUMIF(PBL_DA_CAPSTONE_DATA!G:G,"*Alabama*",PBL_DA_CAPSTONE_DATA!K:K)</f>
        <v>183819</v>
      </c>
      <c r="C21" s="25">
        <f>SUMIF(PBL_DA_CAPSTONE_DATA!G:G,"*Alabama*",PBL_DA_CAPSTONE_DATA!L:L)</f>
        <v>693</v>
      </c>
      <c r="D21" s="25">
        <f>SUMIF(PBL_DA_CAPSTONE_DATA!G:G,"*Alabama*",PBL_DA_CAPSTONE_DATA!U:U)</f>
        <v>0</v>
      </c>
      <c r="E21" s="26">
        <f>SUMIF(PBL_DA_CAPSTONE_DATA!G:G,"*Alabama*",PBL_DA_CAPSTONE_DATA!V:V)</f>
        <v>0</v>
      </c>
      <c r="F21" s="27">
        <f t="shared" si="0"/>
        <v>3.7700128931176862E-3</v>
      </c>
      <c r="H21" s="17" t="s">
        <v>40</v>
      </c>
      <c r="I21" s="14">
        <f>SUMIF(PBL_DA_CAPSTONE_DATA!I:I,"PubMatic",PBL_DA_CAPSTONE_DATA!K:K)</f>
        <v>13445406</v>
      </c>
      <c r="J21" s="14">
        <f>SUMIF(PBL_DA_CAPSTONE_DATA!I:I,"PubMatic",PBL_DA_CAPSTONE_DATA!L:L)</f>
        <v>28722</v>
      </c>
      <c r="K21" s="15">
        <f>SUMIF(PBL_DA_CAPSTONE_DATA!I:I,"PubMatic",PBL_DA_CAPSTONE_DATA!V:V)</f>
        <v>0</v>
      </c>
    </row>
    <row r="22" spans="1:11">
      <c r="A22" s="17" t="s">
        <v>41</v>
      </c>
      <c r="B22" s="14">
        <f>SUMIF(PBL_DA_CAPSTONE_DATA!G:G,"*Ohio*",PBL_DA_CAPSTONE_DATA!K:K)</f>
        <v>256526</v>
      </c>
      <c r="C22" s="14">
        <f>SUMIF(PBL_DA_CAPSTONE_DATA!G:G,"*Ohio*",PBL_DA_CAPSTONE_DATA!L:L)</f>
        <v>707</v>
      </c>
      <c r="D22" s="14">
        <f>SUMIF(PBL_DA_CAPSTONE_DATA!G:G,"*Ohio*",PBL_DA_CAPSTONE_DATA!U:U)</f>
        <v>0</v>
      </c>
      <c r="E22" s="15">
        <f>SUMIF(PBL_DA_CAPSTONE_DATA!G:G,"*Ohio*",PBL_DA_CAPSTONE_DATA!V:V)</f>
        <v>0</v>
      </c>
      <c r="F22" s="18">
        <f t="shared" si="0"/>
        <v>2.7560559163593555E-3</v>
      </c>
      <c r="H22" s="17" t="s">
        <v>42</v>
      </c>
      <c r="I22" s="14">
        <f>SUMIF(PBL_DA_CAPSTONE_DATA!I:I,"Magnite DV+",PBL_DA_CAPSTONE_DATA!K:K)</f>
        <v>8362480</v>
      </c>
      <c r="J22" s="14">
        <f>SUMIF(PBL_DA_CAPSTONE_DATA!I:I,"Magnite DV+",PBL_DA_CAPSTONE_DATA!L:L)</f>
        <v>24491</v>
      </c>
      <c r="K22" s="15">
        <f>SUMIF(PBL_DA_CAPSTONE_DATA!I:I,"Magnite DV+",PBL_DA_CAPSTONE_DATA!V:V)</f>
        <v>0</v>
      </c>
    </row>
    <row r="23" spans="1:11">
      <c r="H23" s="17" t="s">
        <v>43</v>
      </c>
      <c r="I23" s="14">
        <f>SUMIF(PBL_DA_CAPSTONE_DATA!I:I,"Index Exchange",PBL_DA_CAPSTONE_DATA!K:K)</f>
        <v>3682064</v>
      </c>
      <c r="J23" s="14">
        <f>SUMIF(PBL_DA_CAPSTONE_DATA!I:I,"Index Exchange",PBL_DA_CAPSTONE_DATA!L:L)</f>
        <v>10517</v>
      </c>
      <c r="K23" s="15">
        <f>SUMIF(PBL_DA_CAPSTONE_DATA!I:I,"Index Exchange",PBL_DA_CAPSTONE_DATA!V:V)</f>
        <v>0</v>
      </c>
    </row>
    <row r="24" spans="1:11">
      <c r="H24" s="17" t="s">
        <v>44</v>
      </c>
      <c r="I24" s="14">
        <f>SUMIF(PBL_DA_CAPSTONE_DATA!I:I,"OpenX",PBL_DA_CAPSTONE_DATA!K:K)</f>
        <v>4462460</v>
      </c>
      <c r="J24" s="14">
        <f>SUMIF(PBL_DA_CAPSTONE_DATA!I:I,"OpenX",PBL_DA_CAPSTONE_DATA!L:L)</f>
        <v>13209</v>
      </c>
      <c r="K24" s="15">
        <f>SUMIF(PBL_DA_CAPSTONE_DATA!I:I,"OpenX",PBL_DA_CAPSTONE_DATA!V:V)</f>
        <v>0</v>
      </c>
    </row>
    <row r="25" spans="1:11" ht="18">
      <c r="A25" s="10" t="s">
        <v>45</v>
      </c>
    </row>
    <row r="26" spans="1:11">
      <c r="A26" s="19" t="s">
        <v>46</v>
      </c>
      <c r="B26" s="19" t="s">
        <v>5</v>
      </c>
      <c r="C26" s="19" t="s">
        <v>6</v>
      </c>
      <c r="D26" s="19" t="s">
        <v>8</v>
      </c>
      <c r="E26" s="19" t="s">
        <v>23</v>
      </c>
    </row>
    <row r="27" spans="1:11">
      <c r="A27" s="17" t="s">
        <v>47</v>
      </c>
      <c r="B27" s="14">
        <f>SUMIF(PBL_DA_CAPSTONE_DATA!J:J,"Smartphone",PBL_DA_CAPSTONE_DATA!K:K)</f>
        <v>78213490</v>
      </c>
      <c r="C27" s="14">
        <f>SUMIF(PBL_DA_CAPSTONE_DATA!J:J,"Smartphone",PBL_DA_CAPSTONE_DATA!L:L)</f>
        <v>210740</v>
      </c>
      <c r="D27" s="15">
        <f>SUMIF(PBL_DA_CAPSTONE_DATA!J:J,"Smartphone",PBL_DA_CAPSTONE_DATA!V:V)</f>
        <v>0</v>
      </c>
      <c r="E27" s="18">
        <f>IF(B27&gt;0,C27/B27,0)</f>
        <v>2.6944201057899349E-3</v>
      </c>
    </row>
    <row r="28" spans="1:11">
      <c r="A28" s="17" t="s">
        <v>48</v>
      </c>
      <c r="B28" s="14">
        <f>SUMIF(PBL_DA_CAPSTONE_DATA!J:J,"Windows PC",PBL_DA_CAPSTONE_DATA!K:K)</f>
        <v>4686681</v>
      </c>
      <c r="C28" s="14">
        <f>SUMIF(PBL_DA_CAPSTONE_DATA!J:J,"Windows PC",PBL_DA_CAPSTONE_DATA!L:L)</f>
        <v>13372</v>
      </c>
      <c r="D28" s="15">
        <f>SUMIF(PBL_DA_CAPSTONE_DATA!J:J,"Windows PC",PBL_DA_CAPSTONE_DATA!V:V)</f>
        <v>0</v>
      </c>
      <c r="E28" s="18">
        <f>IF(B28&gt;0,C28/B28,0)</f>
        <v>2.8531918430121446E-3</v>
      </c>
    </row>
    <row r="29" spans="1:11">
      <c r="A29" s="17" t="s">
        <v>49</v>
      </c>
      <c r="B29" s="14">
        <f>SUMIF(PBL_DA_CAPSTONE_DATA!J:J,"Apple PC",PBL_DA_CAPSTONE_DATA!K:K)</f>
        <v>2805143</v>
      </c>
      <c r="C29" s="14">
        <f>SUMIF(PBL_DA_CAPSTONE_DATA!J:J,"Apple PC",PBL_DA_CAPSTONE_DATA!L:L)</f>
        <v>8987</v>
      </c>
      <c r="D29" s="15">
        <f>SUMIF(PBL_DA_CAPSTONE_DATA!J:J,"Apple PC",PBL_DA_CAPSTONE_DATA!V:V)</f>
        <v>0</v>
      </c>
      <c r="E29" s="18">
        <f>IF(B29&gt;0,C29/B29,0)</f>
        <v>3.2037582397760112E-3</v>
      </c>
    </row>
    <row r="74" spans="1:12" ht="18">
      <c r="A74" s="10" t="s">
        <v>50</v>
      </c>
      <c r="H74" s="10" t="s">
        <v>51</v>
      </c>
    </row>
    <row r="75" spans="1:12">
      <c r="A75" s="22" t="s">
        <v>52</v>
      </c>
      <c r="B75" s="22" t="s">
        <v>5</v>
      </c>
      <c r="C75" s="22" t="s">
        <v>6</v>
      </c>
      <c r="D75" s="22" t="s">
        <v>7</v>
      </c>
      <c r="E75" s="22" t="s">
        <v>23</v>
      </c>
      <c r="H75" s="23" t="s">
        <v>53</v>
      </c>
      <c r="I75" s="23" t="s">
        <v>5</v>
      </c>
      <c r="J75" s="23" t="s">
        <v>6</v>
      </c>
      <c r="K75" s="23" t="s">
        <v>7</v>
      </c>
      <c r="L75" s="23" t="s">
        <v>23</v>
      </c>
    </row>
    <row r="76" spans="1:12">
      <c r="A76" s="17" t="s">
        <v>54</v>
      </c>
      <c r="B76" s="14">
        <f>SUMIF(PBL_DA_CAPSTONE_DATA!D:D,"320x50",PBL_DA_CAPSTONE_DATA!K:K)</f>
        <v>40014637</v>
      </c>
      <c r="C76" s="14">
        <f>SUMIF(PBL_DA_CAPSTONE_DATA!D:D,"320x50",PBL_DA_CAPSTONE_DATA!L:L)</f>
        <v>102729</v>
      </c>
      <c r="D76" s="14">
        <f>SUMIF(PBL_DA_CAPSTONE_DATA!D:D,"320x50",PBL_DA_CAPSTONE_DATA!U:U)</f>
        <v>0</v>
      </c>
      <c r="E76" s="18">
        <f>IF(B76&gt;0,C76/B76,0)</f>
        <v>2.5672855660292507E-3</v>
      </c>
      <c r="H76" s="17" t="s">
        <v>55</v>
      </c>
      <c r="I76" s="14">
        <f>SUMIF(PBL_DA_CAPSTONE_DATA!E:E,"Subscribe Today - 10% Discount",PBL_DA_CAPSTONE_DATA!K:K)</f>
        <v>22412582</v>
      </c>
      <c r="J76" s="14">
        <f>SUMIF(PBL_DA_CAPSTONE_DATA!E:E,"Subscribe Today - 10% Discount",PBL_DA_CAPSTONE_DATA!L:L)</f>
        <v>65302</v>
      </c>
      <c r="K76" s="14">
        <f>SUMIF(PBL_DA_CAPSTONE_DATA!E:E,"Subscribe Today - 10% Discount",PBL_DA_CAPSTONE_DATA!U:U)</f>
        <v>0</v>
      </c>
      <c r="L76" s="18">
        <f>IF(I76&gt;0,J76/I76,0)</f>
        <v>2.913631280858225E-3</v>
      </c>
    </row>
    <row r="77" spans="1:12">
      <c r="A77" s="17" t="s">
        <v>56</v>
      </c>
      <c r="B77" s="14">
        <f>SUMIF(PBL_DA_CAPSTONE_DATA!D:D,"300x250",PBL_DA_CAPSTONE_DATA!K:K)</f>
        <v>40755215</v>
      </c>
      <c r="C77" s="14">
        <f>SUMIF(PBL_DA_CAPSTONE_DATA!D:D,"300x250",PBL_DA_CAPSTONE_DATA!L:L)</f>
        <v>115476</v>
      </c>
      <c r="D77" s="14">
        <f>SUMIF(PBL_DA_CAPSTONE_DATA!D:D,"300x250",PBL_DA_CAPSTONE_DATA!U:U)</f>
        <v>0</v>
      </c>
      <c r="E77" s="18">
        <f>IF(B77&gt;0,C77/B77,0)</f>
        <v>2.8334042649511234E-3</v>
      </c>
      <c r="H77" s="17" t="s">
        <v>57</v>
      </c>
      <c r="I77" s="14">
        <f>SUMIF(PBL_DA_CAPSTONE_DATA!E:E,"Sign up Today - 10% Off",PBL_DA_CAPSTONE_DATA!K:K)</f>
        <v>21106602</v>
      </c>
      <c r="J77" s="14">
        <f>SUMIF(PBL_DA_CAPSTONE_DATA!E:E,"Sign up Today - 10% Off",PBL_DA_CAPSTONE_DATA!L:L)</f>
        <v>60421</v>
      </c>
      <c r="K77" s="14">
        <f>SUMIF(PBL_DA_CAPSTONE_DATA!E:E,"Sign up Today - 10% Off",PBL_DA_CAPSTONE_DATA!U:U)</f>
        <v>0</v>
      </c>
      <c r="L77" s="18">
        <f>IF(I77&gt;0,J77/I77,0)</f>
        <v>2.8626588022079538E-3</v>
      </c>
    </row>
    <row r="78" spans="1:12">
      <c r="A78" s="17" t="s">
        <v>58</v>
      </c>
      <c r="B78" s="14">
        <f>SUMIF(PBL_DA_CAPSTONE_DATA!D:D,"300x50",PBL_DA_CAPSTONE_DATA!K:K)</f>
        <v>4935462</v>
      </c>
      <c r="C78" s="14">
        <f>SUMIF(PBL_DA_CAPSTONE_DATA!D:D,"300x50",PBL_DA_CAPSTONE_DATA!L:L)</f>
        <v>14894</v>
      </c>
      <c r="D78" s="14">
        <f>SUMIF(PBL_DA_CAPSTONE_DATA!D:D,"300x50",PBL_DA_CAPSTONE_DATA!U:U)</f>
        <v>0</v>
      </c>
      <c r="E78" s="18">
        <f>IF(B78&gt;0,C78/B78,0)</f>
        <v>3.0177519348745874E-3</v>
      </c>
      <c r="H78" s="17" t="s">
        <v>59</v>
      </c>
      <c r="I78" s="14">
        <f>SUMIF(PBL_DA_CAPSTONE_DATA!E:E,"Sign up Now - 10% Off",PBL_DA_CAPSTONE_DATA!K:K)</f>
        <v>17150590</v>
      </c>
      <c r="J78" s="14">
        <f>SUMIF(PBL_DA_CAPSTONE_DATA!E:E,"Sign up Now - 10% Off",PBL_DA_CAPSTONE_DATA!L:L)</f>
        <v>48516</v>
      </c>
      <c r="K78" s="14">
        <f>SUMIF(PBL_DA_CAPSTONE_DATA!E:E,"Sign up Now - 10% Off",PBL_DA_CAPSTONE_DATA!U:U)</f>
        <v>0</v>
      </c>
      <c r="L78" s="18">
        <f>IF(I78&gt;0,J78/I78,0)</f>
        <v>2.8288239646566096E-3</v>
      </c>
    </row>
    <row r="79" spans="1:12">
      <c r="H79" s="17" t="s">
        <v>60</v>
      </c>
      <c r="I79" s="14">
        <f>SUMIF(PBL_DA_CAPSTONE_DATA!E:E,"10% Discount - Ends 6/1",PBL_DA_CAPSTONE_DATA!K:K)</f>
        <v>25035540</v>
      </c>
      <c r="J79" s="14">
        <f>SUMIF(PBL_DA_CAPSTONE_DATA!E:E,"10% Discount - Ends 6/1",PBL_DA_CAPSTONE_DATA!L:L)</f>
        <v>58860</v>
      </c>
      <c r="K79" s="14">
        <f>SUMIF(PBL_DA_CAPSTONE_DATA!E:E,"10% Discount - Ends 6/1",PBL_DA_CAPSTONE_DATA!U:U)</f>
        <v>0</v>
      </c>
      <c r="L79" s="18">
        <f>IF(I79&gt;0,J79/I79,0)</f>
        <v>2.3510577363220447E-3</v>
      </c>
    </row>
    <row r="81" spans="1:1" ht="18">
      <c r="A81" s="31" t="s">
        <v>61</v>
      </c>
    </row>
    <row r="82" spans="1:1">
      <c r="A82" t="s">
        <v>62</v>
      </c>
    </row>
    <row r="83" spans="1:1">
      <c r="A83" t="s">
        <v>63</v>
      </c>
    </row>
    <row r="84" spans="1:1">
      <c r="A84" t="s">
        <v>64</v>
      </c>
    </row>
    <row r="85" spans="1:1">
      <c r="A85" t="s">
        <v>65</v>
      </c>
    </row>
    <row r="86" spans="1:1">
      <c r="A86" t="s">
        <v>66</v>
      </c>
    </row>
    <row r="87" spans="1:1">
      <c r="A87" t="s">
        <v>67</v>
      </c>
    </row>
    <row r="88" spans="1:1">
      <c r="A88" t="s">
        <v>68</v>
      </c>
    </row>
    <row r="89" spans="1:1">
      <c r="A89" t="s">
        <v>69</v>
      </c>
    </row>
    <row r="91" spans="1:1">
      <c r="A91" s="32" t="s">
        <v>70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F2D93-3AFF-4CE7-9469-7E3BCBA4A463}">
  <sheetPr>
    <tabColor rgb="FFFF0000"/>
  </sheetPr>
  <dimension ref="A1:H362"/>
  <sheetViews>
    <sheetView workbookViewId="0">
      <pane ySplit="3" topLeftCell="A25" activePane="bottomLeft" state="frozen"/>
      <selection pane="bottomLeft" activeCell="G31" sqref="G31"/>
    </sheetView>
  </sheetViews>
  <sheetFormatPr defaultRowHeight="14.45"/>
  <cols>
    <col min="1" max="1" width="41" bestFit="1" customWidth="1"/>
    <col min="2" max="3" width="5.5703125" bestFit="1" customWidth="1"/>
    <col min="4" max="4" width="9.42578125" bestFit="1" customWidth="1"/>
    <col min="5" max="5" width="10.5703125" bestFit="1" customWidth="1"/>
    <col min="6" max="7" width="9" bestFit="1" customWidth="1"/>
    <col min="8" max="8" width="10.5703125" bestFit="1" customWidth="1"/>
  </cols>
  <sheetData>
    <row r="1" spans="1:8" ht="115.5" customHeight="1"/>
    <row r="3" spans="1:8" ht="28.9">
      <c r="B3" s="7" t="s">
        <v>23</v>
      </c>
      <c r="C3" s="7" t="s">
        <v>71</v>
      </c>
      <c r="D3" s="7" t="s">
        <v>72</v>
      </c>
      <c r="E3" s="7" t="s">
        <v>73</v>
      </c>
      <c r="F3" s="7" t="s">
        <v>74</v>
      </c>
      <c r="G3" s="7" t="s">
        <v>75</v>
      </c>
      <c r="H3" s="7" t="s">
        <v>76</v>
      </c>
    </row>
    <row r="4" spans="1:8">
      <c r="A4" s="1" t="s">
        <v>18</v>
      </c>
      <c r="B4" s="5"/>
      <c r="C4" s="5"/>
      <c r="D4" s="5"/>
      <c r="E4" s="6"/>
      <c r="F4" s="6"/>
      <c r="G4" s="6"/>
      <c r="H4" s="6"/>
    </row>
    <row r="5" spans="1:8">
      <c r="A5" s="2" t="s">
        <v>25</v>
      </c>
      <c r="B5" s="5">
        <v>2.2130111541290858E-3</v>
      </c>
      <c r="C5" s="5">
        <v>2.0818875780707843E-2</v>
      </c>
      <c r="D5" s="5">
        <v>0.61139692972285353</v>
      </c>
      <c r="E5" s="6">
        <v>42.272937973260369</v>
      </c>
      <c r="F5" s="6">
        <v>23.96314130867129</v>
      </c>
      <c r="G5" s="6">
        <v>10.828296668979876</v>
      </c>
      <c r="H5" s="6">
        <v>520.11918333333335</v>
      </c>
    </row>
    <row r="6" spans="1:8">
      <c r="A6" s="2" t="s">
        <v>27</v>
      </c>
      <c r="B6" s="5">
        <v>3.9358660976923391E-3</v>
      </c>
      <c r="C6" s="5">
        <v>0.22105263157894736</v>
      </c>
      <c r="D6" s="5">
        <v>0.57170740362862082</v>
      </c>
      <c r="E6" s="6">
        <v>1120.584450651769</v>
      </c>
      <c r="F6" s="6">
        <v>598.3383353357915</v>
      </c>
      <c r="G6" s="6">
        <v>152.0220252631579</v>
      </c>
      <c r="H6" s="6">
        <v>687.7186857142857</v>
      </c>
    </row>
    <row r="7" spans="1:8">
      <c r="A7" s="2" t="s">
        <v>29</v>
      </c>
      <c r="B7" s="5">
        <v>2.1484172477337928E-3</v>
      </c>
      <c r="C7" s="5">
        <v>5.7578323454699404E-2</v>
      </c>
      <c r="D7" s="5">
        <v>0.56607252217335258</v>
      </c>
      <c r="E7" s="6">
        <v>72.340124906849454</v>
      </c>
      <c r="F7" s="6">
        <v>34.78874818767089</v>
      </c>
      <c r="G7" s="6">
        <v>16.192733615580018</v>
      </c>
      <c r="H7" s="6">
        <v>281.22968235294115</v>
      </c>
    </row>
    <row r="8" spans="1:8">
      <c r="A8" s="2" t="s">
        <v>30</v>
      </c>
      <c r="B8" s="5">
        <v>2.8682059371862899E-3</v>
      </c>
      <c r="C8" s="5">
        <v>0.2</v>
      </c>
      <c r="D8" s="5">
        <v>0.35611470021534625</v>
      </c>
      <c r="E8" s="6">
        <v>1565.9562698917887</v>
      </c>
      <c r="F8" s="6">
        <v>352.80615230173521</v>
      </c>
      <c r="G8" s="6">
        <v>123.005865</v>
      </c>
      <c r="H8" s="6">
        <v>615.02932499999997</v>
      </c>
    </row>
    <row r="9" spans="1:8">
      <c r="A9" s="2" t="s">
        <v>31</v>
      </c>
      <c r="B9" s="5">
        <v>4.7094983144953398E-3</v>
      </c>
      <c r="C9" s="5">
        <v>7.8947368421052627E-2</v>
      </c>
      <c r="D9" s="5">
        <v>0.37618608686222416</v>
      </c>
      <c r="E9" s="6">
        <v>1202.6325814355723</v>
      </c>
      <c r="F9" s="6">
        <v>413.63597313107277</v>
      </c>
      <c r="G9" s="6">
        <v>87.830156315789466</v>
      </c>
      <c r="H9" s="6">
        <v>1112.5153133333333</v>
      </c>
    </row>
    <row r="10" spans="1:8">
      <c r="A10" s="1" t="s">
        <v>77</v>
      </c>
      <c r="B10" s="5">
        <v>2.3036341450640711E-3</v>
      </c>
      <c r="C10" s="5">
        <v>4.8184594502884287E-2</v>
      </c>
      <c r="D10" s="5">
        <v>0.58243267209726612</v>
      </c>
      <c r="E10" s="6">
        <v>106.69218846570131</v>
      </c>
      <c r="F10" s="6">
        <v>55.32571807801714</v>
      </c>
      <c r="G10" s="6">
        <v>24.016712114014251</v>
      </c>
      <c r="H10" s="6">
        <v>498.43134225352111</v>
      </c>
    </row>
    <row r="11" spans="1:8">
      <c r="A11" s="1" t="s">
        <v>10</v>
      </c>
      <c r="B11" s="5"/>
      <c r="C11" s="5"/>
      <c r="D11" s="5"/>
      <c r="E11" s="6"/>
      <c r="F11" s="6"/>
      <c r="G11" s="6"/>
      <c r="H11" s="6"/>
    </row>
    <row r="12" spans="1:8">
      <c r="A12" s="2" t="s">
        <v>39</v>
      </c>
      <c r="B12" s="5">
        <v>6.2030463850024121E-3</v>
      </c>
      <c r="C12" s="5">
        <v>8.8888888888888892E-2</v>
      </c>
      <c r="D12" s="5">
        <v>6.52698221284293E-2</v>
      </c>
      <c r="E12" s="6">
        <v>6375.5070438799075</v>
      </c>
      <c r="F12" s="6">
        <v>380.5354676407747</v>
      </c>
      <c r="G12" s="6">
        <v>61.346545555555551</v>
      </c>
      <c r="H12" s="6">
        <v>690.14863749999995</v>
      </c>
    </row>
    <row r="13" spans="1:8">
      <c r="A13" s="2" t="s">
        <v>78</v>
      </c>
      <c r="B13" s="5">
        <v>3.2192295310655649E-3</v>
      </c>
      <c r="C13" s="5">
        <v>0.4</v>
      </c>
      <c r="D13" s="5">
        <v>0.71331490439990786</v>
      </c>
      <c r="E13" s="6">
        <v>741.90279347650574</v>
      </c>
      <c r="F13" s="6">
        <v>493.03616267839902</v>
      </c>
      <c r="G13" s="6">
        <v>153.15346666666667</v>
      </c>
      <c r="H13" s="6">
        <v>382.88366666666667</v>
      </c>
    </row>
    <row r="14" spans="1:8">
      <c r="A14" s="2" t="s">
        <v>25</v>
      </c>
      <c r="B14" s="5">
        <v>2.9200681452016988E-3</v>
      </c>
      <c r="C14" s="5">
        <v>2.8247096092925028E-2</v>
      </c>
      <c r="D14" s="5">
        <v>0.69809979588877125</v>
      </c>
      <c r="E14" s="6">
        <v>74.06458808362288</v>
      </c>
      <c r="F14" s="6">
        <v>46.035826376201598</v>
      </c>
      <c r="G14" s="6">
        <v>15.765326042766633</v>
      </c>
      <c r="H14" s="6">
        <v>558.12200981308411</v>
      </c>
    </row>
    <row r="15" spans="1:8">
      <c r="A15" s="2" t="s">
        <v>27</v>
      </c>
      <c r="B15" s="5">
        <v>3.2648215478222158E-3</v>
      </c>
      <c r="C15" s="5">
        <v>4.4713438735177864E-2</v>
      </c>
      <c r="D15" s="5">
        <v>0.50155459748194731</v>
      </c>
      <c r="E15" s="6">
        <v>227.70621340863406</v>
      </c>
      <c r="F15" s="6">
        <v>100.22269655871034</v>
      </c>
      <c r="G15" s="6">
        <v>30.697756398221344</v>
      </c>
      <c r="H15" s="6">
        <v>686.54429779005534</v>
      </c>
    </row>
    <row r="16" spans="1:8">
      <c r="A16" s="2" t="s">
        <v>37</v>
      </c>
      <c r="B16" s="5">
        <v>3.7758874845943789E-3</v>
      </c>
      <c r="C16" s="5">
        <v>3.6799999999999999E-2</v>
      </c>
      <c r="D16" s="5">
        <v>0.39808108088433342</v>
      </c>
      <c r="E16" s="6">
        <v>238.53387645380735</v>
      </c>
      <c r="F16" s="6">
        <v>78.804200599308871</v>
      </c>
      <c r="G16" s="6">
        <v>20.8703784</v>
      </c>
      <c r="H16" s="6">
        <v>567.12984782608703</v>
      </c>
    </row>
    <row r="17" spans="1:8">
      <c r="A17" s="2" t="s">
        <v>29</v>
      </c>
      <c r="B17" s="5">
        <v>2.8513435819125673E-3</v>
      </c>
      <c r="C17" s="5">
        <v>2.3936170212765957E-2</v>
      </c>
      <c r="D17" s="5">
        <v>0.70811554247152508</v>
      </c>
      <c r="E17" s="6">
        <v>48.329426323925802</v>
      </c>
      <c r="F17" s="6">
        <v>28.493047754616821</v>
      </c>
      <c r="G17" s="6">
        <v>9.9928496640537521</v>
      </c>
      <c r="H17" s="6">
        <v>417.47905263157895</v>
      </c>
    </row>
    <row r="18" spans="1:8">
      <c r="A18" s="2" t="s">
        <v>35</v>
      </c>
      <c r="B18" s="5">
        <v>2.9766919404661612E-3</v>
      </c>
      <c r="C18" s="5">
        <v>0.13207547169811321</v>
      </c>
      <c r="D18" s="5">
        <v>0.57038055937643284</v>
      </c>
      <c r="E18" s="6">
        <v>599.32879957127534</v>
      </c>
      <c r="F18" s="6">
        <v>314.05434990171301</v>
      </c>
      <c r="G18" s="6">
        <v>105.50448490566038</v>
      </c>
      <c r="H18" s="6">
        <v>798.81967142857138</v>
      </c>
    </row>
    <row r="19" spans="1:8">
      <c r="A19" s="2" t="s">
        <v>33</v>
      </c>
      <c r="B19" s="5">
        <v>3.5694850533578063E-3</v>
      </c>
      <c r="C19" s="5">
        <v>0.12403100775193798</v>
      </c>
      <c r="D19" s="5">
        <v>0.52846299810246677</v>
      </c>
      <c r="E19" s="6">
        <v>410.10864615635711</v>
      </c>
      <c r="F19" s="6">
        <v>185.40924930132172</v>
      </c>
      <c r="G19" s="6">
        <v>51.94285633074935</v>
      </c>
      <c r="H19" s="6">
        <v>418.78927916666663</v>
      </c>
    </row>
    <row r="20" spans="1:8">
      <c r="A20" s="2" t="s">
        <v>79</v>
      </c>
      <c r="B20" s="5">
        <v>2.4703175902051908E-3</v>
      </c>
      <c r="C20" s="5">
        <v>6.8750000000000006E-2</v>
      </c>
      <c r="D20" s="5">
        <v>0.52530197259797817</v>
      </c>
      <c r="E20" s="6">
        <v>405.93039977943209</v>
      </c>
      <c r="F20" s="6">
        <v>56.829253192113512</v>
      </c>
      <c r="G20" s="6">
        <v>23.004836875000002</v>
      </c>
      <c r="H20" s="6">
        <v>334.61580909090912</v>
      </c>
    </row>
    <row r="21" spans="1:8">
      <c r="A21" s="2" t="s">
        <v>30</v>
      </c>
      <c r="B21" s="5">
        <v>3.0898884431477262E-3</v>
      </c>
      <c r="C21" s="5">
        <v>3.9371119038182058E-2</v>
      </c>
      <c r="D21" s="5">
        <v>0.5215513244813812</v>
      </c>
      <c r="E21" s="6">
        <v>100.49153450479321</v>
      </c>
      <c r="F21" s="6">
        <v>45.228478369760332</v>
      </c>
      <c r="G21" s="6">
        <v>14.637576469811073</v>
      </c>
      <c r="H21" s="6">
        <v>371.78461845637588</v>
      </c>
    </row>
    <row r="22" spans="1:8">
      <c r="A22" s="2" t="s">
        <v>31</v>
      </c>
      <c r="B22" s="5">
        <v>2.6981637992330872E-3</v>
      </c>
      <c r="C22" s="5">
        <v>3.5033086804203972E-2</v>
      </c>
      <c r="D22" s="5">
        <v>0.56595829746110471</v>
      </c>
      <c r="E22" s="6">
        <v>107.32969885953641</v>
      </c>
      <c r="F22" s="6">
        <v>52.020684277025481</v>
      </c>
      <c r="G22" s="6">
        <v>19.280031957960297</v>
      </c>
      <c r="H22" s="6">
        <v>550.33780111111105</v>
      </c>
    </row>
    <row r="23" spans="1:8">
      <c r="A23" s="1" t="s">
        <v>80</v>
      </c>
      <c r="B23" s="5">
        <v>2.9589378917300015E-3</v>
      </c>
      <c r="C23" s="5">
        <v>3.3290789193788556E-2</v>
      </c>
      <c r="D23" s="5">
        <v>0.6307741837445483</v>
      </c>
      <c r="E23" s="6">
        <v>89.184785157512181</v>
      </c>
      <c r="F23" s="6">
        <v>47.88442161056922</v>
      </c>
      <c r="G23" s="6">
        <v>16.182976244416082</v>
      </c>
      <c r="H23" s="6">
        <v>486.10972092651758</v>
      </c>
    </row>
    <row r="24" spans="1:8">
      <c r="A24" s="1" t="s">
        <v>14</v>
      </c>
      <c r="B24" s="5"/>
      <c r="C24" s="5"/>
      <c r="D24" s="5"/>
      <c r="E24" s="6"/>
      <c r="F24" s="6"/>
      <c r="G24" s="6"/>
      <c r="H24" s="6"/>
    </row>
    <row r="25" spans="1:8">
      <c r="A25" s="2" t="s">
        <v>25</v>
      </c>
      <c r="B25" s="5">
        <v>2.7208183738638412E-3</v>
      </c>
      <c r="C25" s="5">
        <v>1.9972260748959778E-2</v>
      </c>
      <c r="D25" s="5">
        <v>0.3385188299094597</v>
      </c>
      <c r="E25" s="6">
        <v>68.434449235244784</v>
      </c>
      <c r="F25" s="6">
        <v>20.879296647695153</v>
      </c>
      <c r="G25" s="6">
        <v>7.6739031345353679</v>
      </c>
      <c r="H25" s="6">
        <v>384.22806666666668</v>
      </c>
    </row>
    <row r="26" spans="1:8">
      <c r="A26" s="2" t="s">
        <v>27</v>
      </c>
      <c r="B26" s="5">
        <v>2.7392540994282018E-3</v>
      </c>
      <c r="C26" s="5">
        <v>6.2116564417177916E-2</v>
      </c>
      <c r="D26" s="5">
        <v>0.51911895117800733</v>
      </c>
      <c r="E26" s="6">
        <v>116.67639340326512</v>
      </c>
      <c r="F26" s="6">
        <v>53.086016359901016</v>
      </c>
      <c r="G26" s="6">
        <v>19.379734202453989</v>
      </c>
      <c r="H26" s="6">
        <v>311.98979506172839</v>
      </c>
    </row>
    <row r="27" spans="1:8">
      <c r="A27" s="2" t="s">
        <v>29</v>
      </c>
      <c r="B27" s="5">
        <v>2.6775113419937537E-3</v>
      </c>
      <c r="C27" s="5">
        <v>7.8023407022106639E-2</v>
      </c>
      <c r="D27" s="5">
        <v>0.46559209730122231</v>
      </c>
      <c r="E27" s="6">
        <v>211.66946958005036</v>
      </c>
      <c r="F27" s="6">
        <v>90.731174379454544</v>
      </c>
      <c r="G27" s="6">
        <v>33.886382834850458</v>
      </c>
      <c r="H27" s="6">
        <v>434.31047333333333</v>
      </c>
    </row>
    <row r="28" spans="1:8">
      <c r="A28" s="2" t="s">
        <v>35</v>
      </c>
      <c r="B28" s="5">
        <v>2.8874369389554635E-3</v>
      </c>
      <c r="C28" s="5">
        <v>6.1326658322903627E-2</v>
      </c>
      <c r="D28" s="5">
        <v>0.44984558538599739</v>
      </c>
      <c r="E28" s="6">
        <v>19.806290079789779</v>
      </c>
      <c r="F28" s="6">
        <v>8.2260422237962398</v>
      </c>
      <c r="G28" s="6">
        <v>2.8489080100125159</v>
      </c>
      <c r="H28" s="6">
        <v>46.454642857142858</v>
      </c>
    </row>
    <row r="29" spans="1:8">
      <c r="A29" s="2" t="s">
        <v>33</v>
      </c>
      <c r="B29" s="5">
        <v>2.0970502521086148E-3</v>
      </c>
      <c r="C29" s="5">
        <v>0.11764705882352941</v>
      </c>
      <c r="D29" s="5">
        <v>0.49301762875907362</v>
      </c>
      <c r="E29" s="6">
        <v>126.52741709317816</v>
      </c>
      <c r="F29" s="6">
        <v>55.653880313940761</v>
      </c>
      <c r="G29" s="6">
        <v>26.539125735294117</v>
      </c>
      <c r="H29" s="6">
        <v>225.58256875000001</v>
      </c>
    </row>
    <row r="30" spans="1:8">
      <c r="A30" s="2" t="s">
        <v>30</v>
      </c>
      <c r="B30" s="5">
        <v>9.4274940006856354E-3</v>
      </c>
      <c r="C30" s="5">
        <v>4.5454545454545456E-2</v>
      </c>
      <c r="D30" s="5">
        <v>0.71396130438731942</v>
      </c>
      <c r="E30" s="6">
        <v>337.65669211195933</v>
      </c>
      <c r="F30" s="6">
        <v>227.45814192663696</v>
      </c>
      <c r="G30" s="6">
        <v>24.127105454545454</v>
      </c>
      <c r="H30" s="6">
        <v>530.79632000000004</v>
      </c>
    </row>
    <row r="31" spans="1:8">
      <c r="A31" s="2" t="s">
        <v>31</v>
      </c>
      <c r="B31" s="5">
        <v>3.6855315910820359E-3</v>
      </c>
      <c r="C31" s="5">
        <v>1.386748844375963E-2</v>
      </c>
      <c r="D31" s="5">
        <v>0.4840500003139146</v>
      </c>
      <c r="E31" s="6">
        <v>101.27766118886107</v>
      </c>
      <c r="F31" s="6">
        <v>44.342262655172803</v>
      </c>
      <c r="G31" s="6">
        <v>12.031442835130971</v>
      </c>
      <c r="H31" s="6">
        <v>867.60071111111108</v>
      </c>
    </row>
    <row r="32" spans="1:8">
      <c r="A32" s="1" t="s">
        <v>81</v>
      </c>
      <c r="B32" s="5">
        <v>2.8163751662337554E-3</v>
      </c>
      <c r="C32" s="5">
        <v>3.9609332609875203E-2</v>
      </c>
      <c r="D32" s="5">
        <v>0.41211533758660429</v>
      </c>
      <c r="E32" s="6">
        <v>98.052276057966125</v>
      </c>
      <c r="F32" s="6">
        <v>36.424230912200684</v>
      </c>
      <c r="G32" s="6">
        <v>12.933018068366794</v>
      </c>
      <c r="H32" s="6">
        <v>326.51441506849312</v>
      </c>
    </row>
    <row r="33" spans="1:8">
      <c r="A33" s="1" t="s">
        <v>12</v>
      </c>
      <c r="B33" s="5"/>
      <c r="C33" s="5"/>
      <c r="D33" s="5"/>
      <c r="E33" s="6"/>
      <c r="F33" s="6"/>
      <c r="G33" s="6"/>
      <c r="H33" s="6"/>
    </row>
    <row r="34" spans="1:8">
      <c r="A34" s="2" t="s">
        <v>25</v>
      </c>
      <c r="B34" s="5">
        <v>2.8059154216922891E-3</v>
      </c>
      <c r="C34" s="5">
        <v>1.7564402810304448E-2</v>
      </c>
      <c r="D34" s="5">
        <v>0.66821919916952666</v>
      </c>
      <c r="E34" s="6">
        <v>40.048640965663083</v>
      </c>
      <c r="F34" s="6">
        <v>22.276322131575746</v>
      </c>
      <c r="G34" s="6">
        <v>7.9390568793911003</v>
      </c>
      <c r="H34" s="6">
        <v>451.99697166666664</v>
      </c>
    </row>
    <row r="35" spans="1:8">
      <c r="A35" s="2" t="s">
        <v>27</v>
      </c>
      <c r="B35" s="5">
        <v>2.7480940005182122E-3</v>
      </c>
      <c r="C35" s="5">
        <v>0.18857142857142858</v>
      </c>
      <c r="D35" s="5">
        <v>0.6312617130122069</v>
      </c>
      <c r="E35" s="6">
        <v>341.25248869988502</v>
      </c>
      <c r="F35" s="6">
        <v>200.36101004232066</v>
      </c>
      <c r="G35" s="6">
        <v>72.909081714285719</v>
      </c>
      <c r="H35" s="6">
        <v>386.63906969696967</v>
      </c>
    </row>
    <row r="36" spans="1:8">
      <c r="A36" s="2" t="s">
        <v>29</v>
      </c>
      <c r="B36" s="5">
        <v>3.308555881448755E-3</v>
      </c>
      <c r="C36" s="5">
        <v>1.725181598062954E-2</v>
      </c>
      <c r="D36" s="5">
        <v>0.58210530865881294</v>
      </c>
      <c r="E36" s="6">
        <v>31.190486356725611</v>
      </c>
      <c r="F36" s="6">
        <v>16.263541062710019</v>
      </c>
      <c r="G36" s="6">
        <v>4.9156011400322841</v>
      </c>
      <c r="H36" s="6">
        <v>284.93238888888885</v>
      </c>
    </row>
    <row r="37" spans="1:8">
      <c r="A37" s="2" t="s">
        <v>30</v>
      </c>
      <c r="B37" s="5">
        <v>2.5946244911404554E-3</v>
      </c>
      <c r="C37" s="5">
        <v>5.9561128526645767E-2</v>
      </c>
      <c r="D37" s="5">
        <v>0.30690751801137944</v>
      </c>
      <c r="E37" s="6">
        <v>326.08002943625121</v>
      </c>
      <c r="F37" s="6">
        <v>89.199152070209408</v>
      </c>
      <c r="G37" s="6">
        <v>34.378443730407525</v>
      </c>
      <c r="H37" s="6">
        <v>577.19597631578949</v>
      </c>
    </row>
    <row r="38" spans="1:8">
      <c r="A38" s="2" t="s">
        <v>31</v>
      </c>
      <c r="B38" s="5">
        <v>2.996914940502424E-3</v>
      </c>
      <c r="C38" s="5">
        <v>0.27941176470588236</v>
      </c>
      <c r="D38" s="5">
        <v>0.51229055884418584</v>
      </c>
      <c r="E38" s="6">
        <v>706.09934390912656</v>
      </c>
      <c r="F38" s="6">
        <v>317.79138386954605</v>
      </c>
      <c r="G38" s="6">
        <v>106.03950735294117</v>
      </c>
      <c r="H38" s="6">
        <v>379.50981578947369</v>
      </c>
    </row>
    <row r="39" spans="1:8">
      <c r="A39" s="1" t="s">
        <v>82</v>
      </c>
      <c r="B39" s="5">
        <v>3.1206873322527505E-3</v>
      </c>
      <c r="C39" s="5">
        <v>2.4610678531701891E-2</v>
      </c>
      <c r="D39" s="5">
        <v>0.58984593794356199</v>
      </c>
      <c r="E39" s="6">
        <v>54.56942753886495</v>
      </c>
      <c r="F39" s="6">
        <v>28.313895715151368</v>
      </c>
      <c r="G39" s="6">
        <v>9.0729678114571755</v>
      </c>
      <c r="H39" s="6">
        <v>368.65979943502828</v>
      </c>
    </row>
    <row r="40" spans="1:8">
      <c r="A40" s="1" t="s">
        <v>16</v>
      </c>
      <c r="B40" s="5"/>
      <c r="C40" s="5"/>
      <c r="D40" s="5"/>
      <c r="E40" s="6"/>
      <c r="F40" s="6"/>
      <c r="G40" s="6"/>
      <c r="H40" s="6"/>
    </row>
    <row r="41" spans="1:8">
      <c r="A41" s="2" t="s">
        <v>39</v>
      </c>
      <c r="B41" s="5">
        <v>7.6503560066656564E-3</v>
      </c>
      <c r="C41" s="5">
        <v>2.9702970297029702E-2</v>
      </c>
      <c r="D41" s="5">
        <v>0.84369421808304235</v>
      </c>
      <c r="E41" s="6">
        <v>156.29296292889339</v>
      </c>
      <c r="F41" s="6">
        <v>128.69722769277382</v>
      </c>
      <c r="G41" s="6">
        <v>16.82238415841584</v>
      </c>
      <c r="H41" s="6">
        <v>566.35360000000003</v>
      </c>
    </row>
    <row r="42" spans="1:8">
      <c r="A42" s="2" t="s">
        <v>25</v>
      </c>
      <c r="B42" s="5">
        <v>2.6923446889729296E-3</v>
      </c>
      <c r="C42" s="5">
        <v>7.1455434373824747E-3</v>
      </c>
      <c r="D42" s="5">
        <v>0.68192420456267611</v>
      </c>
      <c r="E42" s="6">
        <v>11.42181112730092</v>
      </c>
      <c r="F42" s="6">
        <v>6.9211700915842718</v>
      </c>
      <c r="G42" s="6">
        <v>2.5706849943587815</v>
      </c>
      <c r="H42" s="6">
        <v>359.76060000000001</v>
      </c>
    </row>
    <row r="43" spans="1:8">
      <c r="A43" s="2" t="s">
        <v>27</v>
      </c>
      <c r="B43" s="5">
        <v>2.7617044802623184E-3</v>
      </c>
      <c r="C43" s="5">
        <v>5.8139534883720929E-2</v>
      </c>
      <c r="D43" s="5">
        <v>0.48407377121914869</v>
      </c>
      <c r="E43" s="6">
        <v>39.91725943855527</v>
      </c>
      <c r="F43" s="6">
        <v>17.576472308748496</v>
      </c>
      <c r="G43" s="6">
        <v>6.3643566624764301</v>
      </c>
      <c r="H43" s="6">
        <v>109.46693459459459</v>
      </c>
    </row>
    <row r="44" spans="1:8">
      <c r="A44" s="2" t="s">
        <v>29</v>
      </c>
      <c r="B44" s="5">
        <v>2.8156070509011686E-3</v>
      </c>
      <c r="C44" s="5">
        <v>1.6319639842431063E-2</v>
      </c>
      <c r="D44" s="5">
        <v>0.42184868940647025</v>
      </c>
      <c r="E44" s="6">
        <v>37.664675103324029</v>
      </c>
      <c r="F44" s="6">
        <v>13.515538601703307</v>
      </c>
      <c r="G44" s="6">
        <v>4.8002218908272374</v>
      </c>
      <c r="H44" s="6">
        <v>294.13773448275862</v>
      </c>
    </row>
    <row r="45" spans="1:8">
      <c r="A45" s="2" t="s">
        <v>35</v>
      </c>
      <c r="B45" s="5">
        <v>5.1348356113779092E-3</v>
      </c>
      <c r="C45" s="5">
        <v>0.10071942446043165</v>
      </c>
      <c r="D45" s="5">
        <v>0.73615493846639324</v>
      </c>
      <c r="E45" s="6">
        <v>188.33437282323311</v>
      </c>
      <c r="F45" s="6">
        <v>129.84427041004801</v>
      </c>
      <c r="G45" s="6">
        <v>25.286938129496402</v>
      </c>
      <c r="H45" s="6">
        <v>251.06317142857142</v>
      </c>
    </row>
    <row r="46" spans="1:8">
      <c r="A46" s="2" t="s">
        <v>83</v>
      </c>
      <c r="B46" s="5">
        <v>2.916673943797265E-3</v>
      </c>
      <c r="C46" s="5">
        <v>5.9880239520958087E-3</v>
      </c>
      <c r="D46" s="5">
        <v>7.3699534161490679E-2</v>
      </c>
      <c r="E46" s="6">
        <v>484.95077692915459</v>
      </c>
      <c r="F46" s="6">
        <v>32.159528092634964</v>
      </c>
      <c r="G46" s="6">
        <v>11.026096407185628</v>
      </c>
      <c r="H46" s="6">
        <v>1841.3580999999999</v>
      </c>
    </row>
    <row r="47" spans="1:8">
      <c r="A47" s="2" t="s">
        <v>30</v>
      </c>
      <c r="B47" s="5">
        <v>3.8960323797461384E-3</v>
      </c>
      <c r="C47" s="5">
        <v>6.3604240282685506E-2</v>
      </c>
      <c r="D47" s="5">
        <v>0.5092035359213456</v>
      </c>
      <c r="E47" s="6">
        <v>96.479462314385898</v>
      </c>
      <c r="F47" s="6">
        <v>46.020934634764174</v>
      </c>
      <c r="G47" s="6">
        <v>11.812256713780918</v>
      </c>
      <c r="H47" s="6">
        <v>185.71492499999999</v>
      </c>
    </row>
    <row r="48" spans="1:8">
      <c r="A48" s="2" t="s">
        <v>41</v>
      </c>
      <c r="B48" s="5">
        <v>2.4150457349286052E-3</v>
      </c>
      <c r="C48" s="5">
        <v>8.3333333333333332E-3</v>
      </c>
      <c r="D48" s="5">
        <v>0.77151024297284421</v>
      </c>
      <c r="E48" s="6">
        <v>13.09912531148065</v>
      </c>
      <c r="F48" s="6">
        <v>9.0719255964659826</v>
      </c>
      <c r="G48" s="6">
        <v>3.7564197916666666</v>
      </c>
      <c r="H48" s="6">
        <v>450.770375</v>
      </c>
    </row>
    <row r="49" spans="1:8">
      <c r="A49" s="2" t="s">
        <v>31</v>
      </c>
      <c r="B49" s="5">
        <v>2.5492955732544578E-3</v>
      </c>
      <c r="C49" s="5">
        <v>1.842948717948718E-2</v>
      </c>
      <c r="D49" s="5">
        <v>0.66972139372293749</v>
      </c>
      <c r="E49" s="6">
        <v>8.0417237370675583</v>
      </c>
      <c r="F49" s="6">
        <v>4.9315756199098351</v>
      </c>
      <c r="G49" s="6">
        <v>1.9344856169871794</v>
      </c>
      <c r="H49" s="6">
        <v>104.96687173913043</v>
      </c>
    </row>
    <row r="50" spans="1:8">
      <c r="A50" s="1" t="s">
        <v>84</v>
      </c>
      <c r="B50" s="5">
        <v>2.7595799197438673E-3</v>
      </c>
      <c r="C50" s="5">
        <v>2.913460707184231E-2</v>
      </c>
      <c r="D50" s="5">
        <v>0.5774098324848318</v>
      </c>
      <c r="E50" s="6">
        <v>25.766349327900517</v>
      </c>
      <c r="F50" s="6">
        <v>13.357594701759242</v>
      </c>
      <c r="G50" s="6">
        <v>4.8404449554767872</v>
      </c>
      <c r="H50" s="6">
        <v>166.14073234421366</v>
      </c>
    </row>
    <row r="51" spans="1:8">
      <c r="A51" s="1" t="s">
        <v>85</v>
      </c>
      <c r="B51" s="5"/>
      <c r="C51" s="5"/>
      <c r="D51" s="5"/>
      <c r="E51" s="6"/>
      <c r="F51" s="6"/>
      <c r="G51" s="6"/>
      <c r="H51" s="6"/>
    </row>
    <row r="52" spans="1:8">
      <c r="A52" s="2" t="s">
        <v>33</v>
      </c>
      <c r="B52" s="5">
        <v>5.3236200616419167E-3</v>
      </c>
      <c r="C52" s="5">
        <v>5.2631578947368418E-2</v>
      </c>
      <c r="D52" s="5">
        <v>0.62444246208742193</v>
      </c>
      <c r="E52" s="6">
        <v>254.58084126984127</v>
      </c>
      <c r="F52" s="6">
        <v>149.79539553563089</v>
      </c>
      <c r="G52" s="6">
        <v>28.137882456140353</v>
      </c>
      <c r="H52" s="6">
        <v>534.61976666666669</v>
      </c>
    </row>
    <row r="53" spans="1:8">
      <c r="A53" s="1" t="s">
        <v>86</v>
      </c>
      <c r="B53" s="5">
        <v>5.3236200616419167E-3</v>
      </c>
      <c r="C53" s="5">
        <v>5.2631578947368418E-2</v>
      </c>
      <c r="D53" s="5">
        <v>0.62444246208742193</v>
      </c>
      <c r="E53" s="6">
        <v>254.58084126984127</v>
      </c>
      <c r="F53" s="6">
        <v>149.79539553563089</v>
      </c>
      <c r="G53" s="6">
        <v>28.137882456140353</v>
      </c>
      <c r="H53" s="6">
        <v>534.61976666666669</v>
      </c>
    </row>
    <row r="54" spans="1:8">
      <c r="A54" s="1" t="s">
        <v>87</v>
      </c>
      <c r="B54" s="5"/>
      <c r="C54" s="5"/>
      <c r="D54" s="5"/>
      <c r="E54" s="6"/>
      <c r="F54" s="6"/>
      <c r="G54" s="6"/>
      <c r="H54" s="6"/>
    </row>
    <row r="55" spans="1:8">
      <c r="A55" s="2" t="s">
        <v>25</v>
      </c>
      <c r="B55" s="5">
        <v>4.4189852700490997E-3</v>
      </c>
      <c r="C55" s="5">
        <v>5.5555555555555552E-2</v>
      </c>
      <c r="D55" s="5">
        <v>0.62951195834436502</v>
      </c>
      <c r="E55" s="6">
        <v>207.26092808075146</v>
      </c>
      <c r="F55" s="6">
        <v>120.98135842880524</v>
      </c>
      <c r="G55" s="6">
        <v>27.377633333333332</v>
      </c>
      <c r="H55" s="6">
        <v>492.79739999999998</v>
      </c>
    </row>
    <row r="56" spans="1:8">
      <c r="A56" s="1" t="s">
        <v>88</v>
      </c>
      <c r="B56" s="5">
        <v>4.4189852700490997E-3</v>
      </c>
      <c r="C56" s="5">
        <v>5.5555555555555552E-2</v>
      </c>
      <c r="D56" s="5">
        <v>0.62951195834436502</v>
      </c>
      <c r="E56" s="6">
        <v>207.26092808075146</v>
      </c>
      <c r="F56" s="6">
        <v>120.98135842880524</v>
      </c>
      <c r="G56" s="6">
        <v>27.377633333333332</v>
      </c>
      <c r="H56" s="6">
        <v>492.79739999999998</v>
      </c>
    </row>
    <row r="57" spans="1:8">
      <c r="A57" s="1" t="s">
        <v>89</v>
      </c>
      <c r="B57" s="5"/>
      <c r="C57" s="5"/>
      <c r="D57" s="5"/>
      <c r="E57" s="6"/>
      <c r="F57" s="6"/>
      <c r="G57" s="6"/>
      <c r="H57" s="6"/>
    </row>
    <row r="58" spans="1:8">
      <c r="A58" s="2" t="s">
        <v>27</v>
      </c>
      <c r="B58" s="5">
        <v>4.1388365587714795E-3</v>
      </c>
      <c r="C58" s="5">
        <v>2.0689655172413793E-2</v>
      </c>
      <c r="D58" s="5">
        <v>0.40746710429915306</v>
      </c>
      <c r="E58" s="6">
        <v>154.01821777905639</v>
      </c>
      <c r="F58" s="6">
        <v>61.125458126391507</v>
      </c>
      <c r="G58" s="6">
        <v>14.76875379310345</v>
      </c>
      <c r="H58" s="6">
        <v>713.82310000000007</v>
      </c>
    </row>
    <row r="59" spans="1:8">
      <c r="A59" s="1" t="s">
        <v>90</v>
      </c>
      <c r="B59" s="5">
        <v>4.1388365587714795E-3</v>
      </c>
      <c r="C59" s="5">
        <v>2.0689655172413793E-2</v>
      </c>
      <c r="D59" s="5">
        <v>0.40746710429915306</v>
      </c>
      <c r="E59" s="6">
        <v>154.01821777905639</v>
      </c>
      <c r="F59" s="6">
        <v>61.125458126391507</v>
      </c>
      <c r="G59" s="6">
        <v>14.76875379310345</v>
      </c>
      <c r="H59" s="6">
        <v>713.82310000000007</v>
      </c>
    </row>
    <row r="60" spans="1:8">
      <c r="A60" s="1" t="s">
        <v>21</v>
      </c>
      <c r="B60" s="5"/>
      <c r="C60" s="5"/>
      <c r="D60" s="5"/>
      <c r="E60" s="6"/>
      <c r="F60" s="6"/>
      <c r="G60" s="6"/>
      <c r="H60" s="6"/>
    </row>
    <row r="61" spans="1:8">
      <c r="A61" s="2" t="s">
        <v>25</v>
      </c>
      <c r="B61" s="5">
        <v>1.7264767542237022E-3</v>
      </c>
      <c r="C61" s="5">
        <v>0.10714285714285714</v>
      </c>
      <c r="D61" s="5">
        <v>0.616659045341025</v>
      </c>
      <c r="E61" s="6">
        <v>83.88969254463521</v>
      </c>
      <c r="F61" s="6">
        <v>45.340677025527192</v>
      </c>
      <c r="G61" s="6">
        <v>26.261967857142857</v>
      </c>
      <c r="H61" s="6">
        <v>245.11170000000001</v>
      </c>
    </row>
    <row r="62" spans="1:8">
      <c r="A62" s="2" t="s">
        <v>27</v>
      </c>
      <c r="B62" s="5">
        <v>5.915267785771383E-3</v>
      </c>
      <c r="C62" s="5">
        <v>8.1081081081081086E-2</v>
      </c>
      <c r="D62" s="5">
        <v>0.48263354583424928</v>
      </c>
      <c r="E62" s="6">
        <v>347.1807105442951</v>
      </c>
      <c r="F62" s="6">
        <v>121.86015187849719</v>
      </c>
      <c r="G62" s="6">
        <v>20.600952702702703</v>
      </c>
      <c r="H62" s="6">
        <v>254.07841666666664</v>
      </c>
    </row>
    <row r="63" spans="1:8">
      <c r="A63" s="2" t="s">
        <v>29</v>
      </c>
      <c r="B63" s="5">
        <v>2.6115451364823431E-3</v>
      </c>
      <c r="C63" s="5">
        <v>1.6985138004246284E-2</v>
      </c>
      <c r="D63" s="5">
        <v>0.46512763382296307</v>
      </c>
      <c r="E63" s="6">
        <v>25.442908467259045</v>
      </c>
      <c r="F63" s="6">
        <v>9.54174313707008</v>
      </c>
      <c r="G63" s="6">
        <v>3.6536772823779193</v>
      </c>
      <c r="H63" s="6">
        <v>215.11025000000001</v>
      </c>
    </row>
    <row r="64" spans="1:8">
      <c r="A64" s="2" t="s">
        <v>35</v>
      </c>
      <c r="B64" s="5">
        <v>1.6204328111063637E-3</v>
      </c>
      <c r="C64" s="5">
        <v>9.4775212636695014E-2</v>
      </c>
      <c r="D64" s="5">
        <v>0.3917525544153227</v>
      </c>
      <c r="E64" s="6">
        <v>8.1707796221835309</v>
      </c>
      <c r="F64" s="6">
        <v>2.8367328294174516</v>
      </c>
      <c r="G64" s="6">
        <v>1.7506019441069258</v>
      </c>
      <c r="H64" s="6">
        <v>18.471094871794872</v>
      </c>
    </row>
    <row r="65" spans="1:8">
      <c r="A65" s="2" t="s">
        <v>33</v>
      </c>
      <c r="B65" s="5">
        <v>6.2252405206564797E-3</v>
      </c>
      <c r="C65" s="5">
        <v>3.4090909090909088E-2</v>
      </c>
      <c r="D65" s="5">
        <v>0.35282151736608153</v>
      </c>
      <c r="E65" s="6">
        <v>315.29720264787528</v>
      </c>
      <c r="F65" s="6">
        <v>104.45223542727788</v>
      </c>
      <c r="G65" s="6">
        <v>16.778827272727273</v>
      </c>
      <c r="H65" s="6">
        <v>492.17893333333336</v>
      </c>
    </row>
    <row r="66" spans="1:8">
      <c r="A66" s="2" t="s">
        <v>30</v>
      </c>
      <c r="B66" s="5">
        <v>1.3594344752582926E-3</v>
      </c>
      <c r="C66" s="5">
        <v>0.1</v>
      </c>
      <c r="D66" s="5">
        <v>0.22404063205417607</v>
      </c>
      <c r="E66" s="6">
        <v>1089.6559193954661</v>
      </c>
      <c r="F66" s="6">
        <v>235.23295269168023</v>
      </c>
      <c r="G66" s="6">
        <v>173.03735999999998</v>
      </c>
      <c r="H66" s="6">
        <v>1730.3735999999999</v>
      </c>
    </row>
    <row r="67" spans="1:8">
      <c r="A67" s="2" t="s">
        <v>31</v>
      </c>
      <c r="B67" s="5">
        <v>3.4906535659421723E-3</v>
      </c>
      <c r="C67" s="5">
        <v>5.4466230936819175E-2</v>
      </c>
      <c r="D67" s="5">
        <v>0.5534131325714492</v>
      </c>
      <c r="E67" s="6">
        <v>125.42916843375851</v>
      </c>
      <c r="F67" s="6">
        <v>58.478414224223158</v>
      </c>
      <c r="G67" s="6">
        <v>16.752855337690633</v>
      </c>
      <c r="H67" s="6">
        <v>307.582424</v>
      </c>
    </row>
    <row r="68" spans="1:8">
      <c r="A68" s="1" t="s">
        <v>91</v>
      </c>
      <c r="B68" s="5">
        <v>2.235452631198839E-3</v>
      </c>
      <c r="C68" s="5">
        <v>6.4109035840484607E-2</v>
      </c>
      <c r="D68" s="5">
        <v>0.43636684834169737</v>
      </c>
      <c r="E68" s="6">
        <v>51.139517190709668</v>
      </c>
      <c r="F68" s="6">
        <v>19.24366896343156</v>
      </c>
      <c r="G68" s="6">
        <v>8.6083993437657735</v>
      </c>
      <c r="H68" s="6">
        <v>134.27747322834645</v>
      </c>
    </row>
    <row r="69" spans="1:8">
      <c r="A69" s="1" t="s">
        <v>92</v>
      </c>
      <c r="B69" s="5"/>
      <c r="C69" s="5"/>
      <c r="D69" s="5"/>
      <c r="E69" s="6"/>
      <c r="F69" s="6"/>
      <c r="G69" s="6"/>
      <c r="H69" s="6"/>
    </row>
    <row r="70" spans="1:8">
      <c r="A70" s="2" t="s">
        <v>25</v>
      </c>
      <c r="B70" s="5">
        <v>3.2956381260096932E-3</v>
      </c>
      <c r="C70" s="5">
        <v>9.0497737556561084E-2</v>
      </c>
      <c r="D70" s="5">
        <v>0.51233099354595557</v>
      </c>
      <c r="E70" s="6">
        <v>386.25458954966547</v>
      </c>
      <c r="F70" s="6">
        <v>167.04323002361127</v>
      </c>
      <c r="G70" s="6">
        <v>50.686156561085966</v>
      </c>
      <c r="H70" s="6">
        <v>560.08202999999992</v>
      </c>
    </row>
    <row r="71" spans="1:8">
      <c r="A71" s="2" t="s">
        <v>27</v>
      </c>
      <c r="B71" s="5">
        <v>2.6977650607849664E-3</v>
      </c>
      <c r="C71" s="5">
        <v>1.7790262172284643E-2</v>
      </c>
      <c r="D71" s="5">
        <v>0.51339289217557182</v>
      </c>
      <c r="E71" s="6">
        <v>52.237806764130845</v>
      </c>
      <c r="F71" s="6">
        <v>23.73988126549936</v>
      </c>
      <c r="G71" s="6">
        <v>8.7998327247191011</v>
      </c>
      <c r="H71" s="6">
        <v>494.64322894736841</v>
      </c>
    </row>
    <row r="72" spans="1:8">
      <c r="A72" s="2" t="s">
        <v>37</v>
      </c>
      <c r="B72" s="5">
        <v>2.5268834741385871E-3</v>
      </c>
      <c r="C72" s="5">
        <v>3.0120481927710843E-2</v>
      </c>
      <c r="D72" s="5">
        <v>0.6543875278396436</v>
      </c>
      <c r="E72" s="6">
        <v>378.23189707984477</v>
      </c>
      <c r="F72" s="6">
        <v>24.166769090256714</v>
      </c>
      <c r="G72" s="6">
        <v>9.563863683304648</v>
      </c>
      <c r="H72" s="6">
        <v>317.52027428571427</v>
      </c>
    </row>
    <row r="73" spans="1:8">
      <c r="A73" s="2" t="s">
        <v>29</v>
      </c>
      <c r="B73" s="5">
        <v>2.7654073311830373E-3</v>
      </c>
      <c r="C73" s="5">
        <v>3.2520325203252036E-2</v>
      </c>
      <c r="D73" s="5">
        <v>0.54125786556673927</v>
      </c>
      <c r="E73" s="6">
        <v>80.455014231640448</v>
      </c>
      <c r="F73" s="6">
        <v>37.348413825307205</v>
      </c>
      <c r="G73" s="6">
        <v>13.505574171357098</v>
      </c>
      <c r="H73" s="6">
        <v>415.29640576923077</v>
      </c>
    </row>
    <row r="74" spans="1:8">
      <c r="A74" s="2" t="s">
        <v>33</v>
      </c>
      <c r="B74" s="5">
        <v>3.0621306304926968E-3</v>
      </c>
      <c r="C74" s="5">
        <v>3.4000000000000002E-2</v>
      </c>
      <c r="D74" s="5">
        <v>0.31773629870743209</v>
      </c>
      <c r="E74" s="6">
        <v>253.56478470650111</v>
      </c>
      <c r="F74" s="6">
        <v>67.909738187831096</v>
      </c>
      <c r="G74" s="6">
        <v>22.177283200000002</v>
      </c>
      <c r="H74" s="6">
        <v>652.27303529411768</v>
      </c>
    </row>
    <row r="75" spans="1:8">
      <c r="A75" s="2" t="s">
        <v>30</v>
      </c>
      <c r="B75" s="5">
        <v>2.6182975705497189E-3</v>
      </c>
      <c r="C75" s="5">
        <v>7.5590551181102361E-2</v>
      </c>
      <c r="D75" s="5">
        <v>0.50267758807503493</v>
      </c>
      <c r="E75" s="6">
        <v>90.94927396105912</v>
      </c>
      <c r="F75" s="6">
        <v>42.276914449703945</v>
      </c>
      <c r="G75" s="6">
        <v>16.146718740157482</v>
      </c>
      <c r="H75" s="6">
        <v>213.60763333333333</v>
      </c>
    </row>
    <row r="76" spans="1:8">
      <c r="A76" s="2" t="s">
        <v>31</v>
      </c>
      <c r="B76" s="5">
        <v>4.8624632894779304E-3</v>
      </c>
      <c r="C76" s="5">
        <v>0.11725663716814159</v>
      </c>
      <c r="D76" s="5">
        <v>0.48604027488446711</v>
      </c>
      <c r="E76" s="6">
        <v>648.5500480331059</v>
      </c>
      <c r="F76" s="6">
        <v>283.24049076454708</v>
      </c>
      <c r="G76" s="6">
        <v>58.250412168141594</v>
      </c>
      <c r="H76" s="6">
        <v>496.77710000000002</v>
      </c>
    </row>
    <row r="77" spans="1:8">
      <c r="A77" s="1" t="s">
        <v>93</v>
      </c>
      <c r="B77" s="5">
        <v>2.7904288444491059E-3</v>
      </c>
      <c r="C77" s="5">
        <v>3.6114684800588125E-2</v>
      </c>
      <c r="D77" s="5">
        <v>0.51410379085429625</v>
      </c>
      <c r="E77" s="6">
        <v>110.30622888438197</v>
      </c>
      <c r="F77" s="6">
        <v>44.40603568066642</v>
      </c>
      <c r="G77" s="6">
        <v>15.913695763646389</v>
      </c>
      <c r="H77" s="6">
        <v>440.64335190839699</v>
      </c>
    </row>
    <row r="78" spans="1:8">
      <c r="A78" s="1" t="s">
        <v>94</v>
      </c>
      <c r="B78" s="5"/>
      <c r="C78" s="5"/>
      <c r="D78" s="5"/>
      <c r="E78" s="6"/>
      <c r="F78" s="6"/>
      <c r="G78" s="6"/>
      <c r="H78" s="6"/>
    </row>
    <row r="79" spans="1:8">
      <c r="A79" s="2" t="s">
        <v>25</v>
      </c>
      <c r="B79" s="5">
        <v>3.2495550401812198E-3</v>
      </c>
      <c r="C79" s="5">
        <v>7.8838174273858919E-2</v>
      </c>
      <c r="D79" s="5">
        <v>0.40991476437738805</v>
      </c>
      <c r="E79" s="6">
        <v>75.776824410452519</v>
      </c>
      <c r="F79" s="6">
        <v>25.649929885119466</v>
      </c>
      <c r="G79" s="6">
        <v>7.8933668049792534</v>
      </c>
      <c r="H79" s="6">
        <v>100.12112631578948</v>
      </c>
    </row>
    <row r="80" spans="1:8">
      <c r="A80" s="2" t="s">
        <v>27</v>
      </c>
      <c r="B80" s="5">
        <v>2.4000192966375611E-3</v>
      </c>
      <c r="C80" s="5">
        <v>6.030150753768844E-2</v>
      </c>
      <c r="D80" s="5">
        <v>0.32264363208462105</v>
      </c>
      <c r="E80" s="6">
        <v>63.517341990300999</v>
      </c>
      <c r="F80" s="6">
        <v>19.113575184524098</v>
      </c>
      <c r="G80" s="6">
        <v>7.9639256281407036</v>
      </c>
      <c r="H80" s="6">
        <v>132.06843333333333</v>
      </c>
    </row>
    <row r="81" spans="1:8">
      <c r="A81" s="2" t="s">
        <v>33</v>
      </c>
      <c r="B81" s="5">
        <v>4.3695380774032462E-3</v>
      </c>
      <c r="C81" s="5">
        <v>4.0816326530612242E-2</v>
      </c>
      <c r="D81" s="5">
        <v>0.53793707996493623</v>
      </c>
      <c r="E81" s="6">
        <v>281.43929024081115</v>
      </c>
      <c r="F81" s="6">
        <v>138.61148564294632</v>
      </c>
      <c r="G81" s="6">
        <v>31.722228571428573</v>
      </c>
      <c r="H81" s="6">
        <v>777.19460000000004</v>
      </c>
    </row>
    <row r="82" spans="1:8">
      <c r="A82" s="2" t="s">
        <v>95</v>
      </c>
      <c r="B82" s="5">
        <v>3.9620798205304486E-3</v>
      </c>
      <c r="C82" s="5">
        <v>1.3698630136986301E-2</v>
      </c>
      <c r="D82" s="5">
        <v>0.92799609946367623</v>
      </c>
      <c r="E82" s="6">
        <v>32.212300611562952</v>
      </c>
      <c r="F82" s="6">
        <v>27.730178745884139</v>
      </c>
      <c r="G82" s="6">
        <v>6.9988945205479451</v>
      </c>
      <c r="H82" s="6">
        <v>510.91930000000002</v>
      </c>
    </row>
    <row r="83" spans="1:8">
      <c r="A83" s="1" t="s">
        <v>96</v>
      </c>
      <c r="B83" s="5">
        <v>3.166821727617548E-3</v>
      </c>
      <c r="C83" s="5">
        <v>5.0847457627118647E-2</v>
      </c>
      <c r="D83" s="5">
        <v>0.5155034304931615</v>
      </c>
      <c r="E83" s="6">
        <v>63.728247108888056</v>
      </c>
      <c r="F83" s="6">
        <v>29.406130125957201</v>
      </c>
      <c r="G83" s="6">
        <v>9.2856916666666667</v>
      </c>
      <c r="H83" s="6">
        <v>182.61860277777777</v>
      </c>
    </row>
    <row r="84" spans="1:8">
      <c r="A84" s="1" t="s">
        <v>97</v>
      </c>
      <c r="B84" s="5"/>
      <c r="C84" s="5"/>
      <c r="D84" s="5"/>
      <c r="E84" s="6"/>
      <c r="F84" s="6"/>
      <c r="G84" s="6"/>
      <c r="H84" s="6"/>
    </row>
    <row r="85" spans="1:8">
      <c r="A85" s="2" t="s">
        <v>25</v>
      </c>
      <c r="B85" s="5">
        <v>2.7239049901939421E-3</v>
      </c>
      <c r="C85" s="5">
        <v>0.08</v>
      </c>
      <c r="D85" s="5">
        <v>0.54880642874025054</v>
      </c>
      <c r="E85" s="6">
        <v>323.68759689922484</v>
      </c>
      <c r="F85" s="6">
        <v>163.78352582261931</v>
      </c>
      <c r="G85" s="6">
        <v>60.128208000000001</v>
      </c>
      <c r="H85" s="6">
        <v>751.60260000000005</v>
      </c>
    </row>
    <row r="86" spans="1:8">
      <c r="A86" s="2" t="s">
        <v>27</v>
      </c>
      <c r="B86" s="5">
        <v>2.6055675094136632E-3</v>
      </c>
      <c r="C86" s="5">
        <v>9.2473118279569888E-2</v>
      </c>
      <c r="D86" s="5">
        <v>0.54668254153343854</v>
      </c>
      <c r="E86" s="6">
        <v>72.883094401472889</v>
      </c>
      <c r="F86" s="6">
        <v>36.378246593150443</v>
      </c>
      <c r="G86" s="6">
        <v>13.961736344086022</v>
      </c>
      <c r="H86" s="6">
        <v>150.98156744186048</v>
      </c>
    </row>
    <row r="87" spans="1:8">
      <c r="A87" s="2" t="s">
        <v>30</v>
      </c>
      <c r="B87" s="5">
        <v>2.4816134999774398E-3</v>
      </c>
      <c r="C87" s="5">
        <v>5.4545454545454543E-2</v>
      </c>
      <c r="D87" s="5">
        <v>0.29126691266912669</v>
      </c>
      <c r="E87" s="6">
        <v>630.81896114864867</v>
      </c>
      <c r="F87" s="6">
        <v>67.399688670306361</v>
      </c>
      <c r="G87" s="6">
        <v>27.159623636363634</v>
      </c>
      <c r="H87" s="6">
        <v>497.92643333333331</v>
      </c>
    </row>
    <row r="88" spans="1:8">
      <c r="A88" s="2" t="s">
        <v>31</v>
      </c>
      <c r="B88" s="5">
        <v>2.2669311419665629E-3</v>
      </c>
      <c r="C88" s="5">
        <v>0.375</v>
      </c>
      <c r="D88" s="5">
        <v>0.6411055143160127</v>
      </c>
      <c r="E88" s="6">
        <v>164.55827561252971</v>
      </c>
      <c r="F88" s="6">
        <v>90.210949277415693</v>
      </c>
      <c r="G88" s="6">
        <v>39.794305000000001</v>
      </c>
      <c r="H88" s="6">
        <v>106.11814666666668</v>
      </c>
    </row>
    <row r="89" spans="1:8">
      <c r="A89" s="1" t="s">
        <v>98</v>
      </c>
      <c r="B89" s="5">
        <v>2.5719938448010553E-3</v>
      </c>
      <c r="C89" s="5">
        <v>0.1076923076923077</v>
      </c>
      <c r="D89" s="5">
        <v>0.54342542685527251</v>
      </c>
      <c r="E89" s="6">
        <v>104.77264140239404</v>
      </c>
      <c r="F89" s="6">
        <v>48.718241811387109</v>
      </c>
      <c r="G89" s="6">
        <v>18.941818974358974</v>
      </c>
      <c r="H89" s="6">
        <v>175.88831904761904</v>
      </c>
    </row>
    <row r="90" spans="1:8">
      <c r="A90" s="1" t="s">
        <v>99</v>
      </c>
      <c r="B90" s="5"/>
      <c r="C90" s="5"/>
      <c r="D90" s="5"/>
      <c r="E90" s="6"/>
      <c r="F90" s="6"/>
      <c r="G90" s="6"/>
      <c r="H90" s="6"/>
    </row>
    <row r="91" spans="1:8">
      <c r="A91" s="2" t="s">
        <v>27</v>
      </c>
      <c r="B91" s="5">
        <v>2.3405500292568754E-3</v>
      </c>
      <c r="C91" s="5">
        <v>0.1</v>
      </c>
      <c r="D91" s="5">
        <v>0.62686025408348456</v>
      </c>
      <c r="E91" s="6">
        <v>631.51357845975679</v>
      </c>
      <c r="F91" s="6">
        <v>255.26599180807486</v>
      </c>
      <c r="G91" s="6">
        <v>109.062395</v>
      </c>
      <c r="H91" s="6">
        <v>1090.6239499999999</v>
      </c>
    </row>
    <row r="92" spans="1:8">
      <c r="A92" s="1" t="s">
        <v>100</v>
      </c>
      <c r="B92" s="5">
        <v>2.3405500292568754E-3</v>
      </c>
      <c r="C92" s="5">
        <v>0.1</v>
      </c>
      <c r="D92" s="5">
        <v>0.62686025408348456</v>
      </c>
      <c r="E92" s="6">
        <v>631.51357845975679</v>
      </c>
      <c r="F92" s="6">
        <v>255.26599180807486</v>
      </c>
      <c r="G92" s="6">
        <v>109.062395</v>
      </c>
      <c r="H92" s="6">
        <v>1090.6239499999999</v>
      </c>
    </row>
    <row r="93" spans="1:8">
      <c r="A93" s="1" t="s">
        <v>19</v>
      </c>
      <c r="B93" s="5"/>
      <c r="C93" s="5"/>
      <c r="D93" s="5"/>
      <c r="E93" s="6"/>
      <c r="F93" s="6"/>
      <c r="G93" s="6"/>
      <c r="H93" s="6"/>
    </row>
    <row r="94" spans="1:8">
      <c r="A94" s="2" t="s">
        <v>25</v>
      </c>
      <c r="B94" s="5">
        <v>2.5632179149243503E-3</v>
      </c>
      <c r="C94" s="5">
        <v>5.2404881550610197E-2</v>
      </c>
      <c r="D94" s="5">
        <v>0.75455873969214959</v>
      </c>
      <c r="E94" s="6">
        <v>51.999102406529502</v>
      </c>
      <c r="F94" s="6">
        <v>35.966291016316831</v>
      </c>
      <c r="G94" s="6">
        <v>14.031694615936827</v>
      </c>
      <c r="H94" s="6">
        <v>267.75548767123291</v>
      </c>
    </row>
    <row r="95" spans="1:8">
      <c r="A95" s="2" t="s">
        <v>27</v>
      </c>
      <c r="B95" s="5">
        <v>2.7501670708095648E-3</v>
      </c>
      <c r="C95" s="5">
        <v>1.926851025869759E-2</v>
      </c>
      <c r="D95" s="5">
        <v>0.53253951525691934</v>
      </c>
      <c r="E95" s="6">
        <v>40.243474261415393</v>
      </c>
      <c r="F95" s="6">
        <v>19.856015334205406</v>
      </c>
      <c r="G95" s="6">
        <v>7.2199305798394287</v>
      </c>
      <c r="H95" s="6">
        <v>374.70102685185185</v>
      </c>
    </row>
    <row r="96" spans="1:8">
      <c r="A96" s="2" t="s">
        <v>37</v>
      </c>
      <c r="B96" s="5">
        <v>2.7048958615093319E-3</v>
      </c>
      <c r="C96" s="5">
        <v>0.05</v>
      </c>
      <c r="D96" s="5">
        <v>0.51643403872129667</v>
      </c>
      <c r="E96" s="6">
        <v>472.2001743679163</v>
      </c>
      <c r="F96" s="6">
        <v>219.75125777657559</v>
      </c>
      <c r="G96" s="6">
        <v>81.242040000000003</v>
      </c>
      <c r="H96" s="6">
        <v>1624.8407999999999</v>
      </c>
    </row>
    <row r="97" spans="1:8">
      <c r="A97" s="2" t="s">
        <v>29</v>
      </c>
      <c r="B97" s="5">
        <v>1.6080691524677296E-3</v>
      </c>
      <c r="C97" s="5">
        <v>4.5354056407851541E-2</v>
      </c>
      <c r="D97" s="5">
        <v>0.63090117974096582</v>
      </c>
      <c r="E97" s="6">
        <v>15.504419135281001</v>
      </c>
      <c r="F97" s="6">
        <v>8.515679229040348</v>
      </c>
      <c r="G97" s="6">
        <v>5.2955926776981306</v>
      </c>
      <c r="H97" s="6">
        <v>116.76116971935008</v>
      </c>
    </row>
    <row r="98" spans="1:8">
      <c r="A98" s="2" t="s">
        <v>83</v>
      </c>
      <c r="B98" s="5">
        <v>2.7303638983966851E-3</v>
      </c>
      <c r="C98" s="5">
        <v>1.0309278350515464E-2</v>
      </c>
      <c r="D98" s="5">
        <v>0.73917034348238775</v>
      </c>
      <c r="E98" s="6">
        <v>20.932539335355958</v>
      </c>
      <c r="F98" s="6">
        <v>8.3508849756800565</v>
      </c>
      <c r="G98" s="6">
        <v>3.0585245360824742</v>
      </c>
      <c r="H98" s="6">
        <v>296.67687999999998</v>
      </c>
    </row>
    <row r="99" spans="1:8">
      <c r="A99" s="2" t="s">
        <v>79</v>
      </c>
      <c r="B99" s="5">
        <v>2.5027688678566805E-3</v>
      </c>
      <c r="C99" s="5">
        <v>5.1724137931034482E-2</v>
      </c>
      <c r="D99" s="5">
        <v>0.73363221884498475</v>
      </c>
      <c r="E99" s="6">
        <v>54.896066123920207</v>
      </c>
      <c r="F99" s="6">
        <v>38.116850538670654</v>
      </c>
      <c r="G99" s="6">
        <v>15.229872413793103</v>
      </c>
      <c r="H99" s="6">
        <v>294.44420000000002</v>
      </c>
    </row>
    <row r="100" spans="1:8">
      <c r="A100" s="2" t="s">
        <v>30</v>
      </c>
      <c r="B100" s="5">
        <v>2.2446877824250193E-3</v>
      </c>
      <c r="C100" s="5">
        <v>0.13295880149812733</v>
      </c>
      <c r="D100" s="5">
        <v>0.17527921083961676</v>
      </c>
      <c r="E100" s="6">
        <v>257.11682973504759</v>
      </c>
      <c r="F100" s="6">
        <v>40.098747346518422</v>
      </c>
      <c r="G100" s="6">
        <v>17.863841760299625</v>
      </c>
      <c r="H100" s="6">
        <v>134.35621830985914</v>
      </c>
    </row>
    <row r="101" spans="1:8">
      <c r="A101" s="2" t="s">
        <v>31</v>
      </c>
      <c r="B101" s="5">
        <v>3.8027869375598339E-3</v>
      </c>
      <c r="C101" s="5">
        <v>5.8566433566433568E-2</v>
      </c>
      <c r="D101" s="5">
        <v>0.75515077640168193</v>
      </c>
      <c r="E101" s="6">
        <v>117.19502807021107</v>
      </c>
      <c r="F101" s="6">
        <v>76.747565750983938</v>
      </c>
      <c r="G101" s="6">
        <v>20.181926311188811</v>
      </c>
      <c r="H101" s="6">
        <v>344.59886119402984</v>
      </c>
    </row>
    <row r="102" spans="1:8">
      <c r="A102" s="1" t="s">
        <v>101</v>
      </c>
      <c r="B102" s="5">
        <v>1.9449564079779952E-3</v>
      </c>
      <c r="C102" s="5">
        <v>4.2220058422590065E-2</v>
      </c>
      <c r="D102" s="5">
        <v>0.62140846643111614</v>
      </c>
      <c r="E102" s="6">
        <v>27.31302246860589</v>
      </c>
      <c r="F102" s="6">
        <v>14.922793540699397</v>
      </c>
      <c r="G102" s="6">
        <v>7.6725593846153846</v>
      </c>
      <c r="H102" s="6">
        <v>181.7278249077491</v>
      </c>
    </row>
    <row r="103" spans="1:8">
      <c r="A103" s="1" t="s">
        <v>102</v>
      </c>
      <c r="B103" s="5"/>
      <c r="C103" s="5"/>
      <c r="D103" s="5"/>
      <c r="E103" s="6"/>
      <c r="F103" s="6"/>
      <c r="G103" s="6"/>
      <c r="H103" s="6"/>
    </row>
    <row r="104" spans="1:8">
      <c r="A104" s="2" t="s">
        <v>30</v>
      </c>
      <c r="B104" s="5">
        <v>5.5147058823529415E-3</v>
      </c>
      <c r="C104" s="5">
        <v>1.4492753623188406E-2</v>
      </c>
      <c r="D104" s="5">
        <v>0.64516129032258063</v>
      </c>
      <c r="E104" s="6">
        <v>368.4116987179487</v>
      </c>
      <c r="F104" s="6">
        <v>183.73473465473148</v>
      </c>
      <c r="G104" s="6">
        <v>33.317231884057975</v>
      </c>
      <c r="H104" s="6">
        <v>2298.8890000000001</v>
      </c>
    </row>
    <row r="105" spans="1:8">
      <c r="A105" s="2" t="s">
        <v>31</v>
      </c>
      <c r="B105" s="5">
        <v>2.4474503854012633E-3</v>
      </c>
      <c r="C105" s="5">
        <v>7.8636959370904317E-3</v>
      </c>
      <c r="D105" s="5">
        <v>0.66236309623463541</v>
      </c>
      <c r="E105" s="6">
        <v>9.0735630900177515</v>
      </c>
      <c r="F105" s="6">
        <v>4.9513964580934262</v>
      </c>
      <c r="G105" s="6">
        <v>2.0230834862385318</v>
      </c>
      <c r="H105" s="6">
        <v>257.26878333333332</v>
      </c>
    </row>
    <row r="106" spans="1:8">
      <c r="A106" s="1" t="s">
        <v>103</v>
      </c>
      <c r="B106" s="5">
        <v>2.5658026614034817E-3</v>
      </c>
      <c r="C106" s="5">
        <v>8.4134615384615381E-3</v>
      </c>
      <c r="D106" s="5">
        <v>0.66173882699905817</v>
      </c>
      <c r="E106" s="6">
        <v>21.787582926027149</v>
      </c>
      <c r="F106" s="6">
        <v>11.849881115754091</v>
      </c>
      <c r="G106" s="6">
        <v>4.6183914663461536</v>
      </c>
      <c r="H106" s="6">
        <v>548.92881428571422</v>
      </c>
    </row>
    <row r="107" spans="1:8">
      <c r="A107" s="1" t="s">
        <v>24</v>
      </c>
      <c r="B107" s="5"/>
      <c r="C107" s="5"/>
      <c r="D107" s="5"/>
      <c r="E107" s="6"/>
      <c r="F107" s="6"/>
      <c r="G107" s="6"/>
      <c r="H107" s="6"/>
    </row>
    <row r="108" spans="1:8">
      <c r="A108" s="2" t="s">
        <v>25</v>
      </c>
      <c r="B108" s="5">
        <v>2.3904526195772185E-3</v>
      </c>
      <c r="C108" s="5">
        <v>1.6679904686258934E-2</v>
      </c>
      <c r="D108" s="5">
        <v>0.75203544825448343</v>
      </c>
      <c r="E108" s="6">
        <v>19.42816465415515</v>
      </c>
      <c r="F108" s="6">
        <v>13.692047995124161</v>
      </c>
      <c r="G108" s="6">
        <v>5.7278056393963466</v>
      </c>
      <c r="H108" s="6">
        <v>343.39558571428574</v>
      </c>
    </row>
    <row r="109" spans="1:8">
      <c r="A109" s="2" t="s">
        <v>27</v>
      </c>
      <c r="B109" s="5">
        <v>3.7807624537615084E-3</v>
      </c>
      <c r="C109" s="5">
        <v>4.0123456790123455E-2</v>
      </c>
      <c r="D109" s="5">
        <v>0.79946203692382933</v>
      </c>
      <c r="E109" s="6">
        <v>129.90316265981525</v>
      </c>
      <c r="F109" s="6">
        <v>99.117915446281671</v>
      </c>
      <c r="G109" s="6">
        <v>26.216382716049385</v>
      </c>
      <c r="H109" s="6">
        <v>653.39292307692313</v>
      </c>
    </row>
    <row r="110" spans="1:8">
      <c r="A110" s="2" t="s">
        <v>29</v>
      </c>
      <c r="B110" s="5">
        <v>2.9918273406125085E-3</v>
      </c>
      <c r="C110" s="5">
        <v>5.0783699059561128E-2</v>
      </c>
      <c r="D110" s="5">
        <v>0.45195009924851748</v>
      </c>
      <c r="E110" s="6">
        <v>159.59386944492636</v>
      </c>
      <c r="F110" s="6">
        <v>65.569757596334028</v>
      </c>
      <c r="G110" s="6">
        <v>21.916290658307211</v>
      </c>
      <c r="H110" s="6">
        <v>431.56152592592593</v>
      </c>
    </row>
    <row r="111" spans="1:8">
      <c r="A111" s="2" t="s">
        <v>35</v>
      </c>
      <c r="B111" s="5">
        <v>7.603736693460786E-3</v>
      </c>
      <c r="C111" s="5">
        <v>8.5714285714285715E-2</v>
      </c>
      <c r="D111" s="5">
        <v>0.33917778708635032</v>
      </c>
      <c r="E111" s="6">
        <v>925.25435779816507</v>
      </c>
      <c r="F111" s="6">
        <v>284.83281012383225</v>
      </c>
      <c r="G111" s="6">
        <v>37.459583571428574</v>
      </c>
      <c r="H111" s="6">
        <v>437.02847500000001</v>
      </c>
    </row>
    <row r="112" spans="1:8">
      <c r="A112" s="2" t="s">
        <v>33</v>
      </c>
      <c r="B112" s="5">
        <v>4.8500881834215165E-3</v>
      </c>
      <c r="C112" s="5">
        <v>1.5151515151515152E-2</v>
      </c>
      <c r="D112" s="5">
        <v>0.29082726103729106</v>
      </c>
      <c r="E112" s="6">
        <v>649.47059690493734</v>
      </c>
      <c r="F112" s="6">
        <v>129.53139329805995</v>
      </c>
      <c r="G112" s="6">
        <v>26.707018181818182</v>
      </c>
      <c r="H112" s="6">
        <v>1762.6632</v>
      </c>
    </row>
    <row r="113" spans="1:8">
      <c r="A113" s="2" t="s">
        <v>30</v>
      </c>
      <c r="B113" s="5">
        <v>3.4370506155086047E-3</v>
      </c>
      <c r="C113" s="5">
        <v>0.1310344827586207</v>
      </c>
      <c r="D113" s="5">
        <v>0.16265617769551133</v>
      </c>
      <c r="E113" s="6">
        <v>703.62951635846366</v>
      </c>
      <c r="F113" s="6">
        <v>101.61770752674579</v>
      </c>
      <c r="G113" s="6">
        <v>29.565380000000001</v>
      </c>
      <c r="H113" s="6">
        <v>225.63053157894737</v>
      </c>
    </row>
    <row r="114" spans="1:8">
      <c r="A114" s="2" t="s">
        <v>31</v>
      </c>
      <c r="B114" s="5">
        <v>2.7914952444884583E-3</v>
      </c>
      <c r="C114" s="5">
        <v>3.3333333333333333E-2</v>
      </c>
      <c r="D114" s="5">
        <v>0.43206833507279846</v>
      </c>
      <c r="E114" s="6">
        <v>101.19286644281505</v>
      </c>
      <c r="F114" s="6">
        <v>39.259256797623237</v>
      </c>
      <c r="G114" s="6">
        <v>14.063880952380952</v>
      </c>
      <c r="H114" s="6">
        <v>421.91642857142858</v>
      </c>
    </row>
    <row r="115" spans="1:8">
      <c r="A115" s="1" t="s">
        <v>104</v>
      </c>
      <c r="B115" s="5">
        <v>2.7750689981687975E-3</v>
      </c>
      <c r="C115" s="5">
        <v>4.001455074572572E-2</v>
      </c>
      <c r="D115" s="5">
        <v>0.60851908104483943</v>
      </c>
      <c r="E115" s="6">
        <v>75.235859904120304</v>
      </c>
      <c r="F115" s="6">
        <v>42.220611120869449</v>
      </c>
      <c r="G115" s="6">
        <v>15.214256347762824</v>
      </c>
      <c r="H115" s="6">
        <v>380.21809727272728</v>
      </c>
    </row>
    <row r="116" spans="1:8">
      <c r="A116" s="1" t="s">
        <v>105</v>
      </c>
      <c r="B116" s="5"/>
      <c r="C116" s="5"/>
      <c r="D116" s="5"/>
      <c r="E116" s="6"/>
      <c r="F116" s="6"/>
      <c r="G116" s="6"/>
      <c r="H116" s="6"/>
    </row>
    <row r="117" spans="1:8">
      <c r="A117" s="2" t="s">
        <v>29</v>
      </c>
      <c r="B117" s="5">
        <v>5.4971903249450282E-3</v>
      </c>
      <c r="C117" s="5">
        <v>0.1</v>
      </c>
      <c r="D117" s="5">
        <v>0.3085703104617793</v>
      </c>
      <c r="E117" s="6">
        <v>360.28558444303525</v>
      </c>
      <c r="F117" s="6">
        <v>104.11135475201563</v>
      </c>
      <c r="G117" s="6">
        <v>18.939012222222221</v>
      </c>
      <c r="H117" s="6">
        <v>189.3901222222222</v>
      </c>
    </row>
    <row r="118" spans="1:8">
      <c r="A118" s="1" t="s">
        <v>106</v>
      </c>
      <c r="B118" s="5">
        <v>5.4971903249450282E-3</v>
      </c>
      <c r="C118" s="5">
        <v>0.1</v>
      </c>
      <c r="D118" s="5">
        <v>0.3085703104617793</v>
      </c>
      <c r="E118" s="6">
        <v>360.28558444303525</v>
      </c>
      <c r="F118" s="6">
        <v>104.11135475201563</v>
      </c>
      <c r="G118" s="6">
        <v>18.939012222222221</v>
      </c>
      <c r="H118" s="6">
        <v>189.3901222222222</v>
      </c>
    </row>
    <row r="119" spans="1:8">
      <c r="A119" s="1" t="s">
        <v>107</v>
      </c>
      <c r="B119" s="5"/>
      <c r="C119" s="5"/>
      <c r="D119" s="5"/>
      <c r="E119" s="6"/>
      <c r="F119" s="6"/>
      <c r="G119" s="6"/>
      <c r="H119" s="6"/>
    </row>
    <row r="120" spans="1:8">
      <c r="A120" s="2" t="s">
        <v>25</v>
      </c>
      <c r="B120" s="5">
        <v>2.2719807292236943E-3</v>
      </c>
      <c r="C120" s="5">
        <v>0.14457831325301204</v>
      </c>
      <c r="D120" s="5">
        <v>0.66453761890044982</v>
      </c>
      <c r="E120" s="6">
        <v>608.57747002893757</v>
      </c>
      <c r="F120" s="6">
        <v>322.38013796123943</v>
      </c>
      <c r="G120" s="6">
        <v>141.89386987951806</v>
      </c>
      <c r="H120" s="6">
        <v>981.43259999999998</v>
      </c>
    </row>
    <row r="121" spans="1:8">
      <c r="A121" s="2" t="s">
        <v>27</v>
      </c>
      <c r="B121" s="5">
        <v>2.9097518373540432E-3</v>
      </c>
      <c r="C121" s="5">
        <v>4.7277936962750719E-2</v>
      </c>
      <c r="D121" s="5">
        <v>0.48209959119526274</v>
      </c>
      <c r="E121" s="6">
        <v>127.35237120403609</v>
      </c>
      <c r="F121" s="6">
        <v>54.719212699524348</v>
      </c>
      <c r="G121" s="6">
        <v>18.805456876790831</v>
      </c>
      <c r="H121" s="6">
        <v>397.76390606060608</v>
      </c>
    </row>
    <row r="122" spans="1:8">
      <c r="A122" s="2" t="s">
        <v>29</v>
      </c>
      <c r="B122" s="5">
        <v>4.1795315912342796E-3</v>
      </c>
      <c r="C122" s="5">
        <v>0.12612612612612611</v>
      </c>
      <c r="D122" s="5">
        <v>0.6697688254292028</v>
      </c>
      <c r="E122" s="6">
        <v>428.3712327897976</v>
      </c>
      <c r="F122" s="6">
        <v>254.21940658182092</v>
      </c>
      <c r="G122" s="6">
        <v>60.824855855855859</v>
      </c>
      <c r="H122" s="6">
        <v>482.25421428571428</v>
      </c>
    </row>
    <row r="123" spans="1:8">
      <c r="A123" s="1" t="s">
        <v>108</v>
      </c>
      <c r="B123" s="5">
        <v>2.9441567400395417E-3</v>
      </c>
      <c r="C123" s="5">
        <v>6.614349775784753E-2</v>
      </c>
      <c r="D123" s="5">
        <v>0.5186134578358923</v>
      </c>
      <c r="E123" s="6">
        <v>229.07998161857827</v>
      </c>
      <c r="F123" s="6">
        <v>104.48112241024778</v>
      </c>
      <c r="G123" s="6">
        <v>35.487622309417041</v>
      </c>
      <c r="H123" s="6">
        <v>536.52473050847459</v>
      </c>
    </row>
    <row r="124" spans="1:8">
      <c r="A124" s="1" t="s">
        <v>109</v>
      </c>
      <c r="B124" s="5"/>
      <c r="C124" s="5"/>
      <c r="D124" s="5"/>
      <c r="E124" s="6"/>
      <c r="F124" s="6"/>
      <c r="G124" s="6"/>
      <c r="H124" s="6"/>
    </row>
    <row r="125" spans="1:8">
      <c r="A125" s="2" t="s">
        <v>27</v>
      </c>
      <c r="B125" s="5">
        <v>2.9335634167385678E-3</v>
      </c>
      <c r="C125" s="5">
        <v>7.3529411764705885E-2</v>
      </c>
      <c r="D125" s="5">
        <v>0.45700233968390391</v>
      </c>
      <c r="E125" s="6">
        <v>64.047215546964779</v>
      </c>
      <c r="F125" s="6">
        <v>26.445034512510784</v>
      </c>
      <c r="G125" s="6">
        <v>9.0146455882352932</v>
      </c>
      <c r="H125" s="6">
        <v>122.59917999999999</v>
      </c>
    </row>
    <row r="126" spans="1:8">
      <c r="A126" s="1" t="s">
        <v>110</v>
      </c>
      <c r="B126" s="5">
        <v>2.9335634167385678E-3</v>
      </c>
      <c r="C126" s="5">
        <v>7.3529411764705885E-2</v>
      </c>
      <c r="D126" s="5">
        <v>0.45700233968390391</v>
      </c>
      <c r="E126" s="6">
        <v>64.047215546964779</v>
      </c>
      <c r="F126" s="6">
        <v>26.445034512510784</v>
      </c>
      <c r="G126" s="6">
        <v>9.0146455882352932</v>
      </c>
      <c r="H126" s="6">
        <v>122.59917999999999</v>
      </c>
    </row>
    <row r="127" spans="1:8">
      <c r="A127" s="1" t="s">
        <v>111</v>
      </c>
      <c r="B127" s="5"/>
      <c r="C127" s="5"/>
      <c r="D127" s="5"/>
      <c r="E127" s="6"/>
      <c r="F127" s="6"/>
      <c r="G127" s="6"/>
      <c r="H127" s="6"/>
    </row>
    <row r="128" spans="1:8">
      <c r="A128" s="2" t="s">
        <v>25</v>
      </c>
      <c r="B128" s="5">
        <v>1.8485996857380534E-3</v>
      </c>
      <c r="C128" s="5">
        <v>0.1</v>
      </c>
      <c r="D128" s="5">
        <v>0.42669942669942668</v>
      </c>
      <c r="E128" s="6">
        <v>360.92351247600766</v>
      </c>
      <c r="F128" s="6">
        <v>139.04512431832885</v>
      </c>
      <c r="G128" s="6">
        <v>75.216459999999998</v>
      </c>
      <c r="H128" s="6">
        <v>752.16459999999995</v>
      </c>
    </row>
    <row r="129" spans="1:8">
      <c r="A129" s="1" t="s">
        <v>112</v>
      </c>
      <c r="B129" s="5">
        <v>1.8485996857380534E-3</v>
      </c>
      <c r="C129" s="5">
        <v>0.1</v>
      </c>
      <c r="D129" s="5">
        <v>0.42669942669942668</v>
      </c>
      <c r="E129" s="6">
        <v>360.92351247600766</v>
      </c>
      <c r="F129" s="6">
        <v>139.04512431832885</v>
      </c>
      <c r="G129" s="6">
        <v>75.216459999999998</v>
      </c>
      <c r="H129" s="6">
        <v>752.16459999999995</v>
      </c>
    </row>
    <row r="130" spans="1:8">
      <c r="A130" s="1" t="s">
        <v>113</v>
      </c>
      <c r="B130" s="5"/>
      <c r="C130" s="5"/>
      <c r="D130" s="5"/>
      <c r="E130" s="6"/>
      <c r="F130" s="6"/>
      <c r="G130" s="6"/>
      <c r="H130" s="6"/>
    </row>
    <row r="131" spans="1:8">
      <c r="A131" s="2" t="s">
        <v>29</v>
      </c>
      <c r="B131" s="5">
        <v>1.5180649731808521E-3</v>
      </c>
      <c r="C131" s="5">
        <v>6.6666666666666666E-2</v>
      </c>
      <c r="D131" s="5">
        <v>0.32004369197160021</v>
      </c>
      <c r="E131" s="6">
        <v>642.06979522184304</v>
      </c>
      <c r="F131" s="6">
        <v>152.3136929460581</v>
      </c>
      <c r="G131" s="6">
        <v>100.33410666666667</v>
      </c>
      <c r="H131" s="6">
        <v>1505.0116</v>
      </c>
    </row>
    <row r="132" spans="1:8">
      <c r="A132" s="1" t="s">
        <v>114</v>
      </c>
      <c r="B132" s="5">
        <v>1.5180649731808521E-3</v>
      </c>
      <c r="C132" s="5">
        <v>6.6666666666666666E-2</v>
      </c>
      <c r="D132" s="5">
        <v>0.32004369197160021</v>
      </c>
      <c r="E132" s="6">
        <v>642.06979522184304</v>
      </c>
      <c r="F132" s="6">
        <v>152.3136929460581</v>
      </c>
      <c r="G132" s="6">
        <v>100.33410666666667</v>
      </c>
      <c r="H132" s="6">
        <v>1505.0116</v>
      </c>
    </row>
    <row r="133" spans="1:8">
      <c r="A133" s="1" t="s">
        <v>115</v>
      </c>
      <c r="B133" s="5"/>
      <c r="C133" s="5"/>
      <c r="D133" s="5"/>
      <c r="E133" s="6"/>
      <c r="F133" s="6"/>
      <c r="G133" s="6"/>
      <c r="H133" s="6"/>
    </row>
    <row r="134" spans="1:8">
      <c r="A134" s="2" t="s">
        <v>25</v>
      </c>
      <c r="B134" s="5">
        <v>2.6752909291571786E-3</v>
      </c>
      <c r="C134" s="5">
        <v>6.2663185378590072E-2</v>
      </c>
      <c r="D134" s="5">
        <v>0.1668362270394759</v>
      </c>
      <c r="E134" s="6">
        <v>1094.2901561348256</v>
      </c>
      <c r="F134" s="6">
        <v>114.06722454282561</v>
      </c>
      <c r="G134" s="6">
        <v>42.637315926892953</v>
      </c>
      <c r="H134" s="6">
        <v>680.42050000000006</v>
      </c>
    </row>
    <row r="135" spans="1:8">
      <c r="A135" s="2" t="s">
        <v>29</v>
      </c>
      <c r="B135" s="5">
        <v>2.8885160248922118E-3</v>
      </c>
      <c r="C135" s="5">
        <v>4.4117647058823532E-2</v>
      </c>
      <c r="D135" s="5">
        <v>0.23083187236117306</v>
      </c>
      <c r="E135" s="6">
        <v>288.93134395434015</v>
      </c>
      <c r="F135" s="6">
        <v>54.61976339655503</v>
      </c>
      <c r="G135" s="6">
        <v>18.909281764705884</v>
      </c>
      <c r="H135" s="6">
        <v>428.61038666666667</v>
      </c>
    </row>
    <row r="136" spans="1:8">
      <c r="A136" s="2" t="s">
        <v>33</v>
      </c>
      <c r="B136" s="5">
        <v>2.7220388793871798E-3</v>
      </c>
      <c r="C136" s="5">
        <v>7.9646017699115043E-2</v>
      </c>
      <c r="D136" s="5">
        <v>0.53177070063694265</v>
      </c>
      <c r="E136" s="6">
        <v>325.29385779992339</v>
      </c>
      <c r="F136" s="6">
        <v>163.55198130706046</v>
      </c>
      <c r="G136" s="6">
        <v>60.084366371681419</v>
      </c>
      <c r="H136" s="6">
        <v>754.39260000000002</v>
      </c>
    </row>
    <row r="137" spans="1:8">
      <c r="A137" s="2" t="s">
        <v>30</v>
      </c>
      <c r="B137" s="5">
        <v>2.819113461998605E-3</v>
      </c>
      <c r="C137" s="5">
        <v>1.6252821670428894E-2</v>
      </c>
      <c r="D137" s="5">
        <v>0.45599486450294741</v>
      </c>
      <c r="E137" s="6">
        <v>36.406509964911642</v>
      </c>
      <c r="F137" s="6">
        <v>15.305174314121786</v>
      </c>
      <c r="G137" s="6">
        <v>5.4290735440180589</v>
      </c>
      <c r="H137" s="6">
        <v>334.03883055555553</v>
      </c>
    </row>
    <row r="138" spans="1:8">
      <c r="A138" s="2" t="s">
        <v>95</v>
      </c>
      <c r="B138" s="5">
        <v>3.2730922411092715E-3</v>
      </c>
      <c r="C138" s="5">
        <v>5.859375E-3</v>
      </c>
      <c r="D138" s="5">
        <v>0.42487199752585819</v>
      </c>
      <c r="E138" s="6">
        <v>83.46269875932127</v>
      </c>
      <c r="F138" s="6">
        <v>32.985018570962815</v>
      </c>
      <c r="G138" s="6">
        <v>10.077631835937501</v>
      </c>
      <c r="H138" s="6">
        <v>1719.9158333333335</v>
      </c>
    </row>
    <row r="139" spans="1:8">
      <c r="A139" s="1" t="s">
        <v>116</v>
      </c>
      <c r="B139" s="5">
        <v>2.865165446236855E-3</v>
      </c>
      <c r="C139" s="5">
        <v>2.6133743274404306E-2</v>
      </c>
      <c r="D139" s="5">
        <v>0.39654312780455375</v>
      </c>
      <c r="E139" s="6">
        <v>112.53160777938649</v>
      </c>
      <c r="F139" s="6">
        <v>39.026653012534645</v>
      </c>
      <c r="G139" s="6">
        <v>13.621081834486292</v>
      </c>
      <c r="H139" s="6">
        <v>521.2066901960784</v>
      </c>
    </row>
    <row r="140" spans="1:8">
      <c r="A140" s="1" t="s">
        <v>117</v>
      </c>
      <c r="B140" s="5"/>
      <c r="C140" s="5"/>
      <c r="D140" s="5"/>
      <c r="E140" s="6"/>
      <c r="F140" s="6"/>
      <c r="G140" s="6"/>
      <c r="H140" s="6"/>
    </row>
    <row r="141" spans="1:8">
      <c r="A141" s="2" t="s">
        <v>29</v>
      </c>
      <c r="B141" s="5">
        <v>4.937662017034934E-3</v>
      </c>
      <c r="C141" s="5">
        <v>2.5000000000000001E-2</v>
      </c>
      <c r="D141" s="5">
        <v>0.76706801171493655</v>
      </c>
      <c r="E141" s="6">
        <v>133.23797726115731</v>
      </c>
      <c r="F141" s="6">
        <v>96.922774966053581</v>
      </c>
      <c r="G141" s="6">
        <v>19.629284999999999</v>
      </c>
      <c r="H141" s="6">
        <v>785.17139999999995</v>
      </c>
    </row>
    <row r="142" spans="1:8">
      <c r="A142" s="2" t="s">
        <v>30</v>
      </c>
      <c r="B142" s="5">
        <v>1.9584802193497847E-3</v>
      </c>
      <c r="C142" s="5">
        <v>0.6333333333333333</v>
      </c>
      <c r="D142" s="5">
        <v>0.44578132049932323</v>
      </c>
      <c r="E142" s="6">
        <v>264.89497300944669</v>
      </c>
      <c r="F142" s="6">
        <v>102.51321321321321</v>
      </c>
      <c r="G142" s="6">
        <v>52.343246666666666</v>
      </c>
      <c r="H142" s="6">
        <v>82.64723157894737</v>
      </c>
    </row>
    <row r="143" spans="1:8">
      <c r="A143" s="1" t="s">
        <v>118</v>
      </c>
      <c r="B143" s="5">
        <v>3.4898477157360407E-3</v>
      </c>
      <c r="C143" s="5">
        <v>0.19090909090909092</v>
      </c>
      <c r="D143" s="5">
        <v>0.61800928025677704</v>
      </c>
      <c r="E143" s="6">
        <v>177.29706446878174</v>
      </c>
      <c r="F143" s="6">
        <v>99.639600253807089</v>
      </c>
      <c r="G143" s="6">
        <v>28.551274545454543</v>
      </c>
      <c r="H143" s="6">
        <v>149.55429523809522</v>
      </c>
    </row>
    <row r="144" spans="1:8">
      <c r="A144" s="1" t="s">
        <v>26</v>
      </c>
      <c r="B144" s="5"/>
      <c r="C144" s="5"/>
      <c r="D144" s="5"/>
      <c r="E144" s="6"/>
      <c r="F144" s="6"/>
      <c r="G144" s="6"/>
      <c r="H144" s="6"/>
    </row>
    <row r="145" spans="1:8">
      <c r="A145" s="2" t="s">
        <v>25</v>
      </c>
      <c r="B145" s="5">
        <v>6.5887309980171846E-3</v>
      </c>
      <c r="C145" s="5">
        <v>0.13166144200626959</v>
      </c>
      <c r="D145" s="5">
        <v>0.69952298158798087</v>
      </c>
      <c r="E145" s="6">
        <v>610.13675992607227</v>
      </c>
      <c r="F145" s="6">
        <v>395.47488020489089</v>
      </c>
      <c r="G145" s="6">
        <v>60.022921003134798</v>
      </c>
      <c r="H145" s="6">
        <v>455.88837619047615</v>
      </c>
    </row>
    <row r="146" spans="1:8">
      <c r="A146" s="2" t="s">
        <v>27</v>
      </c>
      <c r="B146" s="5">
        <v>9.5011876484560574E-3</v>
      </c>
      <c r="C146" s="5">
        <v>0.1</v>
      </c>
      <c r="D146" s="5">
        <v>0.56296861100521034</v>
      </c>
      <c r="E146" s="6">
        <v>1170.3353047404064</v>
      </c>
      <c r="F146" s="6">
        <v>615.74648456057002</v>
      </c>
      <c r="G146" s="6">
        <v>64.807317499999996</v>
      </c>
      <c r="H146" s="6">
        <v>648.07317499999999</v>
      </c>
    </row>
    <row r="147" spans="1:8">
      <c r="A147" s="2" t="s">
        <v>29</v>
      </c>
      <c r="B147" s="5">
        <v>3.9799818733498834E-3</v>
      </c>
      <c r="C147" s="5">
        <v>1.9801980198019802E-2</v>
      </c>
      <c r="D147" s="5">
        <v>0.70165560131103455</v>
      </c>
      <c r="E147" s="6">
        <v>309.92591328302785</v>
      </c>
      <c r="F147" s="6">
        <v>203.93044489104307</v>
      </c>
      <c r="G147" s="6">
        <v>51.239038613861382</v>
      </c>
      <c r="H147" s="6">
        <v>2587.5714499999999</v>
      </c>
    </row>
    <row r="148" spans="1:8">
      <c r="A148" s="2" t="s">
        <v>33</v>
      </c>
      <c r="B148" s="5">
        <v>2.9166329093413272E-3</v>
      </c>
      <c r="C148" s="5">
        <v>4.1666666666666664E-2</v>
      </c>
      <c r="D148" s="5">
        <v>0.58333977281508387</v>
      </c>
      <c r="E148" s="6">
        <v>150.31930498520776</v>
      </c>
      <c r="F148" s="6">
        <v>55.161327067973758</v>
      </c>
      <c r="G148" s="6">
        <v>18.912673888888889</v>
      </c>
      <c r="H148" s="6">
        <v>453.90417333333335</v>
      </c>
    </row>
    <row r="149" spans="1:8">
      <c r="A149" s="2" t="s">
        <v>30</v>
      </c>
      <c r="B149" s="5">
        <v>2.6167339478494127E-3</v>
      </c>
      <c r="C149" s="5">
        <v>4.0201005025125629E-2</v>
      </c>
      <c r="D149" s="5">
        <v>0.50509126674187854</v>
      </c>
      <c r="E149" s="6">
        <v>198.81448125769597</v>
      </c>
      <c r="F149" s="6">
        <v>91.293777695959179</v>
      </c>
      <c r="G149" s="6">
        <v>34.888444723618093</v>
      </c>
      <c r="H149" s="6">
        <v>867.85006250000004</v>
      </c>
    </row>
    <row r="150" spans="1:8">
      <c r="A150" s="1" t="s">
        <v>119</v>
      </c>
      <c r="B150" s="5">
        <v>3.7594251877937604E-3</v>
      </c>
      <c r="C150" s="5">
        <v>7.0821529745042494E-2</v>
      </c>
      <c r="D150" s="5">
        <v>0.59434515679785771</v>
      </c>
      <c r="E150" s="6">
        <v>325.92505707289507</v>
      </c>
      <c r="F150" s="6">
        <v>153.56631782230238</v>
      </c>
      <c r="G150" s="6">
        <v>40.848350519357886</v>
      </c>
      <c r="H150" s="6">
        <v>576.77870933333338</v>
      </c>
    </row>
    <row r="151" spans="1:8">
      <c r="A151" s="1" t="s">
        <v>120</v>
      </c>
      <c r="B151" s="5"/>
      <c r="C151" s="5"/>
      <c r="D151" s="5"/>
      <c r="E151" s="6"/>
      <c r="F151" s="6"/>
      <c r="G151" s="6"/>
      <c r="H151" s="6"/>
    </row>
    <row r="152" spans="1:8">
      <c r="A152" s="2" t="s">
        <v>27</v>
      </c>
      <c r="B152" s="5">
        <v>5.0316742081447964E-3</v>
      </c>
      <c r="C152" s="5">
        <v>5.0359712230215826E-2</v>
      </c>
      <c r="D152" s="5">
        <v>0.69205315685541979</v>
      </c>
      <c r="E152" s="6">
        <v>244.61388139122386</v>
      </c>
      <c r="F152" s="6">
        <v>114.82020633484161</v>
      </c>
      <c r="G152" s="6">
        <v>22.81948345323741</v>
      </c>
      <c r="H152" s="6">
        <v>453.12974285714284</v>
      </c>
    </row>
    <row r="153" spans="1:8">
      <c r="A153" s="1" t="s">
        <v>121</v>
      </c>
      <c r="B153" s="5">
        <v>5.0316742081447964E-3</v>
      </c>
      <c r="C153" s="5">
        <v>5.0359712230215826E-2</v>
      </c>
      <c r="D153" s="5">
        <v>0.69205315685541979</v>
      </c>
      <c r="E153" s="6">
        <v>244.61388139122386</v>
      </c>
      <c r="F153" s="6">
        <v>114.82020633484161</v>
      </c>
      <c r="G153" s="6">
        <v>22.81948345323741</v>
      </c>
      <c r="H153" s="6">
        <v>453.12974285714284</v>
      </c>
    </row>
    <row r="154" spans="1:8">
      <c r="A154" s="1" t="s">
        <v>122</v>
      </c>
      <c r="B154" s="5"/>
      <c r="C154" s="5"/>
      <c r="D154" s="5"/>
      <c r="E154" s="6"/>
      <c r="F154" s="6"/>
      <c r="G154" s="6"/>
      <c r="H154" s="6"/>
    </row>
    <row r="155" spans="1:8">
      <c r="A155" s="2" t="s">
        <v>29</v>
      </c>
      <c r="B155" s="5">
        <v>4.5024763619990991E-3</v>
      </c>
      <c r="C155" s="5">
        <v>4.2857142857142858E-2</v>
      </c>
      <c r="D155" s="5">
        <v>0.50973960773813509</v>
      </c>
      <c r="E155" s="6">
        <v>232.10302035456337</v>
      </c>
      <c r="F155" s="6">
        <v>113.68524474175082</v>
      </c>
      <c r="G155" s="6">
        <v>25.249492857142858</v>
      </c>
      <c r="H155" s="6">
        <v>589.15483333333339</v>
      </c>
    </row>
    <row r="156" spans="1:8">
      <c r="A156" s="1" t="s">
        <v>123</v>
      </c>
      <c r="B156" s="5">
        <v>4.5024763619990991E-3</v>
      </c>
      <c r="C156" s="5">
        <v>4.2857142857142858E-2</v>
      </c>
      <c r="D156" s="5">
        <v>0.50973960773813509</v>
      </c>
      <c r="E156" s="6">
        <v>232.10302035456337</v>
      </c>
      <c r="F156" s="6">
        <v>113.68524474175082</v>
      </c>
      <c r="G156" s="6">
        <v>25.249492857142858</v>
      </c>
      <c r="H156" s="6">
        <v>589.15483333333339</v>
      </c>
    </row>
    <row r="157" spans="1:8">
      <c r="A157" s="1" t="s">
        <v>124</v>
      </c>
      <c r="B157" s="5"/>
      <c r="C157" s="5"/>
      <c r="D157" s="5"/>
      <c r="E157" s="6"/>
      <c r="F157" s="6"/>
      <c r="G157" s="6"/>
      <c r="H157" s="6"/>
    </row>
    <row r="158" spans="1:8">
      <c r="A158" s="2" t="s">
        <v>27</v>
      </c>
      <c r="B158" s="5">
        <v>2.6778310927453885E-3</v>
      </c>
      <c r="C158" s="5">
        <v>1.015228426395939E-2</v>
      </c>
      <c r="D158" s="5">
        <v>0.42003325263250008</v>
      </c>
      <c r="E158" s="6">
        <v>54.422434027777776</v>
      </c>
      <c r="F158" s="6">
        <v>21.30528769692933</v>
      </c>
      <c r="G158" s="6">
        <v>7.9561730964467001</v>
      </c>
      <c r="H158" s="6">
        <v>783.68304999999998</v>
      </c>
    </row>
    <row r="159" spans="1:8">
      <c r="A159" s="2" t="s">
        <v>29</v>
      </c>
      <c r="B159" s="5">
        <v>2.2294413656920825E-3</v>
      </c>
      <c r="C159" s="5">
        <v>0.48571428571428571</v>
      </c>
      <c r="D159" s="5">
        <v>0.74797458567250474</v>
      </c>
      <c r="E159" s="6">
        <v>134.57655730337078</v>
      </c>
      <c r="F159" s="6">
        <v>95.366851391808396</v>
      </c>
      <c r="G159" s="6">
        <v>42.776119999999999</v>
      </c>
      <c r="H159" s="6">
        <v>88.068482352941174</v>
      </c>
    </row>
    <row r="160" spans="1:8">
      <c r="A160" s="2" t="s">
        <v>30</v>
      </c>
      <c r="B160" s="5">
        <v>3.1086069555080632E-3</v>
      </c>
      <c r="C160" s="5">
        <v>0.39583333333333331</v>
      </c>
      <c r="D160" s="5">
        <v>0.52753182069728832</v>
      </c>
      <c r="E160" s="6">
        <v>211.68489378442172</v>
      </c>
      <c r="F160" s="6">
        <v>104.54692053623469</v>
      </c>
      <c r="G160" s="6">
        <v>33.631437499999997</v>
      </c>
      <c r="H160" s="6">
        <v>84.963631578947371</v>
      </c>
    </row>
    <row r="161" spans="1:8">
      <c r="A161" s="1" t="s">
        <v>125</v>
      </c>
      <c r="B161" s="5">
        <v>2.616148696908792E-3</v>
      </c>
      <c r="C161" s="5">
        <v>0.17460317460317459</v>
      </c>
      <c r="D161" s="5">
        <v>0.52032030079188429</v>
      </c>
      <c r="E161" s="6">
        <v>105.25604165246438</v>
      </c>
      <c r="F161" s="6">
        <v>51.293153995648055</v>
      </c>
      <c r="G161" s="6">
        <v>19.606360317460318</v>
      </c>
      <c r="H161" s="6">
        <v>112.29097272727272</v>
      </c>
    </row>
    <row r="162" spans="1:8">
      <c r="A162" s="1" t="s">
        <v>126</v>
      </c>
      <c r="B162" s="5"/>
      <c r="C162" s="5"/>
      <c r="D162" s="5"/>
      <c r="E162" s="6"/>
      <c r="F162" s="6"/>
      <c r="G162" s="6"/>
      <c r="H162" s="6"/>
    </row>
    <row r="163" spans="1:8">
      <c r="A163" s="2" t="s">
        <v>39</v>
      </c>
      <c r="B163" s="5">
        <v>2.4650274234300855E-3</v>
      </c>
      <c r="C163" s="5">
        <v>7.4999999999999997E-2</v>
      </c>
      <c r="D163" s="5">
        <v>0.60457369803343797</v>
      </c>
      <c r="E163" s="6">
        <v>211.05571095571096</v>
      </c>
      <c r="F163" s="6">
        <v>122.75490232328835</v>
      </c>
      <c r="G163" s="6">
        <v>49.798594999999999</v>
      </c>
      <c r="H163" s="6">
        <v>663.98126666666667</v>
      </c>
    </row>
    <row r="164" spans="1:8">
      <c r="A164" s="2" t="s">
        <v>25</v>
      </c>
      <c r="B164" s="5">
        <v>3.2658703908787527E-3</v>
      </c>
      <c r="C164" s="5">
        <v>9.5584888484296776E-3</v>
      </c>
      <c r="D164" s="5">
        <v>0.43681537991642255</v>
      </c>
      <c r="E164" s="6">
        <v>29.786564537339046</v>
      </c>
      <c r="F164" s="6">
        <v>11.145116133875414</v>
      </c>
      <c r="G164" s="6">
        <v>3.4126020937642236</v>
      </c>
      <c r="H164" s="6">
        <v>357.02318095238093</v>
      </c>
    </row>
    <row r="165" spans="1:8">
      <c r="A165" s="2" t="s">
        <v>27</v>
      </c>
      <c r="B165" s="5">
        <v>2.6434689350506805E-3</v>
      </c>
      <c r="C165" s="5">
        <v>3.9619651347068144E-2</v>
      </c>
      <c r="D165" s="5">
        <v>0.34448506535857881</v>
      </c>
      <c r="E165" s="6">
        <v>96.651675311015197</v>
      </c>
      <c r="F165" s="6">
        <v>27.90915997595323</v>
      </c>
      <c r="G165" s="6">
        <v>10.557778684627575</v>
      </c>
      <c r="H165" s="6">
        <v>266.47833400000002</v>
      </c>
    </row>
    <row r="166" spans="1:8">
      <c r="A166" s="2" t="s">
        <v>29</v>
      </c>
      <c r="B166" s="5">
        <v>2.6801547439822058E-3</v>
      </c>
      <c r="C166" s="5">
        <v>1.7266715650257163E-2</v>
      </c>
      <c r="D166" s="5">
        <v>0.42222474128944226</v>
      </c>
      <c r="E166" s="6">
        <v>32.340217492215395</v>
      </c>
      <c r="F166" s="6">
        <v>12.690825442368304</v>
      </c>
      <c r="G166" s="6">
        <v>4.7351092211609114</v>
      </c>
      <c r="H166" s="6">
        <v>274.23334680851065</v>
      </c>
    </row>
    <row r="167" spans="1:8">
      <c r="A167" s="2" t="s">
        <v>33</v>
      </c>
      <c r="B167" s="5">
        <v>3.3434462262398614E-3</v>
      </c>
      <c r="C167" s="5">
        <v>5.5555555555555552E-2</v>
      </c>
      <c r="D167" s="5">
        <v>0.38387039971826026</v>
      </c>
      <c r="E167" s="6">
        <v>391.33584862385322</v>
      </c>
      <c r="F167" s="6">
        <v>105.64202216581018</v>
      </c>
      <c r="G167" s="6">
        <v>31.596746296296299</v>
      </c>
      <c r="H167" s="6">
        <v>568.74143333333336</v>
      </c>
    </row>
    <row r="168" spans="1:8">
      <c r="A168" s="2" t="s">
        <v>79</v>
      </c>
      <c r="B168" s="5">
        <v>2.9083491184613143E-3</v>
      </c>
      <c r="C168" s="5">
        <v>1.6032064128256512E-2</v>
      </c>
      <c r="D168" s="5">
        <v>0.74603046252462579</v>
      </c>
      <c r="E168" s="6">
        <v>16.340343098130795</v>
      </c>
      <c r="F168" s="6">
        <v>9.6653498470056824</v>
      </c>
      <c r="G168" s="6">
        <v>3.3233114228456913</v>
      </c>
      <c r="H168" s="6">
        <v>207.29155</v>
      </c>
    </row>
    <row r="169" spans="1:8">
      <c r="A169" s="2" t="s">
        <v>30</v>
      </c>
      <c r="B169" s="5">
        <v>3.491514612324375E-3</v>
      </c>
      <c r="C169" s="5">
        <v>7.0512820512820512E-2</v>
      </c>
      <c r="D169" s="5">
        <v>0.47597546044064964</v>
      </c>
      <c r="E169" s="6">
        <v>144.82445660310589</v>
      </c>
      <c r="F169" s="6">
        <v>59.53864614282756</v>
      </c>
      <c r="G169" s="6">
        <v>17.052383493589744</v>
      </c>
      <c r="H169" s="6">
        <v>241.83380227272727</v>
      </c>
    </row>
    <row r="170" spans="1:8">
      <c r="A170" s="2" t="s">
        <v>31</v>
      </c>
      <c r="B170" s="5">
        <v>2.8406628213249758E-3</v>
      </c>
      <c r="C170" s="5">
        <v>3.2863849765258218E-2</v>
      </c>
      <c r="D170" s="5">
        <v>0.13333689135578444</v>
      </c>
      <c r="E170" s="6">
        <v>159.72369246164112</v>
      </c>
      <c r="F170" s="6">
        <v>15.965446270796518</v>
      </c>
      <c r="G170" s="6">
        <v>5.6203242957746484</v>
      </c>
      <c r="H170" s="6">
        <v>171.01843928571429</v>
      </c>
    </row>
    <row r="171" spans="1:8">
      <c r="A171" s="1" t="s">
        <v>127</v>
      </c>
      <c r="B171" s="5">
        <v>2.8964310001674664E-3</v>
      </c>
      <c r="C171" s="5">
        <v>2.4727272727272726E-2</v>
      </c>
      <c r="D171" s="5">
        <v>0.40886477460403575</v>
      </c>
      <c r="E171" s="6">
        <v>54.125692784277184</v>
      </c>
      <c r="F171" s="6">
        <v>19.132620694279776</v>
      </c>
      <c r="G171" s="6">
        <v>6.6055848363636365</v>
      </c>
      <c r="H171" s="6">
        <v>267.13762205882352</v>
      </c>
    </row>
    <row r="172" spans="1:8">
      <c r="A172" s="1" t="s">
        <v>128</v>
      </c>
      <c r="B172" s="5"/>
      <c r="C172" s="5"/>
      <c r="D172" s="5"/>
      <c r="E172" s="6"/>
      <c r="F172" s="6"/>
      <c r="G172" s="6"/>
      <c r="H172" s="6"/>
    </row>
    <row r="173" spans="1:8">
      <c r="A173" s="2" t="s">
        <v>27</v>
      </c>
      <c r="B173" s="5">
        <v>3.1578224754582277E-3</v>
      </c>
      <c r="C173" s="5">
        <v>0.18478260869565216</v>
      </c>
      <c r="D173" s="5">
        <v>0.39372573873088806</v>
      </c>
      <c r="E173" s="6">
        <v>1233.9004627766601</v>
      </c>
      <c r="F173" s="6">
        <v>420.98478066863458</v>
      </c>
      <c r="G173" s="6">
        <v>133.31489782608696</v>
      </c>
      <c r="H173" s="6">
        <v>721.46885882352944</v>
      </c>
    </row>
    <row r="174" spans="1:8">
      <c r="A174" s="2" t="s">
        <v>29</v>
      </c>
      <c r="B174" s="5">
        <v>3.5931767464730132E-3</v>
      </c>
      <c r="C174" s="5">
        <v>7.3684210526315783E-2</v>
      </c>
      <c r="D174" s="5">
        <v>0.36039835374218787</v>
      </c>
      <c r="E174" s="6">
        <v>751.55533624700411</v>
      </c>
      <c r="F174" s="6">
        <v>201.62570445175686</v>
      </c>
      <c r="G174" s="6">
        <v>56.113494736842107</v>
      </c>
      <c r="H174" s="6">
        <v>761.54028571428569</v>
      </c>
    </row>
    <row r="175" spans="1:8">
      <c r="A175" s="2" t="s">
        <v>33</v>
      </c>
      <c r="B175" s="5">
        <v>3.6370041861814566E-3</v>
      </c>
      <c r="C175" s="5">
        <v>4.2735042735042736E-2</v>
      </c>
      <c r="D175" s="5">
        <v>0.6391227593699077</v>
      </c>
      <c r="E175" s="6">
        <v>112.83904387549133</v>
      </c>
      <c r="F175" s="6">
        <v>55.029319849131674</v>
      </c>
      <c r="G175" s="6">
        <v>15.13039772079772</v>
      </c>
      <c r="H175" s="6">
        <v>354.05130666666662</v>
      </c>
    </row>
    <row r="176" spans="1:8">
      <c r="A176" s="2" t="s">
        <v>30</v>
      </c>
      <c r="B176" s="5">
        <v>3.3280912847895258E-3</v>
      </c>
      <c r="C176" s="5">
        <v>5.7692307692307696E-2</v>
      </c>
      <c r="D176" s="5">
        <v>0.56325734534464944</v>
      </c>
      <c r="E176" s="6">
        <v>118.76039152495886</v>
      </c>
      <c r="F176" s="6">
        <v>63.343508393373078</v>
      </c>
      <c r="G176" s="6">
        <v>19.032984065934066</v>
      </c>
      <c r="H176" s="6">
        <v>329.90505714285712</v>
      </c>
    </row>
    <row r="177" spans="1:8">
      <c r="A177" s="2" t="s">
        <v>31</v>
      </c>
      <c r="B177" s="5">
        <v>4.436904606550959E-3</v>
      </c>
      <c r="C177" s="5">
        <v>0.11764705882352941</v>
      </c>
      <c r="D177" s="5">
        <v>0.55411346033075148</v>
      </c>
      <c r="E177" s="6">
        <v>874.38808714267725</v>
      </c>
      <c r="F177" s="6">
        <v>453.05466527469662</v>
      </c>
      <c r="G177" s="6">
        <v>102.11052647058824</v>
      </c>
      <c r="H177" s="6">
        <v>867.93947500000002</v>
      </c>
    </row>
    <row r="178" spans="1:8">
      <c r="A178" s="1" t="s">
        <v>129</v>
      </c>
      <c r="B178" s="5">
        <v>3.5046011438729092E-3</v>
      </c>
      <c r="C178" s="5">
        <v>7.0103092783505155E-2</v>
      </c>
      <c r="D178" s="5">
        <v>0.55134543086350318</v>
      </c>
      <c r="E178" s="6">
        <v>282.09429875359535</v>
      </c>
      <c r="F178" s="6">
        <v>132.87873791002929</v>
      </c>
      <c r="G178" s="6">
        <v>37.915509484536081</v>
      </c>
      <c r="H178" s="6">
        <v>540.85359117647056</v>
      </c>
    </row>
    <row r="179" spans="1:8">
      <c r="A179" s="1" t="s">
        <v>130</v>
      </c>
      <c r="B179" s="5"/>
      <c r="C179" s="5"/>
      <c r="D179" s="5"/>
      <c r="E179" s="6"/>
      <c r="F179" s="6"/>
      <c r="G179" s="6"/>
      <c r="H179" s="6"/>
    </row>
    <row r="180" spans="1:8">
      <c r="A180" s="2" t="s">
        <v>27</v>
      </c>
      <c r="B180" s="5">
        <v>3.2894736842105261E-3</v>
      </c>
      <c r="C180" s="5">
        <v>8.5714285714285715E-2</v>
      </c>
      <c r="D180" s="5">
        <v>0.75622406639004147</v>
      </c>
      <c r="E180" s="6">
        <v>446.63339212228101</v>
      </c>
      <c r="F180" s="6">
        <v>321.31158834586466</v>
      </c>
      <c r="G180" s="6">
        <v>97.678722857142859</v>
      </c>
      <c r="H180" s="6">
        <v>1139.5851</v>
      </c>
    </row>
    <row r="181" spans="1:8">
      <c r="A181" s="2" t="s">
        <v>29</v>
      </c>
      <c r="B181" s="5">
        <v>2.9359901251983776E-3</v>
      </c>
      <c r="C181" s="5">
        <v>3.3033033033033031E-2</v>
      </c>
      <c r="D181" s="5">
        <v>0.31980672645312547</v>
      </c>
      <c r="E181" s="6">
        <v>152.70840361176508</v>
      </c>
      <c r="F181" s="6">
        <v>45.181060659495685</v>
      </c>
      <c r="G181" s="6">
        <v>15.388696396396398</v>
      </c>
      <c r="H181" s="6">
        <v>465.85780909090914</v>
      </c>
    </row>
    <row r="182" spans="1:8">
      <c r="A182" s="1" t="s">
        <v>131</v>
      </c>
      <c r="B182" s="5">
        <v>2.9918337045285819E-3</v>
      </c>
      <c r="C182" s="5">
        <v>4.2183622828784122E-2</v>
      </c>
      <c r="D182" s="5">
        <v>0.39038770341846885</v>
      </c>
      <c r="E182" s="6">
        <v>244.79078500388817</v>
      </c>
      <c r="F182" s="6">
        <v>88.804354120267263</v>
      </c>
      <c r="G182" s="6">
        <v>29.682249379652607</v>
      </c>
      <c r="H182" s="6">
        <v>703.64391176470588</v>
      </c>
    </row>
    <row r="183" spans="1:8">
      <c r="A183" s="1" t="s">
        <v>132</v>
      </c>
      <c r="B183" s="5"/>
      <c r="C183" s="5"/>
      <c r="D183" s="5"/>
      <c r="E183" s="6"/>
      <c r="F183" s="6"/>
      <c r="G183" s="6"/>
      <c r="H183" s="6"/>
    </row>
    <row r="184" spans="1:8">
      <c r="A184" s="2" t="s">
        <v>37</v>
      </c>
      <c r="B184" s="5">
        <v>2.5595498881638111E-3</v>
      </c>
      <c r="C184" s="5">
        <v>0.10810810810810811</v>
      </c>
      <c r="D184" s="5">
        <v>0.35989937106918241</v>
      </c>
      <c r="E184" s="6">
        <v>364.48334265343215</v>
      </c>
      <c r="F184" s="6">
        <v>120.23655544538475</v>
      </c>
      <c r="G184" s="6">
        <v>46.975663963963967</v>
      </c>
      <c r="H184" s="6">
        <v>434.52489166666669</v>
      </c>
    </row>
    <row r="185" spans="1:8">
      <c r="A185" s="2" t="s">
        <v>29</v>
      </c>
      <c r="B185" s="5">
        <v>4.400788621320941E-3</v>
      </c>
      <c r="C185" s="5">
        <v>0.128</v>
      </c>
      <c r="D185" s="5">
        <v>0.50476767065233841</v>
      </c>
      <c r="E185" s="6">
        <v>902.98411544227883</v>
      </c>
      <c r="F185" s="6">
        <v>424.08844176876499</v>
      </c>
      <c r="G185" s="6">
        <v>96.366464800000003</v>
      </c>
      <c r="H185" s="6">
        <v>752.86300625000001</v>
      </c>
    </row>
    <row r="186" spans="1:8">
      <c r="A186" s="2" t="s">
        <v>33</v>
      </c>
      <c r="B186" s="5">
        <v>3.1850756455465818E-3</v>
      </c>
      <c r="C186" s="5">
        <v>0.21428571428571427</v>
      </c>
      <c r="D186" s="5">
        <v>0.59475782099287355</v>
      </c>
      <c r="E186" s="6">
        <v>695.21201259138911</v>
      </c>
      <c r="F186" s="6">
        <v>389.40097258559894</v>
      </c>
      <c r="G186" s="6">
        <v>122.25799821428572</v>
      </c>
      <c r="H186" s="6">
        <v>570.53732500000001</v>
      </c>
    </row>
    <row r="187" spans="1:8">
      <c r="A187" s="1" t="s">
        <v>133</v>
      </c>
      <c r="B187" s="5">
        <v>3.2679372824639353E-3</v>
      </c>
      <c r="C187" s="5">
        <v>0.13698630136986301</v>
      </c>
      <c r="D187" s="5">
        <v>0.45317636820731</v>
      </c>
      <c r="E187" s="6">
        <v>642.94432975942811</v>
      </c>
      <c r="F187" s="6">
        <v>269.79009882152809</v>
      </c>
      <c r="G187" s="6">
        <v>82.556694178082196</v>
      </c>
      <c r="H187" s="6">
        <v>602.66386750000004</v>
      </c>
    </row>
    <row r="188" spans="1:8">
      <c r="A188" s="1" t="s">
        <v>134</v>
      </c>
      <c r="B188" s="5"/>
      <c r="C188" s="5"/>
      <c r="D188" s="5"/>
      <c r="E188" s="6"/>
      <c r="F188" s="6"/>
      <c r="G188" s="6"/>
      <c r="H188" s="6"/>
    </row>
    <row r="189" spans="1:8">
      <c r="A189" s="2" t="s">
        <v>25</v>
      </c>
      <c r="B189" s="5">
        <v>2.555828760792505E-3</v>
      </c>
      <c r="C189" s="5">
        <v>1.2648425400103252E-2</v>
      </c>
      <c r="D189" s="5">
        <v>0.82491853061458353</v>
      </c>
      <c r="E189" s="6">
        <v>6.816120669296807</v>
      </c>
      <c r="F189" s="6">
        <v>5.1793759001313537</v>
      </c>
      <c r="G189" s="6">
        <v>2.0264956633970055</v>
      </c>
      <c r="H189" s="6">
        <v>160.21722857142856</v>
      </c>
    </row>
    <row r="190" spans="1:8">
      <c r="A190" s="2" t="s">
        <v>27</v>
      </c>
      <c r="B190" s="5">
        <v>7.1097460398714561E-3</v>
      </c>
      <c r="C190" s="5">
        <v>0.06</v>
      </c>
      <c r="D190" s="5">
        <v>0.63027531109857149</v>
      </c>
      <c r="E190" s="6">
        <v>298.59193761191216</v>
      </c>
      <c r="F190" s="6">
        <v>180.20982566902711</v>
      </c>
      <c r="G190" s="6">
        <v>25.346872399999999</v>
      </c>
      <c r="H190" s="6">
        <v>422.44787333333335</v>
      </c>
    </row>
    <row r="191" spans="1:8">
      <c r="A191" s="2" t="s">
        <v>29</v>
      </c>
      <c r="B191" s="5">
        <v>2.8363160700833412E-3</v>
      </c>
      <c r="C191" s="5">
        <v>1.4459665144596651E-2</v>
      </c>
      <c r="D191" s="5">
        <v>0.44361550457818427</v>
      </c>
      <c r="E191" s="6">
        <v>75.19828461373352</v>
      </c>
      <c r="F191" s="6">
        <v>27.980572098334257</v>
      </c>
      <c r="G191" s="6">
        <v>9.8651107305936065</v>
      </c>
      <c r="H191" s="6">
        <v>682.25028947368412</v>
      </c>
    </row>
    <row r="192" spans="1:8">
      <c r="A192" s="2" t="s">
        <v>33</v>
      </c>
      <c r="B192" s="5">
        <v>3.1264604921757908E-3</v>
      </c>
      <c r="C192" s="5">
        <v>1.443298969072165E-2</v>
      </c>
      <c r="D192" s="5">
        <v>0.40250883148529876</v>
      </c>
      <c r="E192" s="6">
        <v>57.664217450073295</v>
      </c>
      <c r="F192" s="6">
        <v>19.525411999806611</v>
      </c>
      <c r="G192" s="6">
        <v>6.245213092783505</v>
      </c>
      <c r="H192" s="6">
        <v>432.70405</v>
      </c>
    </row>
    <row r="193" spans="1:8">
      <c r="A193" s="2" t="s">
        <v>30</v>
      </c>
      <c r="B193" s="5">
        <v>3.1676551746773304E-3</v>
      </c>
      <c r="C193" s="5">
        <v>1.0108668182966895E-2</v>
      </c>
      <c r="D193" s="5">
        <v>0.46874811931809507</v>
      </c>
      <c r="E193" s="6">
        <v>40.852455859301649</v>
      </c>
      <c r="F193" s="6">
        <v>17.066286606750463</v>
      </c>
      <c r="G193" s="6">
        <v>5.387671847359111</v>
      </c>
      <c r="H193" s="6">
        <v>532.9754375</v>
      </c>
    </row>
    <row r="194" spans="1:8">
      <c r="A194" s="2" t="s">
        <v>31</v>
      </c>
      <c r="B194" s="5">
        <v>2.4488461339895714E-3</v>
      </c>
      <c r="C194" s="5">
        <v>5.621925509486999E-2</v>
      </c>
      <c r="D194" s="5">
        <v>0.6353850580016176</v>
      </c>
      <c r="E194" s="6">
        <v>38.389720062651293</v>
      </c>
      <c r="F194" s="6">
        <v>23.198730317162575</v>
      </c>
      <c r="G194" s="6">
        <v>9.4733311314125093</v>
      </c>
      <c r="H194" s="6">
        <v>168.5068775</v>
      </c>
    </row>
    <row r="195" spans="1:8">
      <c r="A195" s="1" t="s">
        <v>135</v>
      </c>
      <c r="B195" s="5">
        <v>2.8372515629794992E-3</v>
      </c>
      <c r="C195" s="5">
        <v>1.8408551068883609E-2</v>
      </c>
      <c r="D195" s="5">
        <v>0.62033902106326344</v>
      </c>
      <c r="E195" s="6">
        <v>29.270232935087112</v>
      </c>
      <c r="F195" s="6">
        <v>16.368722887796423</v>
      </c>
      <c r="G195" s="6">
        <v>5.769218035290125</v>
      </c>
      <c r="H195" s="6">
        <v>313.39881198156678</v>
      </c>
    </row>
    <row r="196" spans="1:8">
      <c r="A196" s="1" t="s">
        <v>136</v>
      </c>
      <c r="B196" s="5"/>
      <c r="C196" s="5"/>
      <c r="D196" s="5"/>
      <c r="E196" s="6"/>
      <c r="F196" s="6"/>
      <c r="G196" s="6"/>
      <c r="H196" s="6"/>
    </row>
    <row r="197" spans="1:8">
      <c r="A197" s="2" t="s">
        <v>25</v>
      </c>
      <c r="B197" s="5">
        <v>3.4384051220379751E-3</v>
      </c>
      <c r="C197" s="5">
        <v>4.2692939244663386E-2</v>
      </c>
      <c r="D197" s="5">
        <v>0.55788455925277292</v>
      </c>
      <c r="E197" s="6">
        <v>84.326759534787399</v>
      </c>
      <c r="F197" s="6">
        <v>43.679544594815859</v>
      </c>
      <c r="G197" s="6">
        <v>12.703431691297208</v>
      </c>
      <c r="H197" s="6">
        <v>297.55345769230769</v>
      </c>
    </row>
    <row r="198" spans="1:8">
      <c r="A198" s="2" t="s">
        <v>27</v>
      </c>
      <c r="B198" s="5">
        <v>2.1739974377887341E-3</v>
      </c>
      <c r="C198" s="5">
        <v>0.2857142857142857</v>
      </c>
      <c r="D198" s="5">
        <v>0.55988246978976985</v>
      </c>
      <c r="E198" s="6">
        <v>226.31680094611576</v>
      </c>
      <c r="F198" s="6">
        <v>118.86486276641175</v>
      </c>
      <c r="G198" s="6">
        <v>54.675714285714285</v>
      </c>
      <c r="H198" s="6">
        <v>191.36500000000001</v>
      </c>
    </row>
    <row r="199" spans="1:8">
      <c r="A199" s="2" t="s">
        <v>29</v>
      </c>
      <c r="B199" s="5">
        <v>2.9178253201846802E-3</v>
      </c>
      <c r="C199" s="5">
        <v>7.3571024335031127E-3</v>
      </c>
      <c r="D199" s="5">
        <v>0.66029961747244581</v>
      </c>
      <c r="E199" s="6">
        <v>13.335916631395788</v>
      </c>
      <c r="F199" s="6">
        <v>7.4922206186384148</v>
      </c>
      <c r="G199" s="6">
        <v>2.5677413129598192</v>
      </c>
      <c r="H199" s="6">
        <v>349.01530000000002</v>
      </c>
    </row>
    <row r="200" spans="1:8">
      <c r="A200" s="2" t="s">
        <v>33</v>
      </c>
      <c r="B200" s="5">
        <v>4.3944157117263294E-3</v>
      </c>
      <c r="C200" s="5">
        <v>0.16153846153846155</v>
      </c>
      <c r="D200" s="5">
        <v>0.63841913832539654</v>
      </c>
      <c r="E200" s="6">
        <v>186.97727593092915</v>
      </c>
      <c r="F200" s="6">
        <v>107.61163844099653</v>
      </c>
      <c r="G200" s="6">
        <v>24.48827</v>
      </c>
      <c r="H200" s="6">
        <v>151.59405238095238</v>
      </c>
    </row>
    <row r="201" spans="1:8">
      <c r="A201" s="2" t="s">
        <v>30</v>
      </c>
      <c r="B201" s="5">
        <v>2.6368327871322561E-3</v>
      </c>
      <c r="C201" s="5">
        <v>4.2857142857142858E-2</v>
      </c>
      <c r="D201" s="5">
        <v>0.73311611068011373</v>
      </c>
      <c r="E201" s="6">
        <v>42.713926122414428</v>
      </c>
      <c r="F201" s="6">
        <v>28.508935096244393</v>
      </c>
      <c r="G201" s="6">
        <v>10.811809999999999</v>
      </c>
      <c r="H201" s="6">
        <v>252.27556666666666</v>
      </c>
    </row>
    <row r="202" spans="1:8">
      <c r="A202" s="2" t="s">
        <v>41</v>
      </c>
      <c r="B202" s="5">
        <v>4.022658238239882E-3</v>
      </c>
      <c r="C202" s="5">
        <v>4.0816326530612242E-2</v>
      </c>
      <c r="D202" s="5">
        <v>0.65962424153812416</v>
      </c>
      <c r="E202" s="6">
        <v>83.846209686357085</v>
      </c>
      <c r="F202" s="6">
        <v>41.405705607093019</v>
      </c>
      <c r="G202" s="6">
        <v>10.293120408163265</v>
      </c>
      <c r="H202" s="6">
        <v>252.18145000000001</v>
      </c>
    </row>
    <row r="203" spans="1:8">
      <c r="A203" s="2" t="s">
        <v>31</v>
      </c>
      <c r="B203" s="5">
        <v>4.274119963501897E-3</v>
      </c>
      <c r="C203" s="5">
        <v>9.5505617977528087E-2</v>
      </c>
      <c r="D203" s="5">
        <v>0.68836062018865873</v>
      </c>
      <c r="E203" s="6">
        <v>185.85522740696985</v>
      </c>
      <c r="F203" s="6">
        <v>113.33125630312635</v>
      </c>
      <c r="G203" s="6">
        <v>26.515693820224719</v>
      </c>
      <c r="H203" s="6">
        <v>277.63491176470586</v>
      </c>
    </row>
    <row r="204" spans="1:8">
      <c r="A204" s="1" t="s">
        <v>137</v>
      </c>
      <c r="B204" s="5">
        <v>3.0975407463048597E-3</v>
      </c>
      <c r="C204" s="5">
        <v>3.5048942216608779E-2</v>
      </c>
      <c r="D204" s="5">
        <v>0.64706779754179367</v>
      </c>
      <c r="E204" s="6">
        <v>48.157612809164462</v>
      </c>
      <c r="F204" s="6">
        <v>27.169836486623947</v>
      </c>
      <c r="G204" s="6">
        <v>8.7714218187559201</v>
      </c>
      <c r="H204" s="6">
        <v>250.2620981981982</v>
      </c>
    </row>
    <row r="205" spans="1:8">
      <c r="A205" s="1" t="s">
        <v>138</v>
      </c>
      <c r="B205" s="5"/>
      <c r="C205" s="5"/>
      <c r="D205" s="5"/>
      <c r="E205" s="6"/>
      <c r="F205" s="6"/>
      <c r="G205" s="6"/>
      <c r="H205" s="6"/>
    </row>
    <row r="206" spans="1:8">
      <c r="A206" s="2" t="s">
        <v>30</v>
      </c>
      <c r="B206" s="5">
        <v>2.4787754849104541E-3</v>
      </c>
      <c r="C206" s="5">
        <v>0.1</v>
      </c>
      <c r="D206" s="5">
        <v>0.56578759800427658</v>
      </c>
      <c r="E206" s="6">
        <v>231.17267573696145</v>
      </c>
      <c r="F206" s="6">
        <v>113.71684327941998</v>
      </c>
      <c r="G206" s="6">
        <v>45.876217500000003</v>
      </c>
      <c r="H206" s="6">
        <v>458.76217500000001</v>
      </c>
    </row>
    <row r="207" spans="1:8">
      <c r="A207" s="1" t="s">
        <v>139</v>
      </c>
      <c r="B207" s="5">
        <v>2.4787754849104541E-3</v>
      </c>
      <c r="C207" s="5">
        <v>0.1</v>
      </c>
      <c r="D207" s="5">
        <v>0.56578759800427658</v>
      </c>
      <c r="E207" s="6">
        <v>231.17267573696145</v>
      </c>
      <c r="F207" s="6">
        <v>113.71684327941998</v>
      </c>
      <c r="G207" s="6">
        <v>45.876217500000003</v>
      </c>
      <c r="H207" s="6">
        <v>458.76217500000001</v>
      </c>
    </row>
    <row r="208" spans="1:8">
      <c r="A208" s="1" t="s">
        <v>140</v>
      </c>
      <c r="B208" s="5"/>
      <c r="C208" s="5"/>
      <c r="D208" s="5"/>
      <c r="E208" s="6"/>
      <c r="F208" s="6"/>
      <c r="G208" s="6"/>
      <c r="H208" s="6"/>
    </row>
    <row r="209" spans="1:8">
      <c r="A209" s="2" t="s">
        <v>30</v>
      </c>
      <c r="B209" s="5">
        <v>2.6009460303698696E-3</v>
      </c>
      <c r="C209" s="5">
        <v>7.8431372549019607E-2</v>
      </c>
      <c r="D209" s="5">
        <v>0.41275639706386774</v>
      </c>
      <c r="E209" s="6">
        <v>67.002505505463915</v>
      </c>
      <c r="F209" s="6">
        <v>20.559576963778003</v>
      </c>
      <c r="G209" s="6">
        <v>7.9046534313725489</v>
      </c>
      <c r="H209" s="6">
        <v>100.78433124999999</v>
      </c>
    </row>
    <row r="210" spans="1:8">
      <c r="A210" s="1" t="s">
        <v>141</v>
      </c>
      <c r="B210" s="5">
        <v>2.6009460303698696E-3</v>
      </c>
      <c r="C210" s="5">
        <v>7.8431372549019607E-2</v>
      </c>
      <c r="D210" s="5">
        <v>0.41275639706386774</v>
      </c>
      <c r="E210" s="6">
        <v>67.002505505463915</v>
      </c>
      <c r="F210" s="6">
        <v>20.559576963778003</v>
      </c>
      <c r="G210" s="6">
        <v>7.9046534313725489</v>
      </c>
      <c r="H210" s="6">
        <v>100.78433124999999</v>
      </c>
    </row>
    <row r="211" spans="1:8">
      <c r="A211" s="1" t="s">
        <v>28</v>
      </c>
      <c r="B211" s="5"/>
      <c r="C211" s="5"/>
      <c r="D211" s="5"/>
      <c r="E211" s="6"/>
      <c r="F211" s="6"/>
      <c r="G211" s="6"/>
      <c r="H211" s="6"/>
    </row>
    <row r="212" spans="1:8">
      <c r="A212" s="2" t="s">
        <v>25</v>
      </c>
      <c r="B212" s="5">
        <v>3.386246828443172E-3</v>
      </c>
      <c r="C212" s="5">
        <v>5.4755043227665709E-2</v>
      </c>
      <c r="D212" s="5">
        <v>0.67678823314059289</v>
      </c>
      <c r="E212" s="6">
        <v>38.138209713515977</v>
      </c>
      <c r="F212" s="6">
        <v>23.392808210266082</v>
      </c>
      <c r="G212" s="6">
        <v>6.9081816522574444</v>
      </c>
      <c r="H212" s="6">
        <v>126.16521228070175</v>
      </c>
    </row>
    <row r="213" spans="1:8">
      <c r="A213" s="2" t="s">
        <v>27</v>
      </c>
      <c r="B213" s="5">
        <v>4.7288600369354752E-3</v>
      </c>
      <c r="C213" s="5">
        <v>9.4674556213017749E-2</v>
      </c>
      <c r="D213" s="5">
        <v>0.4711385156021215</v>
      </c>
      <c r="E213" s="6">
        <v>238.95459270002416</v>
      </c>
      <c r="F213" s="6">
        <v>96.814120124237519</v>
      </c>
      <c r="G213" s="6">
        <v>20.473035650887574</v>
      </c>
      <c r="H213" s="6">
        <v>216.2464390625</v>
      </c>
    </row>
    <row r="214" spans="1:8">
      <c r="A214" s="2" t="s">
        <v>29</v>
      </c>
      <c r="B214" s="5">
        <v>2.6732616860246847E-3</v>
      </c>
      <c r="C214" s="5">
        <v>1.6393442622950821E-2</v>
      </c>
      <c r="D214" s="5">
        <v>0.64899130782891623</v>
      </c>
      <c r="E214" s="6">
        <v>20.41508127227031</v>
      </c>
      <c r="F214" s="6">
        <v>11.361485676137997</v>
      </c>
      <c r="G214" s="6">
        <v>4.2500462021857919</v>
      </c>
      <c r="H214" s="6">
        <v>259.25281833333332</v>
      </c>
    </row>
    <row r="215" spans="1:8">
      <c r="A215" s="2" t="s">
        <v>33</v>
      </c>
      <c r="B215" s="5">
        <v>4.6517142935322926E-3</v>
      </c>
      <c r="C215" s="5">
        <v>2.3529411764705882E-2</v>
      </c>
      <c r="D215" s="5">
        <v>0.56414221449749513</v>
      </c>
      <c r="E215" s="6">
        <v>160.58964501733004</v>
      </c>
      <c r="F215" s="6">
        <v>64.657995932030246</v>
      </c>
      <c r="G215" s="6">
        <v>13.899820980392157</v>
      </c>
      <c r="H215" s="6">
        <v>590.74239166666666</v>
      </c>
    </row>
    <row r="216" spans="1:8">
      <c r="A216" s="2" t="s">
        <v>30</v>
      </c>
      <c r="B216" s="5">
        <v>2.9368858815961123E-3</v>
      </c>
      <c r="C216" s="5">
        <v>1.2195121951219513E-2</v>
      </c>
      <c r="D216" s="5">
        <v>0.13121469167619601</v>
      </c>
      <c r="E216" s="6">
        <v>129.85572175974099</v>
      </c>
      <c r="F216" s="6">
        <v>12.377041459406369</v>
      </c>
      <c r="G216" s="6">
        <v>4.2143419793621018</v>
      </c>
      <c r="H216" s="6">
        <v>345.57604230769232</v>
      </c>
    </row>
    <row r="217" spans="1:8">
      <c r="A217" s="2" t="s">
        <v>41</v>
      </c>
      <c r="B217" s="5">
        <v>3.7684299778604738E-3</v>
      </c>
      <c r="C217" s="5">
        <v>0.125</v>
      </c>
      <c r="D217" s="5">
        <v>0.91951157466293565</v>
      </c>
      <c r="E217" s="6">
        <v>85.767537210203074</v>
      </c>
      <c r="F217" s="6">
        <v>73.016943803287958</v>
      </c>
      <c r="G217" s="6">
        <v>19.375958750000002</v>
      </c>
      <c r="H217" s="6">
        <v>155.00767000000002</v>
      </c>
    </row>
    <row r="218" spans="1:8">
      <c r="A218" s="2" t="s">
        <v>31</v>
      </c>
      <c r="B218" s="5">
        <v>2.2120070507724745E-3</v>
      </c>
      <c r="C218" s="5">
        <v>0.109375</v>
      </c>
      <c r="D218" s="5">
        <v>0.77740478759541221</v>
      </c>
      <c r="E218" s="6">
        <v>155.83312599599034</v>
      </c>
      <c r="F218" s="6">
        <v>104.77384992914665</v>
      </c>
      <c r="G218" s="6">
        <v>47.365965625000001</v>
      </c>
      <c r="H218" s="6">
        <v>433.06025714285715</v>
      </c>
    </row>
    <row r="219" spans="1:8">
      <c r="A219" s="1" t="s">
        <v>142</v>
      </c>
      <c r="B219" s="5">
        <v>3.0174950392278053E-3</v>
      </c>
      <c r="C219" s="5">
        <v>2.891093960553718E-2</v>
      </c>
      <c r="D219" s="5">
        <v>0.52083195744518351</v>
      </c>
      <c r="E219" s="6">
        <v>49.376722051331598</v>
      </c>
      <c r="F219" s="6">
        <v>21.159705296123352</v>
      </c>
      <c r="G219" s="6">
        <v>7.0123413695945116</v>
      </c>
      <c r="H219" s="6">
        <v>242.54975677966101</v>
      </c>
    </row>
    <row r="220" spans="1:8">
      <c r="A220" s="1" t="s">
        <v>143</v>
      </c>
      <c r="B220" s="5"/>
      <c r="C220" s="5"/>
      <c r="D220" s="5"/>
      <c r="E220" s="6"/>
      <c r="F220" s="6"/>
      <c r="G220" s="6"/>
      <c r="H220" s="6"/>
    </row>
    <row r="221" spans="1:8">
      <c r="A221" s="2" t="s">
        <v>25</v>
      </c>
      <c r="B221" s="5">
        <v>3.8852554555462021E-3</v>
      </c>
      <c r="C221" s="5">
        <v>6.6666666666666666E-2</v>
      </c>
      <c r="D221" s="5">
        <v>0.56121250933931044</v>
      </c>
      <c r="E221" s="6">
        <v>207.91650817801445</v>
      </c>
      <c r="F221" s="6">
        <v>106.18645988473743</v>
      </c>
      <c r="G221" s="6">
        <v>27.330625000000001</v>
      </c>
      <c r="H221" s="6">
        <v>409.95937500000002</v>
      </c>
    </row>
    <row r="222" spans="1:8">
      <c r="A222" s="1" t="s">
        <v>144</v>
      </c>
      <c r="B222" s="5">
        <v>3.8852554555462021E-3</v>
      </c>
      <c r="C222" s="5">
        <v>6.6666666666666666E-2</v>
      </c>
      <c r="D222" s="5">
        <v>0.56121250933931044</v>
      </c>
      <c r="E222" s="6">
        <v>207.91650817801445</v>
      </c>
      <c r="F222" s="6">
        <v>106.18645988473743</v>
      </c>
      <c r="G222" s="6">
        <v>27.330625000000001</v>
      </c>
      <c r="H222" s="6">
        <v>409.95937500000002</v>
      </c>
    </row>
    <row r="223" spans="1:8">
      <c r="A223" s="1" t="s">
        <v>145</v>
      </c>
      <c r="B223" s="5"/>
      <c r="C223" s="5"/>
      <c r="D223" s="5"/>
      <c r="E223" s="6"/>
      <c r="F223" s="6"/>
      <c r="G223" s="6"/>
      <c r="H223" s="6"/>
    </row>
    <row r="224" spans="1:8">
      <c r="A224" s="2" t="s">
        <v>27</v>
      </c>
      <c r="B224" s="5">
        <v>2.7394555640563685E-3</v>
      </c>
      <c r="C224" s="5">
        <v>9.0090090090090086E-2</v>
      </c>
      <c r="D224" s="5">
        <v>0.23227942015751626</v>
      </c>
      <c r="E224" s="6">
        <v>259.19918099918101</v>
      </c>
      <c r="F224" s="6">
        <v>39.053555122288309</v>
      </c>
      <c r="G224" s="6">
        <v>14.255954954954955</v>
      </c>
      <c r="H224" s="6">
        <v>158.24110000000002</v>
      </c>
    </row>
    <row r="225" spans="1:8">
      <c r="A225" s="1" t="s">
        <v>146</v>
      </c>
      <c r="B225" s="5">
        <v>2.7394555640563685E-3</v>
      </c>
      <c r="C225" s="5">
        <v>9.0090090090090086E-2</v>
      </c>
      <c r="D225" s="5">
        <v>0.23227942015751626</v>
      </c>
      <c r="E225" s="6">
        <v>259.19918099918101</v>
      </c>
      <c r="F225" s="6">
        <v>39.053555122288309</v>
      </c>
      <c r="G225" s="6">
        <v>14.255954954954955</v>
      </c>
      <c r="H225" s="6">
        <v>158.24110000000002</v>
      </c>
    </row>
    <row r="226" spans="1:8">
      <c r="A226" s="1" t="s">
        <v>147</v>
      </c>
      <c r="B226" s="5"/>
      <c r="C226" s="5"/>
      <c r="D226" s="5"/>
      <c r="E226" s="6"/>
      <c r="F226" s="6"/>
      <c r="G226" s="6"/>
      <c r="H226" s="6"/>
    </row>
    <row r="227" spans="1:8">
      <c r="A227" s="2" t="s">
        <v>27</v>
      </c>
      <c r="B227" s="5">
        <v>6.2211734420250988E-3</v>
      </c>
      <c r="C227" s="5">
        <v>0.10344827586206896</v>
      </c>
      <c r="D227" s="5">
        <v>0.4673469387755102</v>
      </c>
      <c r="E227" s="6">
        <v>283.94857872620912</v>
      </c>
      <c r="F227" s="6">
        <v>123.21798777217634</v>
      </c>
      <c r="G227" s="6">
        <v>19.806229310344825</v>
      </c>
      <c r="H227" s="6">
        <v>191.46021666666667</v>
      </c>
    </row>
    <row r="228" spans="1:8">
      <c r="A228" s="2" t="s">
        <v>30</v>
      </c>
      <c r="B228" s="5">
        <v>6.5779169929522322E-3</v>
      </c>
      <c r="C228" s="5">
        <v>0.25</v>
      </c>
      <c r="D228" s="5">
        <v>0.56021602160216022</v>
      </c>
      <c r="E228" s="6">
        <v>335.39681876606681</v>
      </c>
      <c r="F228" s="6">
        <v>163.46983555207518</v>
      </c>
      <c r="G228" s="6">
        <v>24.851307142857141</v>
      </c>
      <c r="H228" s="6">
        <v>99.405228571428566</v>
      </c>
    </row>
    <row r="229" spans="1:8">
      <c r="A229" s="1" t="s">
        <v>148</v>
      </c>
      <c r="B229" s="5">
        <v>6.3329978644542087E-3</v>
      </c>
      <c r="C229" s="5">
        <v>0.15116279069767441</v>
      </c>
      <c r="D229" s="5">
        <v>0.49517259978425027</v>
      </c>
      <c r="E229" s="6">
        <v>301.38847012689939</v>
      </c>
      <c r="F229" s="6">
        <v>135.83528559856651</v>
      </c>
      <c r="G229" s="6">
        <v>21.448812790697676</v>
      </c>
      <c r="H229" s="6">
        <v>141.89214615384617</v>
      </c>
    </row>
    <row r="230" spans="1:8">
      <c r="A230" s="1" t="s">
        <v>149</v>
      </c>
      <c r="B230" s="5"/>
      <c r="C230" s="5"/>
      <c r="D230" s="5"/>
      <c r="E230" s="6"/>
      <c r="F230" s="6"/>
      <c r="G230" s="6"/>
      <c r="H230" s="6"/>
    </row>
    <row r="231" spans="1:8">
      <c r="A231" s="2" t="s">
        <v>27</v>
      </c>
      <c r="B231" s="5">
        <v>4.2456590302568193E-3</v>
      </c>
      <c r="C231" s="5">
        <v>4.2857142857142858E-2</v>
      </c>
      <c r="D231" s="5">
        <v>0.8750259827596748</v>
      </c>
      <c r="E231" s="6">
        <v>95.879721647755844</v>
      </c>
      <c r="F231" s="6">
        <v>59.452538730807888</v>
      </c>
      <c r="G231" s="6">
        <v>14.003135510204082</v>
      </c>
      <c r="H231" s="6">
        <v>326.73982857142857</v>
      </c>
    </row>
    <row r="232" spans="1:8">
      <c r="A232" s="2" t="s">
        <v>29</v>
      </c>
      <c r="B232" s="5">
        <v>3.7432154220475387E-3</v>
      </c>
      <c r="C232" s="5">
        <v>0.06</v>
      </c>
      <c r="D232" s="5">
        <v>0.49142102947646282</v>
      </c>
      <c r="E232" s="6">
        <v>376.25862293480918</v>
      </c>
      <c r="F232" s="6">
        <v>173.05220662549132</v>
      </c>
      <c r="G232" s="6">
        <v>46.230897000000006</v>
      </c>
      <c r="H232" s="6">
        <v>770.51495000000011</v>
      </c>
    </row>
    <row r="233" spans="1:8">
      <c r="A233" s="2" t="s">
        <v>30</v>
      </c>
      <c r="B233" s="5">
        <v>2.7934329821122273E-3</v>
      </c>
      <c r="C233" s="5">
        <v>0.21403508771929824</v>
      </c>
      <c r="D233" s="5">
        <v>0.42453267896359381</v>
      </c>
      <c r="E233" s="6">
        <v>389.73758348512445</v>
      </c>
      <c r="F233" s="6">
        <v>157.28934084783143</v>
      </c>
      <c r="G233" s="6">
        <v>56.306824561403509</v>
      </c>
      <c r="H233" s="6">
        <v>263.07286885245901</v>
      </c>
    </row>
    <row r="234" spans="1:8">
      <c r="A234" s="2" t="s">
        <v>31</v>
      </c>
      <c r="B234" s="5">
        <v>2.7966082734859161E-3</v>
      </c>
      <c r="C234" s="5">
        <v>0.16400000000000001</v>
      </c>
      <c r="D234" s="5">
        <v>0.46670847036842711</v>
      </c>
      <c r="E234" s="6">
        <v>367.73867562380042</v>
      </c>
      <c r="F234" s="6">
        <v>150.02605879589234</v>
      </c>
      <c r="G234" s="6">
        <v>53.645718000000002</v>
      </c>
      <c r="H234" s="6">
        <v>327.10803658536588</v>
      </c>
    </row>
    <row r="235" spans="1:8">
      <c r="A235" s="1" t="s">
        <v>150</v>
      </c>
      <c r="B235" s="5">
        <v>3.3728481228975913E-3</v>
      </c>
      <c r="C235" s="5">
        <v>0.11466666666666667</v>
      </c>
      <c r="D235" s="5">
        <v>0.57284335981838819</v>
      </c>
      <c r="E235" s="6">
        <v>253.52640684598998</v>
      </c>
      <c r="F235" s="6">
        <v>122.75218590539235</v>
      </c>
      <c r="G235" s="6">
        <v>36.394222755555553</v>
      </c>
      <c r="H235" s="6">
        <v>317.39147751937986</v>
      </c>
    </row>
    <row r="236" spans="1:8">
      <c r="A236" s="1" t="s">
        <v>151</v>
      </c>
      <c r="B236" s="5"/>
      <c r="C236" s="5"/>
      <c r="D236" s="5"/>
      <c r="E236" s="6"/>
      <c r="F236" s="6"/>
      <c r="G236" s="6"/>
      <c r="H236" s="6"/>
    </row>
    <row r="237" spans="1:8">
      <c r="A237" s="2" t="s">
        <v>39</v>
      </c>
      <c r="B237" s="5">
        <v>3.8350407144733386E-3</v>
      </c>
      <c r="C237" s="5">
        <v>5.4794520547945202E-2</v>
      </c>
      <c r="D237" s="5">
        <v>0.43023157419682395</v>
      </c>
      <c r="E237" s="6">
        <v>108.40561201075198</v>
      </c>
      <c r="F237" s="6">
        <v>43.433433149461521</v>
      </c>
      <c r="G237" s="6">
        <v>11.325416438356164</v>
      </c>
      <c r="H237" s="6">
        <v>206.68885</v>
      </c>
    </row>
    <row r="238" spans="1:8">
      <c r="A238" s="2" t="s">
        <v>25</v>
      </c>
      <c r="B238" s="5">
        <v>2.6237309127650215E-3</v>
      </c>
      <c r="C238" s="5">
        <v>6.70807453416149E-2</v>
      </c>
      <c r="D238" s="5">
        <v>0.56430069624493839</v>
      </c>
      <c r="E238" s="6">
        <v>108.35248506123924</v>
      </c>
      <c r="F238" s="6">
        <v>54.726630705799913</v>
      </c>
      <c r="G238" s="6">
        <v>20.858324472049688</v>
      </c>
      <c r="H238" s="6">
        <v>310.94354074074073</v>
      </c>
    </row>
    <row r="239" spans="1:8">
      <c r="A239" s="2" t="s">
        <v>27</v>
      </c>
      <c r="B239" s="5">
        <v>3.3679056386157931E-3</v>
      </c>
      <c r="C239" s="5">
        <v>3.4054742202418845E-2</v>
      </c>
      <c r="D239" s="5">
        <v>0.47312661925114274</v>
      </c>
      <c r="E239" s="6">
        <v>61.210282166649229</v>
      </c>
      <c r="F239" s="6">
        <v>26.335950195299937</v>
      </c>
      <c r="G239" s="6">
        <v>7.8196817313812854</v>
      </c>
      <c r="H239" s="6">
        <v>229.62093457943925</v>
      </c>
    </row>
    <row r="240" spans="1:8">
      <c r="A240" s="2" t="s">
        <v>37</v>
      </c>
      <c r="B240" s="5">
        <v>2.6603156907953076E-3</v>
      </c>
      <c r="C240" s="5">
        <v>0.27619047619047621</v>
      </c>
      <c r="D240" s="5">
        <v>0.52602971703266688</v>
      </c>
      <c r="E240" s="6">
        <v>170.23334544888101</v>
      </c>
      <c r="F240" s="6">
        <v>83.065798474752327</v>
      </c>
      <c r="G240" s="6">
        <v>31.224038095238093</v>
      </c>
      <c r="H240" s="6">
        <v>113.05255172413793</v>
      </c>
    </row>
    <row r="241" spans="1:8">
      <c r="A241" s="2" t="s">
        <v>29</v>
      </c>
      <c r="B241" s="5">
        <v>2.8417955955741354E-3</v>
      </c>
      <c r="C241" s="5">
        <v>4.9455155071248952E-2</v>
      </c>
      <c r="D241" s="5">
        <v>0.59236651067325785</v>
      </c>
      <c r="E241" s="6">
        <v>74.701292240404044</v>
      </c>
      <c r="F241" s="6">
        <v>37.592381462822026</v>
      </c>
      <c r="G241" s="6">
        <v>13.228390360435876</v>
      </c>
      <c r="H241" s="6">
        <v>267.48253728813557</v>
      </c>
    </row>
    <row r="242" spans="1:8">
      <c r="A242" s="2" t="s">
        <v>35</v>
      </c>
      <c r="B242" s="5">
        <v>2.919689252456655E-3</v>
      </c>
      <c r="C242" s="5">
        <v>1.3215859030837005E-2</v>
      </c>
      <c r="D242" s="5">
        <v>0.11510549782661418</v>
      </c>
      <c r="E242" s="6">
        <v>242.83645056726095</v>
      </c>
      <c r="F242" s="6">
        <v>19.271246848793538</v>
      </c>
      <c r="G242" s="6">
        <v>6.6004444933920707</v>
      </c>
      <c r="H242" s="6">
        <v>499.43363333333332</v>
      </c>
    </row>
    <row r="243" spans="1:8">
      <c r="A243" s="2" t="s">
        <v>33</v>
      </c>
      <c r="B243" s="5">
        <v>2.8672531108830013E-3</v>
      </c>
      <c r="C243" s="5">
        <v>6.4954682779456194E-2</v>
      </c>
      <c r="D243" s="5">
        <v>0.5521748897812474</v>
      </c>
      <c r="E243" s="6">
        <v>86.613841211720526</v>
      </c>
      <c r="F243" s="6">
        <v>44.259592954007005</v>
      </c>
      <c r="G243" s="6">
        <v>15.43623504531722</v>
      </c>
      <c r="H243" s="6">
        <v>237.64622325581394</v>
      </c>
    </row>
    <row r="244" spans="1:8">
      <c r="A244" s="2" t="s">
        <v>30</v>
      </c>
      <c r="B244" s="5">
        <v>3.2717464143123421E-3</v>
      </c>
      <c r="C244" s="5">
        <v>1.8932874354561102E-2</v>
      </c>
      <c r="D244" s="5">
        <v>0.71465087705216623</v>
      </c>
      <c r="E244" s="6">
        <v>61.856230399060017</v>
      </c>
      <c r="F244" s="6">
        <v>40.31778793902501</v>
      </c>
      <c r="G244" s="6">
        <v>12.323017383820998</v>
      </c>
      <c r="H244" s="6">
        <v>650.87937272727277</v>
      </c>
    </row>
    <row r="245" spans="1:8">
      <c r="A245" s="2" t="s">
        <v>95</v>
      </c>
      <c r="B245" s="5">
        <v>2.6499894000424E-3</v>
      </c>
      <c r="C245" s="5">
        <v>5.1999999999999998E-2</v>
      </c>
      <c r="D245" s="5">
        <v>0.22027776695118942</v>
      </c>
      <c r="E245" s="6">
        <v>89.486546741374227</v>
      </c>
      <c r="F245" s="6">
        <v>16.082726309094767</v>
      </c>
      <c r="G245" s="6">
        <v>6.0689776000000002</v>
      </c>
      <c r="H245" s="6">
        <v>116.71110769230769</v>
      </c>
    </row>
    <row r="246" spans="1:8">
      <c r="A246" s="2" t="s">
        <v>31</v>
      </c>
      <c r="B246" s="5">
        <v>3.3282023547031659E-3</v>
      </c>
      <c r="C246" s="5">
        <v>0.3125</v>
      </c>
      <c r="D246" s="5">
        <v>0.5613299321198495</v>
      </c>
      <c r="E246" s="6">
        <v>241.70653932065008</v>
      </c>
      <c r="F246" s="6">
        <v>130.55189915546867</v>
      </c>
      <c r="G246" s="6">
        <v>39.225949999999997</v>
      </c>
      <c r="H246" s="6">
        <v>125.52303999999999</v>
      </c>
    </row>
    <row r="247" spans="1:8">
      <c r="A247" s="1" t="s">
        <v>152</v>
      </c>
      <c r="B247" s="5">
        <v>3.070882685534097E-3</v>
      </c>
      <c r="C247" s="5">
        <v>4.8950076484494509E-2</v>
      </c>
      <c r="D247" s="5">
        <v>0.51511265051383015</v>
      </c>
      <c r="E247" s="6">
        <v>79.858631826106915</v>
      </c>
      <c r="F247" s="6">
        <v>36.557629633868451</v>
      </c>
      <c r="G247" s="6">
        <v>11.904599874843555</v>
      </c>
      <c r="H247" s="6">
        <v>243.19880028409091</v>
      </c>
    </row>
    <row r="248" spans="1:8">
      <c r="A248" s="1" t="s">
        <v>153</v>
      </c>
      <c r="B248" s="5"/>
      <c r="C248" s="5"/>
      <c r="D248" s="5"/>
      <c r="E248" s="6"/>
      <c r="F248" s="6"/>
      <c r="G248" s="6"/>
      <c r="H248" s="6"/>
    </row>
    <row r="249" spans="1:8">
      <c r="A249" s="2" t="s">
        <v>25</v>
      </c>
      <c r="B249" s="5">
        <v>2.5380710659898475E-3</v>
      </c>
      <c r="C249" s="5">
        <v>0.11881188118811881</v>
      </c>
      <c r="D249" s="5">
        <v>0.4656701359388275</v>
      </c>
      <c r="E249" s="6">
        <v>303.810051884372</v>
      </c>
      <c r="F249" s="6">
        <v>133.90271146403981</v>
      </c>
      <c r="G249" s="6">
        <v>52.75766831683169</v>
      </c>
      <c r="H249" s="6">
        <v>444.04370833333337</v>
      </c>
    </row>
    <row r="250" spans="1:8">
      <c r="A250" s="2" t="s">
        <v>27</v>
      </c>
      <c r="B250" s="5">
        <v>3.3810735858374806E-3</v>
      </c>
      <c r="C250" s="5">
        <v>0.1348314606741573</v>
      </c>
      <c r="D250" s="5">
        <v>0.70026265414236744</v>
      </c>
      <c r="E250" s="6">
        <v>879.8848633184997</v>
      </c>
      <c r="F250" s="6">
        <v>525.79830946320715</v>
      </c>
      <c r="G250" s="6">
        <v>155.51223483146069</v>
      </c>
      <c r="H250" s="6">
        <v>1153.3824083333334</v>
      </c>
    </row>
    <row r="251" spans="1:8">
      <c r="A251" s="2" t="s">
        <v>29</v>
      </c>
      <c r="B251" s="5">
        <v>7.0836612806148436E-3</v>
      </c>
      <c r="C251" s="5">
        <v>4.5751633986928102E-2</v>
      </c>
      <c r="D251" s="5">
        <v>0.18318013305571074</v>
      </c>
      <c r="E251" s="6">
        <v>3355.8453562517329</v>
      </c>
      <c r="F251" s="6">
        <v>560.42104727070694</v>
      </c>
      <c r="G251" s="6">
        <v>79.114602614379081</v>
      </c>
      <c r="H251" s="6">
        <v>1729.2191714285714</v>
      </c>
    </row>
    <row r="252" spans="1:8">
      <c r="A252" s="2" t="s">
        <v>31</v>
      </c>
      <c r="B252" s="5">
        <v>2.4846902921393434E-3</v>
      </c>
      <c r="C252" s="5">
        <v>9.0909090909090912E-2</v>
      </c>
      <c r="D252" s="5">
        <v>0.36690957270619412</v>
      </c>
      <c r="E252" s="6">
        <v>574.87315157533624</v>
      </c>
      <c r="F252" s="6">
        <v>159.82004567814477</v>
      </c>
      <c r="G252" s="6">
        <v>64.321918181818177</v>
      </c>
      <c r="H252" s="6">
        <v>707.54109999999991</v>
      </c>
    </row>
    <row r="253" spans="1:8">
      <c r="A253" s="1" t="s">
        <v>154</v>
      </c>
      <c r="B253" s="5">
        <v>3.465036061461273E-3</v>
      </c>
      <c r="C253" s="5">
        <v>9.0497737556561084E-2</v>
      </c>
      <c r="D253" s="5">
        <v>0.43590466147916518</v>
      </c>
      <c r="E253" s="6">
        <v>784.96689466769556</v>
      </c>
      <c r="F253" s="6">
        <v>295.08872295390404</v>
      </c>
      <c r="G253" s="6">
        <v>85.161804298642537</v>
      </c>
      <c r="H253" s="6">
        <v>941.0379375</v>
      </c>
    </row>
    <row r="254" spans="1:8">
      <c r="A254" s="1" t="s">
        <v>155</v>
      </c>
      <c r="B254" s="5"/>
      <c r="C254" s="5"/>
      <c r="D254" s="5"/>
      <c r="E254" s="6"/>
      <c r="F254" s="6"/>
      <c r="G254" s="6"/>
      <c r="H254" s="6"/>
    </row>
    <row r="255" spans="1:8">
      <c r="A255" s="2" t="s">
        <v>27</v>
      </c>
      <c r="B255" s="5">
        <v>3.4116960401460953E-3</v>
      </c>
      <c r="C255" s="5">
        <v>0.12874779541446207</v>
      </c>
      <c r="D255" s="5">
        <v>0.67614255989616434</v>
      </c>
      <c r="E255" s="6">
        <v>148.43407348037323</v>
      </c>
      <c r="F255" s="6">
        <v>90.261899719001391</v>
      </c>
      <c r="G255" s="6">
        <v>26.456606525573193</v>
      </c>
      <c r="H255" s="6">
        <v>205.49172465753423</v>
      </c>
    </row>
    <row r="256" spans="1:8">
      <c r="A256" s="2" t="s">
        <v>33</v>
      </c>
      <c r="B256" s="5">
        <v>3.1735364396654718E-3</v>
      </c>
      <c r="C256" s="5">
        <v>0.10588235294117647</v>
      </c>
      <c r="D256" s="5">
        <v>0.57086384259467227</v>
      </c>
      <c r="E256" s="6">
        <v>522.75429650613796</v>
      </c>
      <c r="F256" s="6">
        <v>248.0272401433692</v>
      </c>
      <c r="G256" s="6">
        <v>78.154842352941188</v>
      </c>
      <c r="H256" s="6">
        <v>738.12906666666674</v>
      </c>
    </row>
    <row r="257" spans="1:8">
      <c r="A257" s="1" t="s">
        <v>156</v>
      </c>
      <c r="B257" s="5">
        <v>3.3786409779403763E-3</v>
      </c>
      <c r="C257" s="5">
        <v>0.12576687116564417</v>
      </c>
      <c r="D257" s="5">
        <v>0.66249534147023204</v>
      </c>
      <c r="E257" s="6">
        <v>190.24565127583085</v>
      </c>
      <c r="F257" s="6">
        <v>112.15874171533395</v>
      </c>
      <c r="G257" s="6">
        <v>33.196407208588958</v>
      </c>
      <c r="H257" s="6">
        <v>263.95192073170733</v>
      </c>
    </row>
    <row r="258" spans="1:8">
      <c r="A258" s="1" t="s">
        <v>157</v>
      </c>
      <c r="B258" s="5"/>
      <c r="C258" s="5"/>
      <c r="D258" s="5"/>
      <c r="E258" s="6"/>
      <c r="F258" s="6"/>
      <c r="G258" s="6"/>
      <c r="H258" s="6"/>
    </row>
    <row r="259" spans="1:8">
      <c r="A259" s="2" t="s">
        <v>29</v>
      </c>
      <c r="B259" s="5">
        <v>3.1487582940118832E-3</v>
      </c>
      <c r="C259" s="5">
        <v>1.4492753623188406E-2</v>
      </c>
      <c r="D259" s="5">
        <v>0.58854171986558124</v>
      </c>
      <c r="E259" s="6">
        <v>28.058221103783406</v>
      </c>
      <c r="F259" s="6">
        <v>14.755489335292561</v>
      </c>
      <c r="G259" s="6">
        <v>4.6861295652173913</v>
      </c>
      <c r="H259" s="6">
        <v>323.34294</v>
      </c>
    </row>
    <row r="260" spans="1:8">
      <c r="A260" s="1" t="s">
        <v>158</v>
      </c>
      <c r="B260" s="5">
        <v>3.1487582940118832E-3</v>
      </c>
      <c r="C260" s="5">
        <v>1.4492753623188406E-2</v>
      </c>
      <c r="D260" s="5">
        <v>0.58854171986558124</v>
      </c>
      <c r="E260" s="6">
        <v>28.058221103783406</v>
      </c>
      <c r="F260" s="6">
        <v>14.755489335292561</v>
      </c>
      <c r="G260" s="6">
        <v>4.6861295652173913</v>
      </c>
      <c r="H260" s="6">
        <v>323.34294</v>
      </c>
    </row>
    <row r="261" spans="1:8">
      <c r="A261" s="1" t="s">
        <v>159</v>
      </c>
      <c r="B261" s="5"/>
      <c r="C261" s="5"/>
      <c r="D261" s="5"/>
      <c r="E261" s="6"/>
      <c r="F261" s="6"/>
      <c r="G261" s="6"/>
      <c r="H261" s="6"/>
    </row>
    <row r="262" spans="1:8">
      <c r="A262" s="2" t="s">
        <v>29</v>
      </c>
      <c r="B262" s="5">
        <v>3.5896097115259104E-3</v>
      </c>
      <c r="C262" s="5">
        <v>9.0909090909090912E-2</v>
      </c>
      <c r="D262" s="5">
        <v>0.45668730870524593</v>
      </c>
      <c r="E262" s="6">
        <v>288.41399625935162</v>
      </c>
      <c r="F262" s="6">
        <v>120.77171387547317</v>
      </c>
      <c r="G262" s="6">
        <v>33.644803636363633</v>
      </c>
      <c r="H262" s="6">
        <v>370.09283999999997</v>
      </c>
    </row>
    <row r="263" spans="1:8">
      <c r="A263" s="1" t="s">
        <v>160</v>
      </c>
      <c r="B263" s="5">
        <v>3.5896097115259104E-3</v>
      </c>
      <c r="C263" s="5">
        <v>9.0909090909090912E-2</v>
      </c>
      <c r="D263" s="5">
        <v>0.45668730870524593</v>
      </c>
      <c r="E263" s="6">
        <v>288.41399625935162</v>
      </c>
      <c r="F263" s="6">
        <v>120.77171387547317</v>
      </c>
      <c r="G263" s="6">
        <v>33.644803636363633</v>
      </c>
      <c r="H263" s="6">
        <v>370.09283999999997</v>
      </c>
    </row>
    <row r="264" spans="1:8">
      <c r="A264" s="1" t="s">
        <v>161</v>
      </c>
      <c r="B264" s="5"/>
      <c r="C264" s="5"/>
      <c r="D264" s="5"/>
      <c r="E264" s="6"/>
      <c r="F264" s="6"/>
      <c r="G264" s="6"/>
      <c r="H264" s="6"/>
    </row>
    <row r="265" spans="1:8">
      <c r="A265" s="2" t="s">
        <v>31</v>
      </c>
      <c r="B265" s="5">
        <v>3.9950917444282735E-3</v>
      </c>
      <c r="C265" s="5">
        <v>0.17142857142857143</v>
      </c>
      <c r="D265" s="5">
        <v>0.62552644941605184</v>
      </c>
      <c r="E265" s="6">
        <v>72.962291089676256</v>
      </c>
      <c r="F265" s="6">
        <v>43.602896441514709</v>
      </c>
      <c r="G265" s="6">
        <v>10.914116428571429</v>
      </c>
      <c r="H265" s="6">
        <v>63.665679166666671</v>
      </c>
    </row>
    <row r="266" spans="1:8">
      <c r="A266" s="1" t="s">
        <v>162</v>
      </c>
      <c r="B266" s="5">
        <v>3.9950917444282735E-3</v>
      </c>
      <c r="C266" s="5">
        <v>0.17142857142857143</v>
      </c>
      <c r="D266" s="5">
        <v>0.62552644941605184</v>
      </c>
      <c r="E266" s="6">
        <v>72.962291089676256</v>
      </c>
      <c r="F266" s="6">
        <v>43.602896441514709</v>
      </c>
      <c r="G266" s="6">
        <v>10.914116428571429</v>
      </c>
      <c r="H266" s="6">
        <v>63.665679166666671</v>
      </c>
    </row>
    <row r="267" spans="1:8">
      <c r="A267" s="1" t="s">
        <v>163</v>
      </c>
      <c r="B267" s="5"/>
      <c r="C267" s="5"/>
      <c r="D267" s="5"/>
      <c r="E267" s="6"/>
      <c r="F267" s="6"/>
      <c r="G267" s="6"/>
      <c r="H267" s="6"/>
    </row>
    <row r="268" spans="1:8">
      <c r="A268" s="2" t="s">
        <v>79</v>
      </c>
      <c r="B268" s="5">
        <v>4.2968949818405038E-3</v>
      </c>
      <c r="C268" s="5">
        <v>2.3809523809523808E-2</v>
      </c>
      <c r="D268" s="5">
        <v>0.36042176395199815</v>
      </c>
      <c r="E268" s="6">
        <v>298.20379828673026</v>
      </c>
      <c r="F268" s="6">
        <v>94.377558954422227</v>
      </c>
      <c r="G268" s="6">
        <v>21.964129761904765</v>
      </c>
      <c r="H268" s="6">
        <v>922.49345000000005</v>
      </c>
    </row>
    <row r="269" spans="1:8">
      <c r="A269" s="2" t="s">
        <v>31</v>
      </c>
      <c r="B269" s="5">
        <v>2.5392914024701748E-3</v>
      </c>
      <c r="C269" s="5">
        <v>3.5502958579881658E-2</v>
      </c>
      <c r="D269" s="5">
        <v>0.6312450691526188</v>
      </c>
      <c r="E269" s="6">
        <v>48.229503137274904</v>
      </c>
      <c r="F269" s="6">
        <v>28.41130360308922</v>
      </c>
      <c r="G269" s="6">
        <v>11.188673964497042</v>
      </c>
      <c r="H269" s="6">
        <v>315.14765</v>
      </c>
    </row>
    <row r="270" spans="1:8">
      <c r="A270" s="1" t="s">
        <v>164</v>
      </c>
      <c r="B270" s="5">
        <v>2.9383412889214082E-3</v>
      </c>
      <c r="C270" s="5">
        <v>3.1620553359683792E-2</v>
      </c>
      <c r="D270" s="5">
        <v>0.57260170293282875</v>
      </c>
      <c r="E270" s="6">
        <v>82.300636662040404</v>
      </c>
      <c r="F270" s="6">
        <v>43.388416199203277</v>
      </c>
      <c r="G270" s="6">
        <v>14.766295652173913</v>
      </c>
      <c r="H270" s="6">
        <v>466.98410000000001</v>
      </c>
    </row>
    <row r="271" spans="1:8">
      <c r="A271" s="1" t="s">
        <v>165</v>
      </c>
      <c r="B271" s="5"/>
      <c r="C271" s="5"/>
      <c r="D271" s="5"/>
      <c r="E271" s="6"/>
      <c r="F271" s="6"/>
      <c r="G271" s="6"/>
      <c r="H271" s="6"/>
    </row>
    <row r="272" spans="1:8">
      <c r="A272" s="2" t="s">
        <v>29</v>
      </c>
      <c r="B272" s="5">
        <v>7.9341507912936479E-3</v>
      </c>
      <c r="C272" s="5">
        <v>4.2780748663101602E-2</v>
      </c>
      <c r="D272" s="5">
        <v>0.46663201663201664</v>
      </c>
      <c r="E272" s="6">
        <v>347.22296725328584</v>
      </c>
      <c r="F272" s="6">
        <v>132.26559463702318</v>
      </c>
      <c r="G272" s="6">
        <v>16.670416042780747</v>
      </c>
      <c r="H272" s="6">
        <v>389.670975</v>
      </c>
    </row>
    <row r="273" spans="1:8">
      <c r="A273" s="1" t="s">
        <v>166</v>
      </c>
      <c r="B273" s="5">
        <v>7.9341507912936479E-3</v>
      </c>
      <c r="C273" s="5">
        <v>4.2780748663101602E-2</v>
      </c>
      <c r="D273" s="5">
        <v>0.46663201663201664</v>
      </c>
      <c r="E273" s="6">
        <v>347.22296725328584</v>
      </c>
      <c r="F273" s="6">
        <v>132.26559463702318</v>
      </c>
      <c r="G273" s="6">
        <v>16.670416042780747</v>
      </c>
      <c r="H273" s="6">
        <v>389.670975</v>
      </c>
    </row>
    <row r="274" spans="1:8">
      <c r="A274" s="1" t="s">
        <v>167</v>
      </c>
      <c r="B274" s="5"/>
      <c r="C274" s="5"/>
      <c r="D274" s="5"/>
      <c r="E274" s="6"/>
      <c r="F274" s="6"/>
      <c r="G274" s="6"/>
      <c r="H274" s="6"/>
    </row>
    <row r="275" spans="1:8">
      <c r="A275" s="2" t="s">
        <v>31</v>
      </c>
      <c r="B275" s="5">
        <v>1.8585057613678603E-3</v>
      </c>
      <c r="C275" s="5">
        <v>0.16666666666666666</v>
      </c>
      <c r="D275" s="5">
        <v>0.45772046912460312</v>
      </c>
      <c r="E275" s="6">
        <v>312.80450169875422</v>
      </c>
      <c r="F275" s="6">
        <v>136.88830380374179</v>
      </c>
      <c r="G275" s="6">
        <v>73.655033333333321</v>
      </c>
      <c r="H275" s="6">
        <v>441.93019999999996</v>
      </c>
    </row>
    <row r="276" spans="1:8">
      <c r="A276" s="1" t="s">
        <v>168</v>
      </c>
      <c r="B276" s="5">
        <v>1.8585057613678603E-3</v>
      </c>
      <c r="C276" s="5">
        <v>0.16666666666666666</v>
      </c>
      <c r="D276" s="5">
        <v>0.45772046912460312</v>
      </c>
      <c r="E276" s="6">
        <v>312.80450169875422</v>
      </c>
      <c r="F276" s="6">
        <v>136.88830380374179</v>
      </c>
      <c r="G276" s="6">
        <v>73.655033333333321</v>
      </c>
      <c r="H276" s="6">
        <v>441.93019999999996</v>
      </c>
    </row>
    <row r="277" spans="1:8">
      <c r="A277" s="1" t="s">
        <v>169</v>
      </c>
      <c r="B277" s="5"/>
      <c r="C277" s="5"/>
      <c r="D277" s="5"/>
      <c r="E277" s="6"/>
      <c r="F277" s="6"/>
      <c r="G277" s="6"/>
      <c r="H277" s="6"/>
    </row>
    <row r="278" spans="1:8">
      <c r="A278" s="2" t="s">
        <v>39</v>
      </c>
      <c r="B278" s="5">
        <v>2.9645082484697099E-3</v>
      </c>
      <c r="C278" s="5">
        <v>0.10185185185185185</v>
      </c>
      <c r="D278" s="5">
        <v>0.89210398653083356</v>
      </c>
      <c r="E278" s="6">
        <v>105.10634316422492</v>
      </c>
      <c r="F278" s="6">
        <v>90.193365540336529</v>
      </c>
      <c r="G278" s="6">
        <v>30.424393518518517</v>
      </c>
      <c r="H278" s="6">
        <v>298.71222727272726</v>
      </c>
    </row>
    <row r="279" spans="1:8">
      <c r="A279" s="2" t="s">
        <v>25</v>
      </c>
      <c r="B279" s="5">
        <v>2.9087984887483341E-3</v>
      </c>
      <c r="C279" s="5">
        <v>3.240261978628059E-2</v>
      </c>
      <c r="D279" s="5">
        <v>0.54933608758520969</v>
      </c>
      <c r="E279" s="6">
        <v>112.15981342711112</v>
      </c>
      <c r="F279" s="6">
        <v>37.384055352399784</v>
      </c>
      <c r="G279" s="6">
        <v>12.852060910031023</v>
      </c>
      <c r="H279" s="6">
        <v>396.63647553191487</v>
      </c>
    </row>
    <row r="280" spans="1:8">
      <c r="A280" s="2" t="s">
        <v>27</v>
      </c>
      <c r="B280" s="5">
        <v>3.4481885937717488E-3</v>
      </c>
      <c r="C280" s="5">
        <v>2.4770642201834864E-2</v>
      </c>
      <c r="D280" s="5">
        <v>0.57196761724378087</v>
      </c>
      <c r="E280" s="6">
        <v>64.723296611261432</v>
      </c>
      <c r="F280" s="6">
        <v>31.781385159502449</v>
      </c>
      <c r="G280" s="6">
        <v>9.2168349541284407</v>
      </c>
      <c r="H280" s="6">
        <v>372.08704074074075</v>
      </c>
    </row>
    <row r="281" spans="1:8">
      <c r="A281" s="2" t="s">
        <v>37</v>
      </c>
      <c r="B281" s="5">
        <v>2.5200458190148913E-3</v>
      </c>
      <c r="C281" s="5">
        <v>0.13636363636363635</v>
      </c>
      <c r="D281" s="5">
        <v>0.50249561581006341</v>
      </c>
      <c r="E281" s="6">
        <v>877.31734228187918</v>
      </c>
      <c r="F281" s="6">
        <v>374.34216494845356</v>
      </c>
      <c r="G281" s="6">
        <v>148.54577727272726</v>
      </c>
      <c r="H281" s="6">
        <v>1089.3356999999999</v>
      </c>
    </row>
    <row r="282" spans="1:8">
      <c r="A282" s="2" t="s">
        <v>29</v>
      </c>
      <c r="B282" s="5">
        <v>3.5436890685234283E-3</v>
      </c>
      <c r="C282" s="5">
        <v>2.5988286969253295E-2</v>
      </c>
      <c r="D282" s="5">
        <v>0.26193838039123712</v>
      </c>
      <c r="E282" s="6">
        <v>145.61706440570597</v>
      </c>
      <c r="F282" s="6">
        <v>31.010027135422881</v>
      </c>
      <c r="G282" s="6">
        <v>8.7507754026354316</v>
      </c>
      <c r="H282" s="6">
        <v>336.71997746478871</v>
      </c>
    </row>
    <row r="283" spans="1:8">
      <c r="A283" s="2" t="s">
        <v>35</v>
      </c>
      <c r="B283" s="5">
        <v>4.5835977716663142E-3</v>
      </c>
      <c r="C283" s="5">
        <v>0.26153846153846155</v>
      </c>
      <c r="D283" s="5">
        <v>0.53878231859883241</v>
      </c>
      <c r="E283" s="6">
        <v>409.86028708133972</v>
      </c>
      <c r="F283" s="6">
        <v>205.37812566109585</v>
      </c>
      <c r="G283" s="6">
        <v>44.807187692307693</v>
      </c>
      <c r="H283" s="6">
        <v>171.32159999999999</v>
      </c>
    </row>
    <row r="284" spans="1:8">
      <c r="A284" s="2" t="s">
        <v>170</v>
      </c>
      <c r="B284" s="5">
        <v>2.5545409166984759E-3</v>
      </c>
      <c r="C284" s="5">
        <v>8.6206896551724144E-2</v>
      </c>
      <c r="D284" s="5">
        <v>0.27634774162214665</v>
      </c>
      <c r="E284" s="6">
        <v>4839.5641476274159</v>
      </c>
      <c r="F284" s="6">
        <v>40.427988372434449</v>
      </c>
      <c r="G284" s="6">
        <v>15.825931034482759</v>
      </c>
      <c r="H284" s="6">
        <v>183.58080000000001</v>
      </c>
    </row>
    <row r="285" spans="1:8">
      <c r="A285" s="2" t="s">
        <v>33</v>
      </c>
      <c r="B285" s="5">
        <v>2.8041240198345952E-3</v>
      </c>
      <c r="C285" s="5">
        <v>6.6696309470875943E-3</v>
      </c>
      <c r="D285" s="5">
        <v>0.28419023726601639</v>
      </c>
      <c r="E285" s="6">
        <v>49.92571083048184</v>
      </c>
      <c r="F285" s="6">
        <v>11.169826802637797</v>
      </c>
      <c r="G285" s="6">
        <v>3.9833569141840819</v>
      </c>
      <c r="H285" s="6">
        <v>597.23797999999999</v>
      </c>
    </row>
    <row r="286" spans="1:8">
      <c r="A286" s="2" t="s">
        <v>30</v>
      </c>
      <c r="B286" s="5">
        <v>2.8752000433992461E-3</v>
      </c>
      <c r="C286" s="5">
        <v>5.4716981132075473E-2</v>
      </c>
      <c r="D286" s="5">
        <v>0.44097982747897568</v>
      </c>
      <c r="E286" s="6">
        <v>202.72308393950777</v>
      </c>
      <c r="F286" s="6">
        <v>71.738578403450248</v>
      </c>
      <c r="G286" s="6">
        <v>24.950812924528304</v>
      </c>
      <c r="H286" s="6">
        <v>455.9976155172414</v>
      </c>
    </row>
    <row r="287" spans="1:8">
      <c r="A287" s="2" t="s">
        <v>95</v>
      </c>
      <c r="B287" s="5">
        <v>6.6575679904131021E-4</v>
      </c>
      <c r="C287" s="5">
        <v>0.15</v>
      </c>
      <c r="D287" s="5">
        <v>0.50084670832771361</v>
      </c>
      <c r="E287" s="6">
        <v>102.74720385386433</v>
      </c>
      <c r="F287" s="6">
        <v>38.10252987583636</v>
      </c>
      <c r="G287" s="6">
        <v>57.231904999999998</v>
      </c>
      <c r="H287" s="6">
        <v>381.5460333333333</v>
      </c>
    </row>
    <row r="288" spans="1:8">
      <c r="A288" s="2" t="s">
        <v>31</v>
      </c>
      <c r="B288" s="5">
        <v>2.5875024781443655E-3</v>
      </c>
      <c r="C288" s="5">
        <v>3.4602076124567477E-2</v>
      </c>
      <c r="D288" s="5">
        <v>0.77074749894823913</v>
      </c>
      <c r="E288" s="6">
        <v>36.168828869168763</v>
      </c>
      <c r="F288" s="6">
        <v>25.002098780433208</v>
      </c>
      <c r="G288" s="6">
        <v>9.6626376173999002</v>
      </c>
      <c r="H288" s="6">
        <v>279.25022714285711</v>
      </c>
    </row>
    <row r="289" spans="1:8">
      <c r="A289" s="1" t="s">
        <v>171</v>
      </c>
      <c r="B289" s="5">
        <v>2.9343103712499634E-3</v>
      </c>
      <c r="C289" s="5">
        <v>3.1239987183595001E-2</v>
      </c>
      <c r="D289" s="5">
        <v>0.48469521880293792</v>
      </c>
      <c r="E289" s="6">
        <v>89.874918248111356</v>
      </c>
      <c r="F289" s="6">
        <v>33.3400978542209</v>
      </c>
      <c r="G289" s="6">
        <v>11.362157930150593</v>
      </c>
      <c r="H289" s="6">
        <v>363.70558871794873</v>
      </c>
    </row>
    <row r="290" spans="1:8">
      <c r="A290" s="1" t="s">
        <v>172</v>
      </c>
      <c r="B290" s="5"/>
      <c r="C290" s="5"/>
      <c r="D290" s="5"/>
      <c r="E290" s="6"/>
      <c r="F290" s="6"/>
      <c r="G290" s="6"/>
      <c r="H290" s="6"/>
    </row>
    <row r="291" spans="1:8">
      <c r="A291" s="2" t="s">
        <v>25</v>
      </c>
      <c r="B291" s="5">
        <v>2.914094910452292E-3</v>
      </c>
      <c r="C291" s="5">
        <v>2.0833333333333332E-2</v>
      </c>
      <c r="D291" s="5">
        <v>0.54190716558762209</v>
      </c>
      <c r="E291" s="6">
        <v>59.581066742264703</v>
      </c>
      <c r="F291" s="6">
        <v>29.771844581604778</v>
      </c>
      <c r="G291" s="6">
        <v>10.216497916666667</v>
      </c>
      <c r="H291" s="6">
        <v>490.39190000000002</v>
      </c>
    </row>
    <row r="292" spans="1:8">
      <c r="A292" s="2" t="s">
        <v>29</v>
      </c>
      <c r="B292" s="5">
        <v>5.7220572869155625E-3</v>
      </c>
      <c r="C292" s="5">
        <v>8.1159420289855067E-2</v>
      </c>
      <c r="D292" s="5">
        <v>0.25849138174094471</v>
      </c>
      <c r="E292" s="6">
        <v>258.33356602675974</v>
      </c>
      <c r="F292" s="6">
        <v>58.922316023418972</v>
      </c>
      <c r="G292" s="6">
        <v>10.297400579710144</v>
      </c>
      <c r="H292" s="6">
        <v>126.87868571428571</v>
      </c>
    </row>
    <row r="293" spans="1:8">
      <c r="A293" s="2" t="s">
        <v>35</v>
      </c>
      <c r="B293" s="5">
        <v>1.9663222623431411E-3</v>
      </c>
      <c r="C293" s="5">
        <v>3.1818181818181815E-2</v>
      </c>
      <c r="D293" s="5">
        <v>0.49813026157546603</v>
      </c>
      <c r="E293" s="6">
        <v>33.689290227662823</v>
      </c>
      <c r="F293" s="6">
        <v>15.963901004611921</v>
      </c>
      <c r="G293" s="6">
        <v>8.1186595454545447</v>
      </c>
      <c r="H293" s="6">
        <v>255.15787142857144</v>
      </c>
    </row>
    <row r="294" spans="1:8">
      <c r="A294" s="2" t="s">
        <v>30</v>
      </c>
      <c r="B294" s="5">
        <v>2.9454934941288481E-3</v>
      </c>
      <c r="C294" s="5">
        <v>4.4612794612794611E-2</v>
      </c>
      <c r="D294" s="5">
        <v>0.31091665164082222</v>
      </c>
      <c r="E294" s="6">
        <v>121.81248572826618</v>
      </c>
      <c r="F294" s="6">
        <v>33.330148911059979</v>
      </c>
      <c r="G294" s="6">
        <v>11.315641666666666</v>
      </c>
      <c r="H294" s="6">
        <v>253.64117547169812</v>
      </c>
    </row>
    <row r="295" spans="1:8">
      <c r="A295" s="1" t="s">
        <v>173</v>
      </c>
      <c r="B295" s="5">
        <v>3.0355885553350827E-3</v>
      </c>
      <c r="C295" s="5">
        <v>4.797047970479705E-2</v>
      </c>
      <c r="D295" s="5">
        <v>0.36029970971646474</v>
      </c>
      <c r="E295" s="6">
        <v>100.35163339427903</v>
      </c>
      <c r="F295" s="6">
        <v>32.408734398002942</v>
      </c>
      <c r="G295" s="6">
        <v>10.676260569319981</v>
      </c>
      <c r="H295" s="6">
        <v>222.55897032967036</v>
      </c>
    </row>
    <row r="296" spans="1:8">
      <c r="A296" s="1" t="s">
        <v>174</v>
      </c>
      <c r="B296" s="5"/>
      <c r="C296" s="5"/>
      <c r="D296" s="5"/>
      <c r="E296" s="6"/>
      <c r="F296" s="6"/>
      <c r="G296" s="6"/>
      <c r="H296" s="6"/>
    </row>
    <row r="297" spans="1:8">
      <c r="A297" s="2" t="s">
        <v>29</v>
      </c>
      <c r="B297" s="5">
        <v>3.6211954528786211E-3</v>
      </c>
      <c r="C297" s="5">
        <v>1.2658227848101266E-2</v>
      </c>
      <c r="D297" s="5">
        <v>0.1867386164702485</v>
      </c>
      <c r="E297" s="6">
        <v>238.50619503237655</v>
      </c>
      <c r="F297" s="6">
        <v>37.70663121867743</v>
      </c>
      <c r="G297" s="6">
        <v>10.412757805907173</v>
      </c>
      <c r="H297" s="6">
        <v>822.60786666666672</v>
      </c>
    </row>
    <row r="298" spans="1:8">
      <c r="A298" s="1" t="s">
        <v>175</v>
      </c>
      <c r="B298" s="5">
        <v>3.6211954528786211E-3</v>
      </c>
      <c r="C298" s="5">
        <v>1.2658227848101266E-2</v>
      </c>
      <c r="D298" s="5">
        <v>0.1867386164702485</v>
      </c>
      <c r="E298" s="6">
        <v>238.50619503237655</v>
      </c>
      <c r="F298" s="6">
        <v>37.70663121867743</v>
      </c>
      <c r="G298" s="6">
        <v>10.412757805907173</v>
      </c>
      <c r="H298" s="6">
        <v>822.60786666666672</v>
      </c>
    </row>
    <row r="299" spans="1:8">
      <c r="A299" s="1" t="s">
        <v>176</v>
      </c>
      <c r="B299" s="5"/>
      <c r="C299" s="5"/>
      <c r="D299" s="5"/>
      <c r="E299" s="6"/>
      <c r="F299" s="6"/>
      <c r="G299" s="6"/>
      <c r="H299" s="6"/>
    </row>
    <row r="300" spans="1:8">
      <c r="A300" s="2" t="s">
        <v>31</v>
      </c>
      <c r="B300" s="5">
        <v>3.2573289902280132E-3</v>
      </c>
      <c r="C300" s="5">
        <v>0.1</v>
      </c>
      <c r="D300" s="5">
        <v>0.85471681337245486</v>
      </c>
      <c r="E300" s="6">
        <v>183.64700925829604</v>
      </c>
      <c r="F300" s="6">
        <v>143.76210912052119</v>
      </c>
      <c r="G300" s="6">
        <v>44.134967500000002</v>
      </c>
      <c r="H300" s="6">
        <v>441.34967499999999</v>
      </c>
    </row>
    <row r="301" spans="1:8">
      <c r="A301" s="1" t="s">
        <v>177</v>
      </c>
      <c r="B301" s="5">
        <v>3.2573289902280132E-3</v>
      </c>
      <c r="C301" s="5">
        <v>0.1</v>
      </c>
      <c r="D301" s="5">
        <v>0.85471681337245486</v>
      </c>
      <c r="E301" s="6">
        <v>183.64700925829604</v>
      </c>
      <c r="F301" s="6">
        <v>143.76210912052119</v>
      </c>
      <c r="G301" s="6">
        <v>44.134967500000002</v>
      </c>
      <c r="H301" s="6">
        <v>441.34967499999999</v>
      </c>
    </row>
    <row r="302" spans="1:8">
      <c r="A302" s="1" t="s">
        <v>178</v>
      </c>
      <c r="B302" s="5"/>
      <c r="C302" s="5"/>
      <c r="D302" s="5"/>
      <c r="E302" s="6"/>
      <c r="F302" s="6"/>
      <c r="G302" s="6"/>
      <c r="H302" s="6"/>
    </row>
    <row r="303" spans="1:8">
      <c r="A303" s="2" t="s">
        <v>35</v>
      </c>
      <c r="B303" s="5">
        <v>2.9226806710039971E-3</v>
      </c>
      <c r="C303" s="5">
        <v>5.8655221745350504E-2</v>
      </c>
      <c r="D303" s="5">
        <v>0.43514673904817641</v>
      </c>
      <c r="E303" s="6">
        <v>32.69490202898551</v>
      </c>
      <c r="F303" s="6">
        <v>11.790801709287351</v>
      </c>
      <c r="G303" s="6">
        <v>4.0342422031473539</v>
      </c>
      <c r="H303" s="6">
        <v>68.778909756097562</v>
      </c>
    </row>
    <row r="304" spans="1:8">
      <c r="A304" s="1" t="s">
        <v>179</v>
      </c>
      <c r="B304" s="5">
        <v>2.9226806710039971E-3</v>
      </c>
      <c r="C304" s="5">
        <v>5.8655221745350504E-2</v>
      </c>
      <c r="D304" s="5">
        <v>0.43514673904817641</v>
      </c>
      <c r="E304" s="6">
        <v>32.69490202898551</v>
      </c>
      <c r="F304" s="6">
        <v>11.790801709287351</v>
      </c>
      <c r="G304" s="6">
        <v>4.0342422031473539</v>
      </c>
      <c r="H304" s="6">
        <v>68.778909756097562</v>
      </c>
    </row>
    <row r="305" spans="1:8">
      <c r="A305" s="1" t="s">
        <v>180</v>
      </c>
      <c r="B305" s="5"/>
      <c r="C305" s="5"/>
      <c r="D305" s="5"/>
      <c r="E305" s="6"/>
      <c r="F305" s="6"/>
      <c r="G305" s="6"/>
      <c r="H305" s="6"/>
    </row>
    <row r="306" spans="1:8">
      <c r="A306" s="2" t="s">
        <v>30</v>
      </c>
      <c r="B306" s="5">
        <v>8.2420155474384194E-3</v>
      </c>
      <c r="C306" s="5">
        <v>3.4090909090909088E-2</v>
      </c>
      <c r="D306" s="5">
        <v>0.70100599729154578</v>
      </c>
      <c r="E306" s="6">
        <v>204.69886849730923</v>
      </c>
      <c r="F306" s="6">
        <v>138.93909337828978</v>
      </c>
      <c r="G306" s="6">
        <v>16.857417045454547</v>
      </c>
      <c r="H306" s="6">
        <v>494.48423333333335</v>
      </c>
    </row>
    <row r="307" spans="1:8">
      <c r="A307" s="1" t="s">
        <v>181</v>
      </c>
      <c r="B307" s="5">
        <v>8.2420155474384194E-3</v>
      </c>
      <c r="C307" s="5">
        <v>3.4090909090909088E-2</v>
      </c>
      <c r="D307" s="5">
        <v>0.70100599729154578</v>
      </c>
      <c r="E307" s="6">
        <v>204.69886849730923</v>
      </c>
      <c r="F307" s="6">
        <v>138.93909337828978</v>
      </c>
      <c r="G307" s="6">
        <v>16.857417045454547</v>
      </c>
      <c r="H307" s="6">
        <v>494.48423333333335</v>
      </c>
    </row>
    <row r="308" spans="1:8">
      <c r="A308" s="1" t="s">
        <v>182</v>
      </c>
      <c r="B308" s="5"/>
      <c r="C308" s="5"/>
      <c r="D308" s="5"/>
      <c r="E308" s="6"/>
      <c r="F308" s="6"/>
      <c r="G308" s="6"/>
      <c r="H308" s="6"/>
    </row>
    <row r="309" spans="1:8">
      <c r="A309" s="2" t="s">
        <v>25</v>
      </c>
      <c r="B309" s="5">
        <v>2.5681898689337585E-3</v>
      </c>
      <c r="C309" s="5">
        <v>1.7241379310344827E-2</v>
      </c>
      <c r="D309" s="5">
        <v>0.72412415488629378</v>
      </c>
      <c r="E309" s="6">
        <v>33.039419853159615</v>
      </c>
      <c r="F309" s="6">
        <v>22.98110314086669</v>
      </c>
      <c r="G309" s="6">
        <v>8.9483660919540231</v>
      </c>
      <c r="H309" s="6">
        <v>519.00523333333331</v>
      </c>
    </row>
    <row r="310" spans="1:8">
      <c r="A310" s="1" t="s">
        <v>183</v>
      </c>
      <c r="B310" s="5">
        <v>2.5681898689337585E-3</v>
      </c>
      <c r="C310" s="5">
        <v>1.7241379310344827E-2</v>
      </c>
      <c r="D310" s="5">
        <v>0.72412415488629378</v>
      </c>
      <c r="E310" s="6">
        <v>33.039419853159615</v>
      </c>
      <c r="F310" s="6">
        <v>22.98110314086669</v>
      </c>
      <c r="G310" s="6">
        <v>8.9483660919540231</v>
      </c>
      <c r="H310" s="6">
        <v>519.00523333333331</v>
      </c>
    </row>
    <row r="311" spans="1:8">
      <c r="A311" s="1" t="s">
        <v>184</v>
      </c>
      <c r="B311" s="5"/>
      <c r="C311" s="5"/>
      <c r="D311" s="5"/>
      <c r="E311" s="6"/>
      <c r="F311" s="6"/>
      <c r="G311" s="6"/>
      <c r="H311" s="6"/>
    </row>
    <row r="312" spans="1:8">
      <c r="A312" s="2" t="s">
        <v>25</v>
      </c>
      <c r="B312" s="5">
        <v>2.947186739287953E-3</v>
      </c>
      <c r="C312" s="5">
        <v>1.7495395948434623E-2</v>
      </c>
      <c r="D312" s="5">
        <v>0.21277316186911532</v>
      </c>
      <c r="E312" s="6">
        <v>84.916271667893</v>
      </c>
      <c r="F312" s="6">
        <v>13.467020546179375</v>
      </c>
      <c r="G312" s="6">
        <v>4.5694493554327806</v>
      </c>
      <c r="H312" s="6">
        <v>261.18010526315788</v>
      </c>
    </row>
    <row r="313" spans="1:8">
      <c r="A313" s="2" t="s">
        <v>27</v>
      </c>
      <c r="B313" s="5">
        <v>3.2552194290583723E-3</v>
      </c>
      <c r="C313" s="5">
        <v>0.16230366492146597</v>
      </c>
      <c r="D313" s="5">
        <v>0.59123639290101238</v>
      </c>
      <c r="E313" s="6">
        <v>256.78889207293048</v>
      </c>
      <c r="F313" s="6">
        <v>122.17768214742223</v>
      </c>
      <c r="G313" s="6">
        <v>37.532856020942404</v>
      </c>
      <c r="H313" s="6">
        <v>231.25082258064515</v>
      </c>
    </row>
    <row r="314" spans="1:8">
      <c r="A314" s="2" t="s">
        <v>29</v>
      </c>
      <c r="B314" s="5">
        <v>2.5256686632116683E-3</v>
      </c>
      <c r="C314" s="5">
        <v>5.3262316910785623E-3</v>
      </c>
      <c r="D314" s="5">
        <v>0.66215447300044961</v>
      </c>
      <c r="E314" s="6">
        <v>13.553844674662884</v>
      </c>
      <c r="F314" s="6">
        <v>7.5854890077922423</v>
      </c>
      <c r="G314" s="6">
        <v>3.003358721704394</v>
      </c>
      <c r="H314" s="6">
        <v>563.88059999999996</v>
      </c>
    </row>
    <row r="315" spans="1:8">
      <c r="A315" s="2" t="s">
        <v>33</v>
      </c>
      <c r="B315" s="5">
        <v>2.9173230643561466E-3</v>
      </c>
      <c r="C315" s="5">
        <v>0.06</v>
      </c>
      <c r="D315" s="5">
        <v>0.12253945148377278</v>
      </c>
      <c r="E315" s="6">
        <v>456.01598272138227</v>
      </c>
      <c r="F315" s="6">
        <v>49.276013769764866</v>
      </c>
      <c r="G315" s="6">
        <v>16.890832</v>
      </c>
      <c r="H315" s="6">
        <v>281.51386666666667</v>
      </c>
    </row>
    <row r="316" spans="1:8">
      <c r="A316" s="2" t="s">
        <v>30</v>
      </c>
      <c r="B316" s="5">
        <v>2.570814612228951E-3</v>
      </c>
      <c r="C316" s="5">
        <v>0.12158054711246201</v>
      </c>
      <c r="D316" s="5">
        <v>0.32228308829650842</v>
      </c>
      <c r="E316" s="6">
        <v>124.74866966315354</v>
      </c>
      <c r="F316" s="6">
        <v>37.736046102754436</v>
      </c>
      <c r="G316" s="6">
        <v>14.678633738601823</v>
      </c>
      <c r="H316" s="6">
        <v>120.73176249999999</v>
      </c>
    </row>
    <row r="317" spans="1:8">
      <c r="A317" s="2" t="s">
        <v>31</v>
      </c>
      <c r="B317" s="5">
        <v>8.0114449213161652E-3</v>
      </c>
      <c r="C317" s="5">
        <v>2.3809523809523808E-2</v>
      </c>
      <c r="D317" s="5">
        <v>0.55483113834919806</v>
      </c>
      <c r="E317" s="6">
        <v>526.26622796709751</v>
      </c>
      <c r="F317" s="6">
        <v>213.56822126847877</v>
      </c>
      <c r="G317" s="6">
        <v>26.657890476190477</v>
      </c>
      <c r="H317" s="6">
        <v>1119.6314</v>
      </c>
    </row>
    <row r="318" spans="1:8">
      <c r="A318" s="1" t="s">
        <v>185</v>
      </c>
      <c r="B318" s="5">
        <v>2.8319960947208516E-3</v>
      </c>
      <c r="C318" s="5">
        <v>4.0141676505312869E-2</v>
      </c>
      <c r="D318" s="5">
        <v>0.40951443165733276</v>
      </c>
      <c r="E318" s="6">
        <v>77.292324647090055</v>
      </c>
      <c r="F318" s="6">
        <v>25.79483286096248</v>
      </c>
      <c r="G318" s="6">
        <v>9.1083574970484058</v>
      </c>
      <c r="H318" s="6">
        <v>226.90525882352941</v>
      </c>
    </row>
    <row r="319" spans="1:8">
      <c r="A319" s="1" t="s">
        <v>186</v>
      </c>
      <c r="B319" s="5"/>
      <c r="C319" s="5"/>
      <c r="D319" s="5"/>
      <c r="E319" s="6"/>
      <c r="F319" s="6"/>
      <c r="G319" s="6"/>
      <c r="H319" s="6"/>
    </row>
    <row r="320" spans="1:8">
      <c r="A320" s="2" t="s">
        <v>25</v>
      </c>
      <c r="B320" s="5">
        <v>2.8870133112276898E-3</v>
      </c>
      <c r="C320" s="5">
        <v>1.1147936125338957E-2</v>
      </c>
      <c r="D320" s="5">
        <v>0.12274209116337706</v>
      </c>
      <c r="E320" s="6">
        <v>126.12837870368513</v>
      </c>
      <c r="F320" s="6">
        <v>10.938072390184329</v>
      </c>
      <c r="G320" s="6">
        <v>3.7887156071105754</v>
      </c>
      <c r="H320" s="6">
        <v>339.85802972972976</v>
      </c>
    </row>
    <row r="321" spans="1:8">
      <c r="A321" s="2" t="s">
        <v>27</v>
      </c>
      <c r="B321" s="5">
        <v>2.4800486705078193E-3</v>
      </c>
      <c r="C321" s="5">
        <v>7.2150072150072145E-2</v>
      </c>
      <c r="D321" s="5">
        <v>0.72766246970183124</v>
      </c>
      <c r="E321" s="6">
        <v>120.83328941566479</v>
      </c>
      <c r="F321" s="6">
        <v>81.396309988190239</v>
      </c>
      <c r="G321" s="6">
        <v>32.820448629148629</v>
      </c>
      <c r="H321" s="6">
        <v>454.89141799999999</v>
      </c>
    </row>
    <row r="322" spans="1:8">
      <c r="A322" s="2" t="s">
        <v>29</v>
      </c>
      <c r="B322" s="5">
        <v>2.1184041001826395E-3</v>
      </c>
      <c r="C322" s="5">
        <v>2.9239766081871343E-2</v>
      </c>
      <c r="D322" s="5">
        <v>0.70617378557308674</v>
      </c>
      <c r="E322" s="6">
        <v>65.751480222755504</v>
      </c>
      <c r="F322" s="6">
        <v>43.10731406889326</v>
      </c>
      <c r="G322" s="6">
        <v>20.348957059314955</v>
      </c>
      <c r="H322" s="6">
        <v>695.93433142857145</v>
      </c>
    </row>
    <row r="323" spans="1:8">
      <c r="A323" s="2" t="s">
        <v>35</v>
      </c>
      <c r="B323" s="5">
        <v>2.6595744680851063E-3</v>
      </c>
      <c r="C323" s="5">
        <v>0.11363636363636363</v>
      </c>
      <c r="D323" s="5">
        <v>0.35339331798842155</v>
      </c>
      <c r="E323" s="6">
        <v>295.94457032329376</v>
      </c>
      <c r="F323" s="6">
        <v>90.633024661508699</v>
      </c>
      <c r="G323" s="6">
        <v>34.078017272727273</v>
      </c>
      <c r="H323" s="6">
        <v>299.88655199999999</v>
      </c>
    </row>
    <row r="324" spans="1:8">
      <c r="A324" s="2" t="s">
        <v>33</v>
      </c>
      <c r="B324" s="5">
        <v>3.1188443860801049E-3</v>
      </c>
      <c r="C324" s="5">
        <v>0.26315789473684209</v>
      </c>
      <c r="D324" s="5">
        <v>0.78666666666666663</v>
      </c>
      <c r="E324" s="6">
        <v>304.35027485112232</v>
      </c>
      <c r="F324" s="6">
        <v>218.12102757715039</v>
      </c>
      <c r="G324" s="6">
        <v>69.936489473684219</v>
      </c>
      <c r="H324" s="6">
        <v>265.75866000000002</v>
      </c>
    </row>
    <row r="325" spans="1:8">
      <c r="A325" s="2" t="s">
        <v>30</v>
      </c>
      <c r="B325" s="5">
        <v>2.3548484262236468E-3</v>
      </c>
      <c r="C325" s="5">
        <v>4.7836938435940099E-2</v>
      </c>
      <c r="D325" s="5">
        <v>0.56996121878145067</v>
      </c>
      <c r="E325" s="6">
        <v>31.160530390961885</v>
      </c>
      <c r="F325" s="6">
        <v>15.739055709699301</v>
      </c>
      <c r="G325" s="6">
        <v>6.6836810108153077</v>
      </c>
      <c r="H325" s="6">
        <v>139.71799260869565</v>
      </c>
    </row>
    <row r="326" spans="1:8">
      <c r="A326" s="2" t="s">
        <v>95</v>
      </c>
      <c r="B326" s="5">
        <v>3.3084773369302422E-3</v>
      </c>
      <c r="C326" s="5">
        <v>2.5641025641025641E-3</v>
      </c>
      <c r="D326" s="5">
        <v>0.60489741892786231</v>
      </c>
      <c r="E326" s="6">
        <v>97.944387500479863</v>
      </c>
      <c r="F326" s="6">
        <v>43.287665317825898</v>
      </c>
      <c r="G326" s="6">
        <v>13.083863333333333</v>
      </c>
      <c r="H326" s="6">
        <v>5102.7066999999997</v>
      </c>
    </row>
    <row r="327" spans="1:8">
      <c r="A327" s="2" t="s">
        <v>31</v>
      </c>
      <c r="B327" s="5">
        <v>2.2700946949494524E-3</v>
      </c>
      <c r="C327" s="5">
        <v>5.6254136333553938E-2</v>
      </c>
      <c r="D327" s="5">
        <v>0.69218934651451236</v>
      </c>
      <c r="E327" s="6">
        <v>117.63137267857189</v>
      </c>
      <c r="F327" s="6">
        <v>66.86939653942018</v>
      </c>
      <c r="G327" s="6">
        <v>29.456655129053605</v>
      </c>
      <c r="H327" s="6">
        <v>523.63536352941173</v>
      </c>
    </row>
    <row r="328" spans="1:8">
      <c r="A328" s="1" t="s">
        <v>187</v>
      </c>
      <c r="B328" s="5">
        <v>2.4800690275404639E-3</v>
      </c>
      <c r="C328" s="5">
        <v>3.9892095152456473E-2</v>
      </c>
      <c r="D328" s="5">
        <v>0.52386753539008557</v>
      </c>
      <c r="E328" s="6">
        <v>71.778415397996127</v>
      </c>
      <c r="F328" s="6">
        <v>31.53862014660243</v>
      </c>
      <c r="G328" s="6">
        <v>12.716831586691736</v>
      </c>
      <c r="H328" s="6">
        <v>318.78073934426232</v>
      </c>
    </row>
    <row r="329" spans="1:8">
      <c r="A329" s="1" t="s">
        <v>188</v>
      </c>
      <c r="B329" s="5"/>
      <c r="C329" s="5"/>
      <c r="D329" s="5"/>
      <c r="E329" s="6"/>
      <c r="F329" s="6"/>
      <c r="G329" s="6"/>
      <c r="H329" s="6"/>
    </row>
    <row r="330" spans="1:8">
      <c r="A330" s="2" t="s">
        <v>27</v>
      </c>
      <c r="B330" s="5">
        <v>2.5780283239378522E-3</v>
      </c>
      <c r="C330" s="5">
        <v>0.2</v>
      </c>
      <c r="D330" s="5">
        <v>0.63842742238592798</v>
      </c>
      <c r="E330" s="6">
        <v>106.03191451783822</v>
      </c>
      <c r="F330" s="6">
        <v>61.909050598102567</v>
      </c>
      <c r="G330" s="6">
        <v>24.014108</v>
      </c>
      <c r="H330" s="6">
        <v>120.07053999999999</v>
      </c>
    </row>
    <row r="331" spans="1:8">
      <c r="A331" s="1" t="s">
        <v>189</v>
      </c>
      <c r="B331" s="5">
        <v>2.5780283239378522E-3</v>
      </c>
      <c r="C331" s="5">
        <v>0.2</v>
      </c>
      <c r="D331" s="5">
        <v>0.63842742238592798</v>
      </c>
      <c r="E331" s="6">
        <v>106.03191451783822</v>
      </c>
      <c r="F331" s="6">
        <v>61.909050598102567</v>
      </c>
      <c r="G331" s="6">
        <v>24.014108</v>
      </c>
      <c r="H331" s="6">
        <v>120.07053999999999</v>
      </c>
    </row>
    <row r="332" spans="1:8">
      <c r="A332" s="1" t="s">
        <v>190</v>
      </c>
      <c r="B332" s="5"/>
      <c r="C332" s="5"/>
      <c r="D332" s="5"/>
      <c r="E332" s="6"/>
      <c r="F332" s="6"/>
      <c r="G332" s="6"/>
      <c r="H332" s="6"/>
    </row>
    <row r="333" spans="1:8">
      <c r="A333" s="2" t="s">
        <v>30</v>
      </c>
      <c r="B333" s="5">
        <v>2.6937342651966972E-3</v>
      </c>
      <c r="C333" s="5">
        <v>5.945303210463734E-3</v>
      </c>
      <c r="D333" s="5">
        <v>0.12171322083879424</v>
      </c>
      <c r="E333" s="6">
        <v>43.491161212529093</v>
      </c>
      <c r="F333" s="6">
        <v>4.9676761497216582</v>
      </c>
      <c r="G333" s="6">
        <v>1.844159690844233</v>
      </c>
      <c r="H333" s="6">
        <v>310.18765999999999</v>
      </c>
    </row>
    <row r="334" spans="1:8">
      <c r="A334" s="1" t="s">
        <v>191</v>
      </c>
      <c r="B334" s="5">
        <v>2.6937342651966972E-3</v>
      </c>
      <c r="C334" s="5">
        <v>5.945303210463734E-3</v>
      </c>
      <c r="D334" s="5">
        <v>0.12171322083879424</v>
      </c>
      <c r="E334" s="6">
        <v>43.491161212529093</v>
      </c>
      <c r="F334" s="6">
        <v>4.9676761497216582</v>
      </c>
      <c r="G334" s="6">
        <v>1.844159690844233</v>
      </c>
      <c r="H334" s="6">
        <v>310.18765999999999</v>
      </c>
    </row>
    <row r="335" spans="1:8">
      <c r="A335" s="1" t="s">
        <v>192</v>
      </c>
      <c r="B335" s="5"/>
      <c r="C335" s="5"/>
      <c r="D335" s="5"/>
      <c r="E335" s="6"/>
      <c r="F335" s="6"/>
      <c r="G335" s="6"/>
      <c r="H335" s="6"/>
    </row>
    <row r="336" spans="1:8">
      <c r="A336" s="2" t="s">
        <v>39</v>
      </c>
      <c r="B336" s="5">
        <v>3.1814010400734167E-3</v>
      </c>
      <c r="C336" s="5">
        <v>2.403846153846154E-2</v>
      </c>
      <c r="D336" s="5">
        <v>0.49666016335438645</v>
      </c>
      <c r="E336" s="6">
        <v>96.737048503611959</v>
      </c>
      <c r="F336" s="6">
        <v>44.44607219333129</v>
      </c>
      <c r="G336" s="6">
        <v>13.970597115384615</v>
      </c>
      <c r="H336" s="6">
        <v>581.17683999999997</v>
      </c>
    </row>
    <row r="337" spans="1:8">
      <c r="A337" s="2" t="s">
        <v>27</v>
      </c>
      <c r="B337" s="5">
        <v>2.3815194093831865E-3</v>
      </c>
      <c r="C337" s="5">
        <v>0.27142857142857141</v>
      </c>
      <c r="D337" s="5">
        <v>0.12623752841018529</v>
      </c>
      <c r="E337" s="6">
        <v>647.16438815990239</v>
      </c>
      <c r="F337" s="6">
        <v>72.151794644983497</v>
      </c>
      <c r="G337" s="6">
        <v>30.296538571428574</v>
      </c>
      <c r="H337" s="6">
        <v>111.61882631578948</v>
      </c>
    </row>
    <row r="338" spans="1:8">
      <c r="A338" s="1" t="s">
        <v>193</v>
      </c>
      <c r="B338" s="5">
        <v>2.9333248921106221E-3</v>
      </c>
      <c r="C338" s="5">
        <v>8.6330935251798566E-2</v>
      </c>
      <c r="D338" s="5">
        <v>0.38541895628231976</v>
      </c>
      <c r="E338" s="6">
        <v>150.87771341097368</v>
      </c>
      <c r="F338" s="6">
        <v>53.038754708619535</v>
      </c>
      <c r="G338" s="6">
        <v>18.081445683453236</v>
      </c>
      <c r="H338" s="6">
        <v>209.44341249999999</v>
      </c>
    </row>
    <row r="339" spans="1:8">
      <c r="A339" s="1" t="s">
        <v>194</v>
      </c>
      <c r="B339" s="5"/>
      <c r="C339" s="5"/>
      <c r="D339" s="5"/>
      <c r="E339" s="6"/>
      <c r="F339" s="6"/>
      <c r="G339" s="6"/>
      <c r="H339" s="6"/>
    </row>
    <row r="340" spans="1:8">
      <c r="A340" s="2" t="s">
        <v>33</v>
      </c>
      <c r="B340" s="5">
        <v>5.590558168426657E-3</v>
      </c>
      <c r="C340" s="5">
        <v>4.7619047619047616E-2</v>
      </c>
      <c r="D340" s="5">
        <v>0.48726207906295754</v>
      </c>
      <c r="E340" s="6">
        <v>315.78309294871798</v>
      </c>
      <c r="F340" s="6">
        <v>139.88723045523116</v>
      </c>
      <c r="G340" s="6">
        <v>25.022050793650795</v>
      </c>
      <c r="H340" s="6">
        <v>525.46306666666669</v>
      </c>
    </row>
    <row r="341" spans="1:8">
      <c r="A341" s="1" t="s">
        <v>195</v>
      </c>
      <c r="B341" s="5">
        <v>5.590558168426657E-3</v>
      </c>
      <c r="C341" s="5">
        <v>4.7619047619047616E-2</v>
      </c>
      <c r="D341" s="5">
        <v>0.48726207906295754</v>
      </c>
      <c r="E341" s="6">
        <v>315.78309294871798</v>
      </c>
      <c r="F341" s="6">
        <v>139.88723045523116</v>
      </c>
      <c r="G341" s="6">
        <v>25.022050793650795</v>
      </c>
      <c r="H341" s="6">
        <v>525.46306666666669</v>
      </c>
    </row>
    <row r="342" spans="1:8">
      <c r="A342" s="1" t="s">
        <v>196</v>
      </c>
      <c r="B342" s="5"/>
      <c r="C342" s="5"/>
      <c r="D342" s="5"/>
      <c r="E342" s="6"/>
      <c r="F342" s="6"/>
      <c r="G342" s="6"/>
      <c r="H342" s="6"/>
    </row>
    <row r="343" spans="1:8">
      <c r="A343" s="2" t="s">
        <v>25</v>
      </c>
      <c r="B343" s="5">
        <v>2.4596602978276044E-3</v>
      </c>
      <c r="C343" s="5">
        <v>2.6108485257708754E-2</v>
      </c>
      <c r="D343" s="5">
        <v>0.76317676489119868</v>
      </c>
      <c r="E343" s="6">
        <v>14.970154433125154</v>
      </c>
      <c r="F343" s="6">
        <v>10.469884911370851</v>
      </c>
      <c r="G343" s="6">
        <v>4.2566385775377</v>
      </c>
      <c r="H343" s="6">
        <v>163.03659655172416</v>
      </c>
    </row>
    <row r="344" spans="1:8">
      <c r="A344" s="2" t="s">
        <v>27</v>
      </c>
      <c r="B344" s="5">
        <v>2.8545572143104606E-3</v>
      </c>
      <c r="C344" s="5">
        <v>1.3382556529764651E-2</v>
      </c>
      <c r="D344" s="5">
        <v>0.53389655077570275</v>
      </c>
      <c r="E344" s="6">
        <v>76.212845297875333</v>
      </c>
      <c r="F344" s="6">
        <v>37.026533945783164</v>
      </c>
      <c r="G344" s="6">
        <v>12.971025334563912</v>
      </c>
      <c r="H344" s="6">
        <v>969.24868620689654</v>
      </c>
    </row>
    <row r="345" spans="1:8">
      <c r="A345" s="2" t="s">
        <v>29</v>
      </c>
      <c r="B345" s="5">
        <v>4.0866824167363133E-3</v>
      </c>
      <c r="C345" s="5">
        <v>7.0853462157809979E-2</v>
      </c>
      <c r="D345" s="5">
        <v>0.65789656315785416</v>
      </c>
      <c r="E345" s="6">
        <v>307.46879087648557</v>
      </c>
      <c r="F345" s="6">
        <v>172.63187809709325</v>
      </c>
      <c r="G345" s="6">
        <v>42.242547987117554</v>
      </c>
      <c r="H345" s="6">
        <v>596.19596136363634</v>
      </c>
    </row>
    <row r="346" spans="1:8">
      <c r="A346" s="2" t="s">
        <v>33</v>
      </c>
      <c r="B346" s="5">
        <v>3.9418392770815512E-3</v>
      </c>
      <c r="C346" s="5">
        <v>9.4339622641509441E-2</v>
      </c>
      <c r="D346" s="5">
        <v>0.58285504384957987</v>
      </c>
      <c r="E346" s="6">
        <v>989.50949267370413</v>
      </c>
      <c r="F346" s="6">
        <v>467.10176267152582</v>
      </c>
      <c r="G346" s="6">
        <v>118.49842924528302</v>
      </c>
      <c r="H346" s="6">
        <v>1256.0833500000001</v>
      </c>
    </row>
    <row r="347" spans="1:8">
      <c r="A347" s="2" t="s">
        <v>30</v>
      </c>
      <c r="B347" s="5">
        <v>2.8380872566023886E-3</v>
      </c>
      <c r="C347" s="5">
        <v>1.7388555169143217E-2</v>
      </c>
      <c r="D347" s="5">
        <v>0.7287820469401719</v>
      </c>
      <c r="E347" s="6">
        <v>23.238277988876785</v>
      </c>
      <c r="F347" s="6">
        <v>15.480140298236941</v>
      </c>
      <c r="G347" s="6">
        <v>5.4544271893771743</v>
      </c>
      <c r="H347" s="6">
        <v>313.67914909090911</v>
      </c>
    </row>
    <row r="348" spans="1:8">
      <c r="A348" s="2" t="s">
        <v>31</v>
      </c>
      <c r="B348" s="5">
        <v>3.4067549984987183E-3</v>
      </c>
      <c r="C348" s="5">
        <v>2.1468926553672316E-2</v>
      </c>
      <c r="D348" s="5">
        <v>0.60389594588017714</v>
      </c>
      <c r="E348" s="6">
        <v>116.75157455725021</v>
      </c>
      <c r="F348" s="6">
        <v>66.919418503491443</v>
      </c>
      <c r="G348" s="6">
        <v>19.643155593220339</v>
      </c>
      <c r="H348" s="6">
        <v>914.95751052631579</v>
      </c>
    </row>
    <row r="349" spans="1:8">
      <c r="A349" s="1" t="s">
        <v>197</v>
      </c>
      <c r="B349" s="5">
        <v>2.7642935342239447E-3</v>
      </c>
      <c r="C349" s="5">
        <v>2.3978919631093543E-2</v>
      </c>
      <c r="D349" s="5">
        <v>0.69666481258887814</v>
      </c>
      <c r="E349" s="6">
        <v>45.947782918247206</v>
      </c>
      <c r="F349" s="6">
        <v>29.245535744852667</v>
      </c>
      <c r="G349" s="6">
        <v>10.579750443566095</v>
      </c>
      <c r="H349" s="6">
        <v>441.21047179487175</v>
      </c>
    </row>
    <row r="350" spans="1:8">
      <c r="A350" s="1" t="s">
        <v>198</v>
      </c>
      <c r="B350" s="5"/>
      <c r="C350" s="5"/>
      <c r="D350" s="5"/>
      <c r="E350" s="6"/>
      <c r="F350" s="6"/>
      <c r="G350" s="6"/>
      <c r="H350" s="6"/>
    </row>
    <row r="351" spans="1:8">
      <c r="A351" s="2" t="s">
        <v>25</v>
      </c>
      <c r="B351" s="5">
        <v>2.863660631946804E-3</v>
      </c>
      <c r="C351" s="5">
        <v>2.0480225988700564E-2</v>
      </c>
      <c r="D351" s="5">
        <v>0.66430821290283748</v>
      </c>
      <c r="E351" s="6">
        <v>20.546097755764947</v>
      </c>
      <c r="F351" s="6">
        <v>12.382706199744375</v>
      </c>
      <c r="G351" s="6">
        <v>4.324082980225989</v>
      </c>
      <c r="H351" s="6">
        <v>211.13453448275862</v>
      </c>
    </row>
    <row r="352" spans="1:8">
      <c r="A352" s="2" t="s">
        <v>33</v>
      </c>
      <c r="B352" s="5">
        <v>2.0596928071545612E-3</v>
      </c>
      <c r="C352" s="5">
        <v>1.4869888475836431E-2</v>
      </c>
      <c r="D352" s="5">
        <v>0.10318723348133819</v>
      </c>
      <c r="E352" s="6">
        <v>128.48049591002044</v>
      </c>
      <c r="F352" s="6">
        <v>11.545359948545963</v>
      </c>
      <c r="G352" s="6">
        <v>5.6053795539033455</v>
      </c>
      <c r="H352" s="6">
        <v>376.96177499999999</v>
      </c>
    </row>
    <row r="353" spans="1:8">
      <c r="A353" s="1" t="s">
        <v>199</v>
      </c>
      <c r="B353" s="5">
        <v>2.6956808313895633E-3</v>
      </c>
      <c r="C353" s="5">
        <v>1.9584569732937686E-2</v>
      </c>
      <c r="D353" s="5">
        <v>0.5508185526751006</v>
      </c>
      <c r="E353" s="6">
        <v>24.635662353427346</v>
      </c>
      <c r="F353" s="6">
        <v>12.207752362120326</v>
      </c>
      <c r="G353" s="6">
        <v>4.5286341839762612</v>
      </c>
      <c r="H353" s="6">
        <v>231.23480606060605</v>
      </c>
    </row>
    <row r="354" spans="1:8">
      <c r="A354" s="1" t="s">
        <v>200</v>
      </c>
      <c r="B354" s="5"/>
      <c r="C354" s="5"/>
      <c r="D354" s="5"/>
      <c r="E354" s="6"/>
      <c r="F354" s="6"/>
      <c r="G354" s="6"/>
      <c r="H354" s="6"/>
    </row>
    <row r="355" spans="1:8">
      <c r="A355" s="2" t="s">
        <v>25</v>
      </c>
      <c r="B355" s="5">
        <v>2.8583974962507024E-3</v>
      </c>
      <c r="C355" s="5">
        <v>2.0309855487566725E-2</v>
      </c>
      <c r="D355" s="5">
        <v>0.51531799453855198</v>
      </c>
      <c r="E355" s="6">
        <v>46.311351457687756</v>
      </c>
      <c r="F355" s="6">
        <v>20.85045732127108</v>
      </c>
      <c r="G355" s="6">
        <v>7.294456893633642</v>
      </c>
      <c r="H355" s="6">
        <v>359.15848333333332</v>
      </c>
    </row>
    <row r="356" spans="1:8">
      <c r="A356" s="2" t="s">
        <v>27</v>
      </c>
      <c r="B356" s="5">
        <v>2.9583684359846753E-3</v>
      </c>
      <c r="C356" s="5">
        <v>3.5627135187896536E-2</v>
      </c>
      <c r="D356" s="5">
        <v>0.66880490662991865</v>
      </c>
      <c r="E356" s="6">
        <v>35.61866050462033</v>
      </c>
      <c r="F356" s="6">
        <v>21.264851218901217</v>
      </c>
      <c r="G356" s="6">
        <v>7.1880334309419229</v>
      </c>
      <c r="H356" s="6">
        <v>201.75726712328768</v>
      </c>
    </row>
    <row r="357" spans="1:8">
      <c r="A357" s="2" t="s">
        <v>29</v>
      </c>
      <c r="B357" s="5">
        <v>2.618502097777249E-3</v>
      </c>
      <c r="C357" s="5">
        <v>0.10227272727272728</v>
      </c>
      <c r="D357" s="5">
        <v>0.52075951275727261</v>
      </c>
      <c r="E357" s="6">
        <v>174.00229911206705</v>
      </c>
      <c r="F357" s="6">
        <v>79.056454404079346</v>
      </c>
      <c r="G357" s="6">
        <v>30.191480263157896</v>
      </c>
      <c r="H357" s="6">
        <v>295.20558479532161</v>
      </c>
    </row>
    <row r="358" spans="1:8">
      <c r="A358" s="2" t="s">
        <v>35</v>
      </c>
      <c r="B358" s="5">
        <v>2.6931443490064003E-3</v>
      </c>
      <c r="C358" s="5">
        <v>4.0058266569555717E-2</v>
      </c>
      <c r="D358" s="5">
        <v>0.58307319355250287</v>
      </c>
      <c r="E358" s="6">
        <v>35.390378415440054</v>
      </c>
      <c r="F358" s="6">
        <v>19.034234513439245</v>
      </c>
      <c r="G358" s="6">
        <v>7.0676621995630011</v>
      </c>
      <c r="H358" s="6">
        <v>176.43454909090909</v>
      </c>
    </row>
    <row r="359" spans="1:8">
      <c r="A359" s="2" t="s">
        <v>30</v>
      </c>
      <c r="B359" s="5">
        <v>2.3159444504181107E-3</v>
      </c>
      <c r="C359" s="5">
        <v>7.7551020408163265E-2</v>
      </c>
      <c r="D359" s="5">
        <v>0.47370981457189376</v>
      </c>
      <c r="E359" s="6">
        <v>86.499310634650271</v>
      </c>
      <c r="F359" s="6">
        <v>36.724954774094982</v>
      </c>
      <c r="G359" s="6">
        <v>15.857441989795918</v>
      </c>
      <c r="H359" s="6">
        <v>204.47754144736842</v>
      </c>
    </row>
    <row r="360" spans="1:8">
      <c r="A360" s="2" t="s">
        <v>31</v>
      </c>
      <c r="B360" s="5">
        <v>4.3671459609358795E-4</v>
      </c>
      <c r="C360" s="5">
        <v>0.45</v>
      </c>
      <c r="D360" s="5">
        <v>0.61461709947580889</v>
      </c>
      <c r="E360" s="6">
        <v>33.949982354325151</v>
      </c>
      <c r="F360" s="6">
        <v>18.905210005131398</v>
      </c>
      <c r="G360" s="6">
        <v>43.2896225</v>
      </c>
      <c r="H360" s="6">
        <v>96.19916111111111</v>
      </c>
    </row>
    <row r="361" spans="1:8">
      <c r="A361" s="1" t="s">
        <v>201</v>
      </c>
      <c r="B361" s="5">
        <v>2.7317723932186967E-3</v>
      </c>
      <c r="C361" s="5">
        <v>4.1488349976224442E-2</v>
      </c>
      <c r="D361" s="5">
        <v>0.55224464406942531</v>
      </c>
      <c r="E361" s="6">
        <v>59.267573095113889</v>
      </c>
      <c r="F361" s="6">
        <v>28.980674269103936</v>
      </c>
      <c r="G361" s="6">
        <v>10.608744103661435</v>
      </c>
      <c r="H361" s="6">
        <v>255.70417020057306</v>
      </c>
    </row>
    <row r="362" spans="1:8">
      <c r="A362" s="1" t="s">
        <v>202</v>
      </c>
      <c r="B362" s="5">
        <v>2.7197730119744969E-3</v>
      </c>
      <c r="C362" s="5">
        <v>3.6353652310820724E-2</v>
      </c>
      <c r="D362" s="5">
        <v>0.56485321655722276</v>
      </c>
      <c r="E362" s="6">
        <v>66.207448347173766</v>
      </c>
      <c r="F362" s="6">
        <v>32.365239398107803</v>
      </c>
      <c r="G362" s="6">
        <v>11.899978143621379</v>
      </c>
      <c r="H362" s="6">
        <v>327.33927369601133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FF492-086E-41B0-8F58-9D9F14AA4B2F}">
  <dimension ref="A3:L483"/>
  <sheetViews>
    <sheetView tabSelected="1" zoomScale="112" workbookViewId="0">
      <selection activeCell="K10" sqref="K10"/>
    </sheetView>
  </sheetViews>
  <sheetFormatPr defaultRowHeight="14.45"/>
  <cols>
    <col min="1" max="1" width="34" bestFit="1" customWidth="1"/>
    <col min="2" max="2" width="8" bestFit="1" customWidth="1"/>
    <col min="3" max="7" width="12.85546875" bestFit="1" customWidth="1"/>
    <col min="8" max="8" width="13.42578125" bestFit="1" customWidth="1"/>
    <col min="9" max="9" width="18.28515625" bestFit="1" customWidth="1"/>
    <col min="10" max="10" width="20.42578125" bestFit="1" customWidth="1"/>
  </cols>
  <sheetData>
    <row r="3" spans="1:12">
      <c r="A3" s="33" t="s">
        <v>203</v>
      </c>
      <c r="B3" t="s">
        <v>74</v>
      </c>
      <c r="C3" t="s">
        <v>73</v>
      </c>
      <c r="D3" t="s">
        <v>76</v>
      </c>
      <c r="E3" t="s">
        <v>71</v>
      </c>
      <c r="F3" t="s">
        <v>23</v>
      </c>
      <c r="G3" t="s">
        <v>75</v>
      </c>
      <c r="H3" t="s">
        <v>72</v>
      </c>
      <c r="I3" t="s">
        <v>204</v>
      </c>
      <c r="J3" t="s">
        <v>205</v>
      </c>
      <c r="L3" t="s">
        <v>206</v>
      </c>
    </row>
    <row r="4" spans="1:12">
      <c r="A4" s="1" t="s">
        <v>207</v>
      </c>
      <c r="B4" s="35"/>
      <c r="C4" s="35"/>
      <c r="D4" s="35"/>
      <c r="E4" s="35"/>
      <c r="F4" s="35"/>
      <c r="G4" s="35"/>
      <c r="H4" s="35"/>
      <c r="I4" s="35"/>
      <c r="J4" s="35"/>
      <c r="L4" s="1" t="s">
        <v>207</v>
      </c>
    </row>
    <row r="5" spans="1:12">
      <c r="A5" s="2" t="s">
        <v>208</v>
      </c>
      <c r="B5" s="34">
        <v>127.86021350028091</v>
      </c>
      <c r="C5" s="35">
        <v>218.51994513031548</v>
      </c>
      <c r="D5" s="35">
        <v>113.78645714285713</v>
      </c>
      <c r="E5" s="35">
        <v>0.16666666666666666</v>
      </c>
      <c r="F5" s="35">
        <v>6.7421141343607027E-3</v>
      </c>
      <c r="G5" s="35">
        <v>18.964409523809522</v>
      </c>
      <c r="H5" s="35">
        <v>0.62143039809052936</v>
      </c>
      <c r="I5" s="35">
        <v>7290</v>
      </c>
      <c r="J5" s="35">
        <v>11731</v>
      </c>
      <c r="L5" s="1" t="s">
        <v>209</v>
      </c>
    </row>
    <row r="6" spans="1:12">
      <c r="A6" s="1" t="s">
        <v>209</v>
      </c>
      <c r="B6" s="35"/>
      <c r="C6" s="35"/>
      <c r="D6" s="35"/>
      <c r="E6" s="35"/>
      <c r="F6" s="35"/>
      <c r="G6" s="35"/>
      <c r="H6" s="35"/>
      <c r="I6" s="35"/>
      <c r="J6" s="35"/>
      <c r="L6" s="1" t="s">
        <v>210</v>
      </c>
    </row>
    <row r="7" spans="1:12">
      <c r="A7" s="2" t="s">
        <v>211</v>
      </c>
      <c r="B7" s="34">
        <v>6.1861863416174829</v>
      </c>
      <c r="C7" s="35">
        <v>11.093801406523124</v>
      </c>
      <c r="D7" s="35">
        <v>66.561906504065036</v>
      </c>
      <c r="E7" s="35">
        <v>3.6028119507908608E-2</v>
      </c>
      <c r="F7" s="35">
        <v>2.5796194947905137E-3</v>
      </c>
      <c r="G7" s="35">
        <v>2.3981003222026946</v>
      </c>
      <c r="H7" s="35">
        <v>0.62655207456919715</v>
      </c>
      <c r="I7" s="35">
        <v>737990</v>
      </c>
      <c r="J7" s="35">
        <v>1177859</v>
      </c>
      <c r="L7" s="1" t="s">
        <v>212</v>
      </c>
    </row>
    <row r="8" spans="1:12">
      <c r="A8" s="2" t="s">
        <v>213</v>
      </c>
      <c r="B8" s="34">
        <v>12.52634673938061</v>
      </c>
      <c r="C8" s="35">
        <v>20.783073312928146</v>
      </c>
      <c r="D8" s="35">
        <v>91.405555128205137</v>
      </c>
      <c r="E8" s="35">
        <v>5.7607090103397339E-2</v>
      </c>
      <c r="F8" s="35">
        <v>2.3788984329841121E-3</v>
      </c>
      <c r="G8" s="35">
        <v>5.2656080502215659</v>
      </c>
      <c r="H8" s="35">
        <v>0.63394766166543159</v>
      </c>
      <c r="I8" s="35">
        <v>343050</v>
      </c>
      <c r="J8" s="35">
        <v>541133</v>
      </c>
      <c r="L8" s="1" t="s">
        <v>214</v>
      </c>
    </row>
    <row r="9" spans="1:12">
      <c r="A9" s="2" t="s">
        <v>215</v>
      </c>
      <c r="B9" s="34">
        <v>16.223485699704998</v>
      </c>
      <c r="C9" s="35">
        <v>44.254280585642242</v>
      </c>
      <c r="D9" s="35">
        <v>604.01930000000004</v>
      </c>
      <c r="E9" s="35">
        <v>9.6385542168674707E-3</v>
      </c>
      <c r="F9" s="35">
        <v>2.7866438064882916E-3</v>
      </c>
      <c r="G9" s="35">
        <v>5.8218727710843376</v>
      </c>
      <c r="H9" s="35">
        <v>0.43779469469362442</v>
      </c>
      <c r="I9" s="35">
        <v>163786</v>
      </c>
      <c r="J9" s="35">
        <v>374116</v>
      </c>
      <c r="L9" s="1" t="s">
        <v>216</v>
      </c>
    </row>
    <row r="10" spans="1:12">
      <c r="A10" s="2" t="s">
        <v>217</v>
      </c>
      <c r="B10" s="34">
        <v>42.915841838126937</v>
      </c>
      <c r="C10" s="35">
        <v>50.647106144531755</v>
      </c>
      <c r="D10" s="35">
        <v>231.2785205882353</v>
      </c>
      <c r="E10" s="35">
        <v>5.1051051051051052E-2</v>
      </c>
      <c r="F10" s="35">
        <v>3.6347759646346125E-3</v>
      </c>
      <c r="G10" s="35">
        <v>11.807011561561561</v>
      </c>
      <c r="H10" s="35">
        <v>0.91553988312507739</v>
      </c>
      <c r="I10" s="35">
        <v>155260</v>
      </c>
      <c r="J10" s="35">
        <v>169583</v>
      </c>
    </row>
    <row r="11" spans="1:12">
      <c r="A11" s="2" t="s">
        <v>218</v>
      </c>
      <c r="B11" s="34">
        <v>9.6653498470056824</v>
      </c>
      <c r="C11" s="35">
        <v>16.340343098130795</v>
      </c>
      <c r="D11" s="35">
        <v>207.29155</v>
      </c>
      <c r="E11" s="35">
        <v>1.6032064128256512E-2</v>
      </c>
      <c r="F11" s="35">
        <v>2.9083491184613143E-3</v>
      </c>
      <c r="G11" s="35">
        <v>3.3233114228456913</v>
      </c>
      <c r="H11" s="35">
        <v>0.74603046252462579</v>
      </c>
      <c r="I11" s="35">
        <v>101487</v>
      </c>
      <c r="J11" s="35">
        <v>136036</v>
      </c>
    </row>
    <row r="12" spans="1:12">
      <c r="A12" s="2" t="s">
        <v>219</v>
      </c>
      <c r="B12" s="34">
        <v>43.421987902450148</v>
      </c>
      <c r="C12" s="35">
        <v>80.056046236700382</v>
      </c>
      <c r="D12" s="35">
        <v>234.41026153846153</v>
      </c>
      <c r="E12" s="35">
        <v>7.3863636363636367E-2</v>
      </c>
      <c r="F12" s="35">
        <v>2.507854857900099E-3</v>
      </c>
      <c r="G12" s="35">
        <v>17.314394318181819</v>
      </c>
      <c r="H12" s="35">
        <v>0.56992917995478298</v>
      </c>
      <c r="I12" s="35">
        <v>76130</v>
      </c>
      <c r="J12" s="35">
        <v>133578</v>
      </c>
    </row>
    <row r="13" spans="1:12">
      <c r="A13" s="2" t="s">
        <v>220</v>
      </c>
      <c r="B13" s="34">
        <v>21.284000067961909</v>
      </c>
      <c r="C13" s="35">
        <v>153.17011065598825</v>
      </c>
      <c r="D13" s="35">
        <v>501.08069999999998</v>
      </c>
      <c r="E13" s="35">
        <v>1.3368983957219251E-2</v>
      </c>
      <c r="F13" s="35">
        <v>3.1772191686559683E-3</v>
      </c>
      <c r="G13" s="35">
        <v>6.6989398395721924</v>
      </c>
      <c r="H13" s="35">
        <v>0.16320767895272495</v>
      </c>
      <c r="I13" s="35">
        <v>16357</v>
      </c>
      <c r="J13" s="35">
        <v>100222</v>
      </c>
    </row>
    <row r="14" spans="1:12">
      <c r="A14" s="2" t="s">
        <v>221</v>
      </c>
      <c r="B14" s="34">
        <v>89.73825435641362</v>
      </c>
      <c r="C14" s="35">
        <v>120.48546402167423</v>
      </c>
      <c r="D14" s="35">
        <v>276.19073157894735</v>
      </c>
      <c r="E14" s="35">
        <v>0.14074074074074075</v>
      </c>
      <c r="F14" s="35">
        <v>2.3085999623783712E-3</v>
      </c>
      <c r="G14" s="35">
        <v>38.871288148148146</v>
      </c>
      <c r="H14" s="35">
        <v>0.77007673538668264</v>
      </c>
      <c r="I14" s="35">
        <v>43554</v>
      </c>
      <c r="J14" s="35">
        <v>56558</v>
      </c>
    </row>
    <row r="15" spans="1:12">
      <c r="A15" s="2" t="s">
        <v>222</v>
      </c>
      <c r="B15" s="34">
        <v>92.354832704274202</v>
      </c>
      <c r="C15" s="35">
        <v>115.63743972922056</v>
      </c>
      <c r="D15" s="35">
        <v>3621.4177</v>
      </c>
      <c r="E15" s="35">
        <v>3.8461538461538464E-3</v>
      </c>
      <c r="F15" s="35">
        <v>6.6306232785881877E-3</v>
      </c>
      <c r="G15" s="35">
        <v>13.928529615384615</v>
      </c>
      <c r="H15" s="35">
        <v>0.83157195963887409</v>
      </c>
      <c r="I15" s="35">
        <v>31317</v>
      </c>
      <c r="J15" s="35">
        <v>37660</v>
      </c>
    </row>
    <row r="16" spans="1:12">
      <c r="A16" s="2" t="s">
        <v>223</v>
      </c>
      <c r="B16" s="34">
        <v>40.133674074873234</v>
      </c>
      <c r="C16" s="35">
        <v>160.93403634003894</v>
      </c>
      <c r="D16" s="35">
        <v>123.99967500000001</v>
      </c>
      <c r="E16" s="35">
        <v>0.10619469026548672</v>
      </c>
      <c r="F16" s="35">
        <v>3.0477937210055023E-3</v>
      </c>
      <c r="G16" s="35">
        <v>13.168107079646019</v>
      </c>
      <c r="H16" s="35">
        <v>0.40974961223133172</v>
      </c>
      <c r="I16" s="35">
        <v>9246</v>
      </c>
      <c r="J16" s="35">
        <v>22565</v>
      </c>
    </row>
    <row r="17" spans="1:10">
      <c r="A17" s="2" t="s">
        <v>224</v>
      </c>
      <c r="B17" s="34">
        <v>274.72416306846861</v>
      </c>
      <c r="C17" s="35">
        <v>565.06989619377157</v>
      </c>
      <c r="D17" s="35">
        <v>489.91559999999998</v>
      </c>
      <c r="E17" s="35">
        <v>0.16393442622950818</v>
      </c>
      <c r="F17" s="35">
        <v>3.4206246845735434E-3</v>
      </c>
      <c r="G17" s="35">
        <v>80.314032786885249</v>
      </c>
      <c r="H17" s="35">
        <v>0.51389959101416627</v>
      </c>
      <c r="I17" s="35">
        <v>8670</v>
      </c>
      <c r="J17" s="35">
        <v>16871</v>
      </c>
    </row>
    <row r="18" spans="1:10">
      <c r="A18" s="2" t="s">
        <v>225</v>
      </c>
      <c r="B18" s="34">
        <v>224.78962934191543</v>
      </c>
      <c r="C18" s="35">
        <v>381.53689018647577</v>
      </c>
      <c r="D18" s="35">
        <v>270.07724666666667</v>
      </c>
      <c r="E18" s="35">
        <v>0.5</v>
      </c>
      <c r="F18" s="35">
        <v>1.6646321163022971E-3</v>
      </c>
      <c r="G18" s="35">
        <v>135.03862333333333</v>
      </c>
      <c r="H18" s="35">
        <v>0.63798594003484954</v>
      </c>
      <c r="I18" s="35">
        <v>10618</v>
      </c>
      <c r="J18" s="35">
        <v>16643</v>
      </c>
    </row>
    <row r="19" spans="1:10">
      <c r="A19" s="2" t="s">
        <v>226</v>
      </c>
      <c r="B19" s="34">
        <v>693.17615283267457</v>
      </c>
      <c r="C19" s="35">
        <v>996.0054026503567</v>
      </c>
      <c r="D19" s="35">
        <v>569.9640916666666</v>
      </c>
      <c r="E19" s="35">
        <v>0.4</v>
      </c>
      <c r="F19" s="35">
        <v>3.0404378230465185E-3</v>
      </c>
      <c r="G19" s="35">
        <v>227.98563666666666</v>
      </c>
      <c r="H19" s="35">
        <v>0.73467422702471386</v>
      </c>
      <c r="I19" s="35">
        <v>6867</v>
      </c>
      <c r="J19" s="35">
        <v>9347</v>
      </c>
    </row>
    <row r="20" spans="1:10">
      <c r="A20" s="2" t="s">
        <v>227</v>
      </c>
      <c r="B20" s="34">
        <v>146.48330645161289</v>
      </c>
      <c r="C20" s="35">
        <v>216.81802447030736</v>
      </c>
      <c r="D20" s="35">
        <v>145.31144</v>
      </c>
      <c r="E20" s="35">
        <v>0.5</v>
      </c>
      <c r="F20" s="35">
        <v>2.0161290322580645E-3</v>
      </c>
      <c r="G20" s="35">
        <v>72.655720000000002</v>
      </c>
      <c r="H20" s="35">
        <v>0.73680738786279687</v>
      </c>
      <c r="I20" s="35">
        <v>6702</v>
      </c>
      <c r="J20" s="35">
        <v>9096</v>
      </c>
    </row>
    <row r="21" spans="1:10">
      <c r="A21" s="2" t="s">
        <v>228</v>
      </c>
      <c r="B21" s="34">
        <v>594.65935625178554</v>
      </c>
      <c r="C21" s="35">
        <v>1513.4556228793019</v>
      </c>
      <c r="D21" s="35">
        <v>780.56473749999998</v>
      </c>
      <c r="E21" s="35">
        <v>8.8888888888888892E-2</v>
      </c>
      <c r="F21" s="35">
        <v>8.5706123226359388E-3</v>
      </c>
      <c r="G21" s="35">
        <v>69.383532222222215</v>
      </c>
      <c r="H21" s="35">
        <v>0.53906454141625293</v>
      </c>
      <c r="I21" s="35">
        <v>4126</v>
      </c>
      <c r="J21" s="35">
        <v>7654</v>
      </c>
    </row>
    <row r="22" spans="1:10">
      <c r="A22" s="2" t="s">
        <v>229</v>
      </c>
      <c r="B22" s="34">
        <v>236.38983606557377</v>
      </c>
      <c r="C22" s="35">
        <v>430.44119402985069</v>
      </c>
      <c r="D22" s="35">
        <v>115.35824</v>
      </c>
      <c r="E22" s="35">
        <v>0.45454545454545453</v>
      </c>
      <c r="F22" s="35">
        <v>4.5081967213114757E-3</v>
      </c>
      <c r="G22" s="35">
        <v>52.435563636363632</v>
      </c>
      <c r="H22" s="35">
        <v>0.60071727435744171</v>
      </c>
      <c r="I22" s="35">
        <v>4020</v>
      </c>
      <c r="J22" s="35">
        <v>6692</v>
      </c>
    </row>
    <row r="23" spans="1:10">
      <c r="A23" s="2" t="s">
        <v>230</v>
      </c>
      <c r="B23" s="34">
        <v>407.23840152111194</v>
      </c>
      <c r="C23" s="35">
        <v>2886.2453996282529</v>
      </c>
      <c r="D23" s="35">
        <v>887.3143</v>
      </c>
      <c r="E23" s="35">
        <v>0.12727272727272726</v>
      </c>
      <c r="F23" s="35">
        <v>3.6060844479412538E-3</v>
      </c>
      <c r="G23" s="35">
        <v>112.93091090909091</v>
      </c>
      <c r="H23" s="35">
        <v>0.61803561171740384</v>
      </c>
      <c r="I23" s="35">
        <v>2152</v>
      </c>
      <c r="J23" s="35">
        <v>3482</v>
      </c>
    </row>
    <row r="24" spans="1:10">
      <c r="A24" s="1" t="s">
        <v>210</v>
      </c>
      <c r="B24" s="35"/>
      <c r="C24" s="35"/>
      <c r="D24" s="35"/>
      <c r="E24" s="35"/>
      <c r="F24" s="35"/>
      <c r="G24" s="35"/>
      <c r="H24" s="35"/>
      <c r="I24" s="35"/>
      <c r="J24" s="35"/>
    </row>
    <row r="25" spans="1:10">
      <c r="A25" s="2" t="s">
        <v>231</v>
      </c>
      <c r="B25" s="34">
        <v>23.446437729178157</v>
      </c>
      <c r="C25" s="35">
        <v>43.946494652581855</v>
      </c>
      <c r="D25" s="35">
        <v>535.83082000000002</v>
      </c>
      <c r="E25" s="35">
        <v>4.5454545454545456E-2</v>
      </c>
      <c r="F25" s="35">
        <v>9.6265763518776199E-4</v>
      </c>
      <c r="G25" s="35">
        <v>24.355946363636367</v>
      </c>
      <c r="H25" s="35">
        <v>0.56291262315214075</v>
      </c>
      <c r="I25" s="35">
        <v>60964</v>
      </c>
      <c r="J25" s="35">
        <v>108301</v>
      </c>
    </row>
    <row r="26" spans="1:10">
      <c r="A26" s="2" t="s">
        <v>232</v>
      </c>
      <c r="B26" s="34">
        <v>28.41130360308922</v>
      </c>
      <c r="C26" s="35">
        <v>48.229503137274904</v>
      </c>
      <c r="D26" s="35">
        <v>315.14765</v>
      </c>
      <c r="E26" s="35">
        <v>3.5502958579881658E-2</v>
      </c>
      <c r="F26" s="35">
        <v>2.5392914024701748E-3</v>
      </c>
      <c r="G26" s="35">
        <v>11.188673964497042</v>
      </c>
      <c r="H26" s="35">
        <v>0.6312450691526188</v>
      </c>
      <c r="I26" s="35">
        <v>39206</v>
      </c>
      <c r="J26" s="35">
        <v>62109</v>
      </c>
    </row>
    <row r="27" spans="1:10">
      <c r="A27" s="2" t="s">
        <v>233</v>
      </c>
      <c r="B27" s="34">
        <v>43.396110153556883</v>
      </c>
      <c r="C27" s="35">
        <v>89.803493839169917</v>
      </c>
      <c r="D27" s="35">
        <v>553.90795000000003</v>
      </c>
      <c r="E27" s="35">
        <v>3.3333333333333333E-2</v>
      </c>
      <c r="F27" s="35">
        <v>2.3503603885929175E-3</v>
      </c>
      <c r="G27" s="35">
        <v>18.463598333333334</v>
      </c>
      <c r="H27" s="35">
        <v>0.54149200008779053</v>
      </c>
      <c r="I27" s="35">
        <v>24672</v>
      </c>
      <c r="J27" s="35">
        <v>45563</v>
      </c>
    </row>
    <row r="28" spans="1:10">
      <c r="A28" s="2" t="s">
        <v>234</v>
      </c>
      <c r="B28" s="34">
        <v>43.602896441514709</v>
      </c>
      <c r="C28" s="35">
        <v>72.962291089676256</v>
      </c>
      <c r="D28" s="35">
        <v>63.665679166666671</v>
      </c>
      <c r="E28" s="35">
        <v>0.17142857142857143</v>
      </c>
      <c r="F28" s="35">
        <v>3.9950917444282735E-3</v>
      </c>
      <c r="G28" s="35">
        <v>10.914116428571429</v>
      </c>
      <c r="H28" s="35">
        <v>0.62552644941605184</v>
      </c>
      <c r="I28" s="35">
        <v>20942</v>
      </c>
      <c r="J28" s="35">
        <v>33479</v>
      </c>
    </row>
    <row r="29" spans="1:10">
      <c r="A29" s="2" t="s">
        <v>235</v>
      </c>
      <c r="B29" s="34">
        <v>114.79663606639839</v>
      </c>
      <c r="C29" s="35">
        <v>242.6858567061013</v>
      </c>
      <c r="D29" s="35">
        <v>912.86284999999998</v>
      </c>
      <c r="E29" s="35">
        <v>1.0526315789473684E-2</v>
      </c>
      <c r="F29" s="35">
        <v>1.1946680080482898E-2</v>
      </c>
      <c r="G29" s="35">
        <v>9.6090826315789464</v>
      </c>
      <c r="H29" s="35">
        <v>0.50779615254809318</v>
      </c>
      <c r="I29" s="35">
        <v>7523</v>
      </c>
      <c r="J29" s="35">
        <v>14815</v>
      </c>
    </row>
    <row r="30" spans="1:10">
      <c r="A30" s="1" t="s">
        <v>212</v>
      </c>
      <c r="B30" s="35"/>
      <c r="C30" s="35"/>
      <c r="D30" s="35"/>
      <c r="E30" s="35"/>
      <c r="F30" s="35"/>
      <c r="G30" s="35"/>
      <c r="H30" s="35"/>
      <c r="I30" s="35"/>
      <c r="J30" s="35"/>
    </row>
    <row r="31" spans="1:10">
      <c r="A31" s="2" t="s">
        <v>211</v>
      </c>
      <c r="B31" s="34">
        <v>5.7003994943332543</v>
      </c>
      <c r="C31" s="35">
        <v>8.0364689148545754</v>
      </c>
      <c r="D31" s="35">
        <v>161.90898125000001</v>
      </c>
      <c r="E31" s="35">
        <v>1.6129032258064516E-2</v>
      </c>
      <c r="F31" s="35">
        <v>2.1828608019152842E-3</v>
      </c>
      <c r="G31" s="35">
        <v>2.611435181451613</v>
      </c>
      <c r="H31" s="35">
        <v>0.7549463443423845</v>
      </c>
      <c r="I31" s="35">
        <v>644697</v>
      </c>
      <c r="J31" s="35">
        <v>853964</v>
      </c>
    </row>
    <row r="32" spans="1:10">
      <c r="A32" s="2" t="s">
        <v>236</v>
      </c>
      <c r="B32" s="34">
        <v>11.545359948545963</v>
      </c>
      <c r="C32" s="35">
        <v>128.48049591002044</v>
      </c>
      <c r="D32" s="35">
        <v>376.96177499999999</v>
      </c>
      <c r="E32" s="35">
        <v>1.4869888475836431E-2</v>
      </c>
      <c r="F32" s="35">
        <v>2.0596928071545612E-3</v>
      </c>
      <c r="G32" s="35">
        <v>5.6053795539033455</v>
      </c>
      <c r="H32" s="35">
        <v>0.10318723348133819</v>
      </c>
      <c r="I32" s="35">
        <v>11736</v>
      </c>
      <c r="J32" s="35">
        <v>113735</v>
      </c>
    </row>
    <row r="33" spans="1:10">
      <c r="A33" s="2" t="s">
        <v>233</v>
      </c>
      <c r="B33" s="34">
        <v>20.417550318437105</v>
      </c>
      <c r="C33" s="35">
        <v>38.70893343862241</v>
      </c>
      <c r="D33" s="35">
        <v>101.30644000000001</v>
      </c>
      <c r="E33" s="35">
        <v>0.1</v>
      </c>
      <c r="F33" s="35">
        <v>2.0154247171687316E-3</v>
      </c>
      <c r="G33" s="35">
        <v>10.130644</v>
      </c>
      <c r="H33" s="35">
        <v>0.58460782415749579</v>
      </c>
      <c r="I33" s="35">
        <v>39257</v>
      </c>
      <c r="J33" s="35">
        <v>67151</v>
      </c>
    </row>
    <row r="34" spans="1:10">
      <c r="A34" s="2" t="s">
        <v>237</v>
      </c>
      <c r="B34" s="34">
        <v>120.23655544538475</v>
      </c>
      <c r="C34" s="35">
        <v>364.48334265343215</v>
      </c>
      <c r="D34" s="35">
        <v>434.52489166666669</v>
      </c>
      <c r="E34" s="35">
        <v>0.10810810810810811</v>
      </c>
      <c r="F34" s="35">
        <v>2.5595498881638111E-3</v>
      </c>
      <c r="G34" s="35">
        <v>46.975663963963967</v>
      </c>
      <c r="H34" s="35">
        <v>0.35989937106918241</v>
      </c>
      <c r="I34" s="35">
        <v>14306</v>
      </c>
      <c r="J34" s="35">
        <v>39750</v>
      </c>
    </row>
    <row r="35" spans="1:10">
      <c r="A35" s="2" t="s">
        <v>238</v>
      </c>
      <c r="B35" s="34">
        <v>90.674307664820446</v>
      </c>
      <c r="C35" s="35">
        <v>133.53028416067357</v>
      </c>
      <c r="D35" s="35">
        <v>507.50410000000005</v>
      </c>
      <c r="E35" s="35">
        <v>7.4999999999999997E-2</v>
      </c>
      <c r="F35" s="35">
        <v>2.3822285748317552E-3</v>
      </c>
      <c r="G35" s="35">
        <v>38.062807500000005</v>
      </c>
      <c r="H35" s="35">
        <v>0.80120862904925871</v>
      </c>
      <c r="I35" s="35">
        <v>11402</v>
      </c>
      <c r="J35" s="35">
        <v>14231</v>
      </c>
    </row>
    <row r="36" spans="1:10">
      <c r="A36" s="2" t="s">
        <v>239</v>
      </c>
      <c r="B36" s="34">
        <v>227.45814192663696</v>
      </c>
      <c r="C36" s="35">
        <v>337.65669211195933</v>
      </c>
      <c r="D36" s="35">
        <v>530.79632000000004</v>
      </c>
      <c r="E36" s="35">
        <v>4.5454545454545456E-2</v>
      </c>
      <c r="F36" s="35">
        <v>9.4274940006856354E-3</v>
      </c>
      <c r="G36" s="35">
        <v>24.127105454545454</v>
      </c>
      <c r="H36" s="35">
        <v>0.71396130438731942</v>
      </c>
      <c r="I36" s="35">
        <v>7860</v>
      </c>
      <c r="J36" s="35">
        <v>11009</v>
      </c>
    </row>
    <row r="37" spans="1:10">
      <c r="A37" s="1" t="s">
        <v>214</v>
      </c>
      <c r="B37" s="35"/>
      <c r="C37" s="35"/>
      <c r="D37" s="35"/>
      <c r="E37" s="35"/>
      <c r="F37" s="35"/>
      <c r="G37" s="35"/>
      <c r="H37" s="35"/>
      <c r="I37" s="35"/>
      <c r="J37" s="35"/>
    </row>
    <row r="38" spans="1:10">
      <c r="A38" s="2" t="s">
        <v>240</v>
      </c>
      <c r="B38" s="34">
        <v>6.6650529785514916</v>
      </c>
      <c r="C38" s="35">
        <v>19.334503056373105</v>
      </c>
      <c r="D38" s="35">
        <v>90.738031250000006</v>
      </c>
      <c r="E38" s="35">
        <v>2.8571428571428571E-2</v>
      </c>
      <c r="F38" s="35">
        <v>2.5708829146466874E-3</v>
      </c>
      <c r="G38" s="35">
        <v>2.5925151785714289</v>
      </c>
      <c r="H38" s="35">
        <v>0.41780406514469487</v>
      </c>
      <c r="I38" s="35">
        <v>75089</v>
      </c>
      <c r="J38" s="35">
        <v>179723</v>
      </c>
    </row>
    <row r="39" spans="1:10">
      <c r="A39" s="2" t="s">
        <v>241</v>
      </c>
      <c r="B39" s="34">
        <v>44.795921303403112</v>
      </c>
      <c r="C39" s="35">
        <v>57.933360187209878</v>
      </c>
      <c r="D39" s="35">
        <v>48.324764799999997</v>
      </c>
      <c r="E39" s="35">
        <v>0.27777777777777779</v>
      </c>
      <c r="F39" s="35">
        <v>3.337115397450444E-3</v>
      </c>
      <c r="G39" s="35">
        <v>13.423545777777777</v>
      </c>
      <c r="H39" s="35">
        <v>0.81161360628940604</v>
      </c>
      <c r="I39" s="35">
        <v>104268</v>
      </c>
      <c r="J39" s="35">
        <v>128470</v>
      </c>
    </row>
    <row r="40" spans="1:10">
      <c r="A40" s="2" t="s">
        <v>218</v>
      </c>
      <c r="B40" s="34">
        <v>51.055955683384674</v>
      </c>
      <c r="C40" s="35">
        <v>90.28249119744801</v>
      </c>
      <c r="D40" s="35">
        <v>5999.9938000000002</v>
      </c>
      <c r="E40" s="35">
        <v>3.3444816053511705E-3</v>
      </c>
      <c r="F40" s="35">
        <v>2.5442910873227933E-3</v>
      </c>
      <c r="G40" s="35">
        <v>20.066868896321072</v>
      </c>
      <c r="H40" s="35">
        <v>0.76767046701551322</v>
      </c>
      <c r="I40" s="35">
        <v>66458</v>
      </c>
      <c r="J40" s="35">
        <v>86571</v>
      </c>
    </row>
    <row r="41" spans="1:10">
      <c r="A41" s="2" t="s">
        <v>242</v>
      </c>
      <c r="B41" s="34">
        <v>64.405998500374906</v>
      </c>
      <c r="C41" s="35">
        <v>123.31734099016793</v>
      </c>
      <c r="D41" s="35">
        <v>515.3768</v>
      </c>
      <c r="E41" s="35">
        <v>2.9729729729729731E-2</v>
      </c>
      <c r="F41" s="35">
        <v>4.2034945809002293E-3</v>
      </c>
      <c r="G41" s="35">
        <v>15.322012972972972</v>
      </c>
      <c r="H41" s="35">
        <v>0.54779438049617502</v>
      </c>
      <c r="I41" s="35">
        <v>45972</v>
      </c>
      <c r="J41" s="35">
        <v>83922</v>
      </c>
    </row>
    <row r="42" spans="1:10">
      <c r="A42" s="2" t="s">
        <v>243</v>
      </c>
      <c r="B42" s="34">
        <v>163.55198130706046</v>
      </c>
      <c r="C42" s="35">
        <v>325.29385779992339</v>
      </c>
      <c r="D42" s="35">
        <v>754.39260000000002</v>
      </c>
      <c r="E42" s="35">
        <v>7.9646017699115043E-2</v>
      </c>
      <c r="F42" s="35">
        <v>2.7220388793871798E-3</v>
      </c>
      <c r="G42" s="35">
        <v>60.084366371681419</v>
      </c>
      <c r="H42" s="35">
        <v>0.53177070063694265</v>
      </c>
      <c r="I42" s="35">
        <v>20872</v>
      </c>
      <c r="J42" s="35">
        <v>39250</v>
      </c>
    </row>
    <row r="43" spans="1:10">
      <c r="A43" s="2" t="s">
        <v>215</v>
      </c>
      <c r="B43" s="34">
        <v>51.067631020495881</v>
      </c>
      <c r="C43" s="35">
        <v>140.38507605966623</v>
      </c>
      <c r="D43" s="35">
        <v>475.27367500000003</v>
      </c>
      <c r="E43" s="35">
        <v>3.0769230769230771E-2</v>
      </c>
      <c r="F43" s="35">
        <v>3.4920890751336396E-3</v>
      </c>
      <c r="G43" s="35">
        <v>14.623805384615386</v>
      </c>
      <c r="H43" s="35">
        <v>0.41724180428888341</v>
      </c>
      <c r="I43" s="35">
        <v>13542</v>
      </c>
      <c r="J43" s="35">
        <v>32456</v>
      </c>
    </row>
    <row r="44" spans="1:10">
      <c r="A44" s="2" t="s">
        <v>244</v>
      </c>
      <c r="B44" s="34">
        <v>532.83974326705265</v>
      </c>
      <c r="C44" s="35">
        <v>784.0638148148148</v>
      </c>
      <c r="D44" s="35">
        <v>3175.4584500000001</v>
      </c>
      <c r="E44" s="35">
        <v>2.8985507246376812E-2</v>
      </c>
      <c r="F44" s="35">
        <v>5.7890762647873142E-3</v>
      </c>
      <c r="G44" s="35">
        <v>92.042273913043488</v>
      </c>
      <c r="H44" s="35">
        <v>0.70288094411662616</v>
      </c>
      <c r="I44" s="35">
        <v>8100</v>
      </c>
      <c r="J44" s="35">
        <v>11524</v>
      </c>
    </row>
    <row r="45" spans="1:10">
      <c r="A45" s="2" t="s">
        <v>245</v>
      </c>
      <c r="B45" s="34">
        <v>124.64039169941061</v>
      </c>
      <c r="C45" s="35">
        <v>382.75691930618405</v>
      </c>
      <c r="D45" s="35">
        <v>676.71423333333337</v>
      </c>
      <c r="E45" s="35">
        <v>5.3571428571428568E-2</v>
      </c>
      <c r="F45" s="35">
        <v>3.43811394891945E-3</v>
      </c>
      <c r="G45" s="35">
        <v>36.252548214285717</v>
      </c>
      <c r="H45" s="35">
        <v>0.49426894045289349</v>
      </c>
      <c r="I45" s="35">
        <v>5304</v>
      </c>
      <c r="J45" s="35">
        <v>10731</v>
      </c>
    </row>
    <row r="46" spans="1:10">
      <c r="A46" s="2" t="s">
        <v>246</v>
      </c>
      <c r="B46" s="34">
        <v>165.37773549000951</v>
      </c>
      <c r="C46" s="35">
        <v>470.57149889244397</v>
      </c>
      <c r="D46" s="35">
        <v>382.38639999999998</v>
      </c>
      <c r="E46" s="35">
        <v>5.7471264367816091E-2</v>
      </c>
      <c r="F46" s="35">
        <v>7.525300579534642E-3</v>
      </c>
      <c r="G46" s="35">
        <v>21.976229885057471</v>
      </c>
      <c r="H46" s="35">
        <v>0.40871139724373806</v>
      </c>
      <c r="I46" s="35">
        <v>4063</v>
      </c>
      <c r="J46" s="35">
        <v>9941</v>
      </c>
    </row>
    <row r="47" spans="1:10">
      <c r="A47" s="2" t="s">
        <v>247</v>
      </c>
      <c r="B47" s="34">
        <v>148.9322326487252</v>
      </c>
      <c r="C47" s="35">
        <v>246.60488126649076</v>
      </c>
      <c r="D47" s="35">
        <v>420.58462500000002</v>
      </c>
      <c r="E47" s="35">
        <v>7.407407407407407E-2</v>
      </c>
      <c r="F47" s="35">
        <v>4.7804532577903685E-3</v>
      </c>
      <c r="G47" s="35">
        <v>31.154416666666666</v>
      </c>
      <c r="H47" s="35">
        <v>0.73560491697218033</v>
      </c>
      <c r="I47" s="35">
        <v>6822</v>
      </c>
      <c r="J47" s="35">
        <v>9274</v>
      </c>
    </row>
    <row r="48" spans="1:10">
      <c r="A48" s="2" t="s">
        <v>248</v>
      </c>
      <c r="B48" s="34">
        <v>669.15193891102263</v>
      </c>
      <c r="C48" s="35">
        <v>921.49123994147772</v>
      </c>
      <c r="D48" s="35">
        <v>1679.5713666666668</v>
      </c>
      <c r="E48" s="35">
        <v>0.15</v>
      </c>
      <c r="F48" s="35">
        <v>2.6560424966799467E-3</v>
      </c>
      <c r="G48" s="35">
        <v>251.93570500000001</v>
      </c>
      <c r="H48" s="35">
        <v>0.74924636886818308</v>
      </c>
      <c r="I48" s="35">
        <v>5468</v>
      </c>
      <c r="J48" s="35">
        <v>7298</v>
      </c>
    </row>
    <row r="49" spans="1:10">
      <c r="A49" s="2" t="s">
        <v>249</v>
      </c>
      <c r="B49" s="34">
        <v>222.89121725731897</v>
      </c>
      <c r="C49" s="35">
        <v>356.76972111553783</v>
      </c>
      <c r="D49" s="35">
        <v>940.26660000000004</v>
      </c>
      <c r="E49" s="35">
        <v>3.1746031746031744E-2</v>
      </c>
      <c r="F49" s="35">
        <v>7.467109162024416E-3</v>
      </c>
      <c r="G49" s="35">
        <v>29.849733333333333</v>
      </c>
      <c r="H49" s="35">
        <v>0.74607218683651799</v>
      </c>
      <c r="I49" s="35">
        <v>5271</v>
      </c>
      <c r="J49" s="35">
        <v>7065</v>
      </c>
    </row>
    <row r="50" spans="1:10">
      <c r="A50" s="1" t="s">
        <v>216</v>
      </c>
      <c r="B50" s="35"/>
      <c r="C50" s="35"/>
      <c r="D50" s="35"/>
      <c r="E50" s="35"/>
      <c r="F50" s="35"/>
      <c r="G50" s="35"/>
      <c r="H50" s="35"/>
      <c r="I50" s="35"/>
      <c r="J50" s="35"/>
    </row>
    <row r="51" spans="1:10">
      <c r="A51" s="2" t="s">
        <v>250</v>
      </c>
      <c r="B51" s="34">
        <v>42.26360593838497</v>
      </c>
      <c r="C51" s="35">
        <v>84.375158471817713</v>
      </c>
      <c r="D51" s="35">
        <v>295.49868000000004</v>
      </c>
      <c r="E51" s="35">
        <v>4.0983606557377046E-2</v>
      </c>
      <c r="F51" s="35">
        <v>3.4898023398838639E-3</v>
      </c>
      <c r="G51" s="35">
        <v>12.110601639344264</v>
      </c>
      <c r="H51" s="35">
        <v>0.54766372677800712</v>
      </c>
      <c r="I51" s="35">
        <v>17511</v>
      </c>
      <c r="J51" s="35">
        <v>31974</v>
      </c>
    </row>
    <row r="52" spans="1:10">
      <c r="A52" s="2" t="s">
        <v>251</v>
      </c>
      <c r="B52" s="34">
        <v>6.2421600393741157</v>
      </c>
      <c r="C52" s="35">
        <v>282.10050973123265</v>
      </c>
      <c r="D52" s="35">
        <v>456.57967500000001</v>
      </c>
      <c r="E52" s="35">
        <v>4.9261083743842365E-3</v>
      </c>
      <c r="F52" s="35">
        <v>2.7753282885247693E-3</v>
      </c>
      <c r="G52" s="35">
        <v>2.2491609605911331</v>
      </c>
      <c r="H52" s="35">
        <v>0.52535908463848091</v>
      </c>
      <c r="I52" s="35">
        <v>6474</v>
      </c>
      <c r="J52" s="35">
        <v>12323</v>
      </c>
    </row>
    <row r="53" spans="1:10">
      <c r="A53" s="2" t="s">
        <v>252</v>
      </c>
      <c r="B53" s="34">
        <v>149.14839027595269</v>
      </c>
      <c r="C53" s="35">
        <v>332.60637362637362</v>
      </c>
      <c r="D53" s="35">
        <v>181.60308000000001</v>
      </c>
      <c r="E53" s="35">
        <v>1</v>
      </c>
      <c r="F53" s="35">
        <v>8.212877792378449E-4</v>
      </c>
      <c r="G53" s="35">
        <v>181.60308000000001</v>
      </c>
      <c r="H53" s="35">
        <v>0.48951048951048953</v>
      </c>
      <c r="I53" s="35">
        <v>5460</v>
      </c>
      <c r="J53" s="35">
        <v>11154</v>
      </c>
    </row>
    <row r="54" spans="1:10">
      <c r="A54" s="1" t="s">
        <v>253</v>
      </c>
      <c r="B54" s="35"/>
      <c r="C54" s="35"/>
      <c r="D54" s="35"/>
      <c r="E54" s="35"/>
      <c r="F54" s="35"/>
      <c r="G54" s="35"/>
      <c r="H54" s="35"/>
      <c r="I54" s="35"/>
      <c r="J54" s="35"/>
    </row>
    <row r="55" spans="1:10">
      <c r="A55" s="2" t="s">
        <v>211</v>
      </c>
      <c r="B55" s="34">
        <v>2.1755695054322057</v>
      </c>
      <c r="C55" s="35">
        <v>3.1587401598371696</v>
      </c>
      <c r="D55" s="35">
        <v>164.15832222222221</v>
      </c>
      <c r="E55" s="35">
        <v>4.5362903225806455E-3</v>
      </c>
      <c r="F55" s="35">
        <v>2.9215223723232878E-3</v>
      </c>
      <c r="G55" s="35">
        <v>0.74466980846774189</v>
      </c>
      <c r="H55" s="35">
        <v>0.73705343143357349</v>
      </c>
      <c r="I55" s="35">
        <v>467726</v>
      </c>
      <c r="J55" s="35">
        <v>634589</v>
      </c>
    </row>
    <row r="56" spans="1:10">
      <c r="A56" s="2" t="s">
        <v>254</v>
      </c>
      <c r="B56" s="34">
        <v>22.29328254689516</v>
      </c>
      <c r="C56" s="35">
        <v>101.69635691314141</v>
      </c>
      <c r="D56" s="35">
        <v>139.4747375</v>
      </c>
      <c r="E56" s="35">
        <v>4.7098402018502947E-2</v>
      </c>
      <c r="F56" s="35">
        <v>3.393690988594458E-3</v>
      </c>
      <c r="G56" s="35">
        <v>6.5690372582001677</v>
      </c>
      <c r="H56" s="35">
        <v>0.30139744057640011</v>
      </c>
      <c r="I56" s="35">
        <v>76803</v>
      </c>
      <c r="J56" s="35">
        <v>254823</v>
      </c>
    </row>
    <row r="57" spans="1:10">
      <c r="A57" s="2" t="s">
        <v>218</v>
      </c>
      <c r="B57" s="34">
        <v>13.253029711352438</v>
      </c>
      <c r="C57" s="35">
        <v>25.928909858629215</v>
      </c>
      <c r="D57" s="35">
        <v>889.17492000000004</v>
      </c>
      <c r="E57" s="35">
        <v>5.1921079958463139E-3</v>
      </c>
      <c r="F57" s="35">
        <v>2.8706764720787216E-3</v>
      </c>
      <c r="G57" s="35">
        <v>4.6166922118380063</v>
      </c>
      <c r="H57" s="35">
        <v>0.69292382299454436</v>
      </c>
      <c r="I57" s="35">
        <v>171464</v>
      </c>
      <c r="J57" s="35">
        <v>247450</v>
      </c>
    </row>
    <row r="58" spans="1:10">
      <c r="A58" s="2" t="s">
        <v>241</v>
      </c>
      <c r="B58" s="34">
        <v>26.445034512510784</v>
      </c>
      <c r="C58" s="35">
        <v>64.047215546964779</v>
      </c>
      <c r="D58" s="35">
        <v>122.59917999999999</v>
      </c>
      <c r="E58" s="35">
        <v>7.3529411764705885E-2</v>
      </c>
      <c r="F58" s="35">
        <v>2.9335634167385678E-3</v>
      </c>
      <c r="G58" s="35">
        <v>9.0146455882352932</v>
      </c>
      <c r="H58" s="35">
        <v>0.45700233968390391</v>
      </c>
      <c r="I58" s="35">
        <v>28713</v>
      </c>
      <c r="J58" s="35">
        <v>62829</v>
      </c>
    </row>
    <row r="59" spans="1:10">
      <c r="A59" s="2" t="s">
        <v>255</v>
      </c>
      <c r="B59" s="34">
        <v>29.771844581604778</v>
      </c>
      <c r="C59" s="35">
        <v>59.581066742264703</v>
      </c>
      <c r="D59" s="35">
        <v>490.39190000000002</v>
      </c>
      <c r="E59" s="35">
        <v>2.0833333333333332E-2</v>
      </c>
      <c r="F59" s="35">
        <v>2.914094910452292E-3</v>
      </c>
      <c r="G59" s="35">
        <v>10.216497916666667</v>
      </c>
      <c r="H59" s="35">
        <v>0.54190716558762209</v>
      </c>
      <c r="I59" s="35">
        <v>24692</v>
      </c>
      <c r="J59" s="35">
        <v>45565</v>
      </c>
    </row>
    <row r="60" spans="1:10">
      <c r="A60" s="2" t="s">
        <v>256</v>
      </c>
      <c r="B60" s="34">
        <v>61.125458126391507</v>
      </c>
      <c r="C60" s="35">
        <v>154.01821777905639</v>
      </c>
      <c r="D60" s="35">
        <v>713.82310000000007</v>
      </c>
      <c r="E60" s="35">
        <v>2.0689655172413793E-2</v>
      </c>
      <c r="F60" s="35">
        <v>4.1388365587714795E-3</v>
      </c>
      <c r="G60" s="35">
        <v>14.76875379310345</v>
      </c>
      <c r="H60" s="35">
        <v>0.40746710429915306</v>
      </c>
      <c r="I60" s="35">
        <v>13904</v>
      </c>
      <c r="J60" s="35">
        <v>34123</v>
      </c>
    </row>
    <row r="61" spans="1:10">
      <c r="A61" s="2" t="s">
        <v>257</v>
      </c>
      <c r="B61" s="34">
        <v>218.12102757715039</v>
      </c>
      <c r="C61" s="35">
        <v>304.35027485112232</v>
      </c>
      <c r="D61" s="35">
        <v>265.75866000000002</v>
      </c>
      <c r="E61" s="35">
        <v>0.26315789473684209</v>
      </c>
      <c r="F61" s="35">
        <v>3.1188443860801049E-3</v>
      </c>
      <c r="G61" s="35">
        <v>69.936489473684219</v>
      </c>
      <c r="H61" s="35">
        <v>0.78666666666666663</v>
      </c>
      <c r="I61" s="35">
        <v>21830</v>
      </c>
      <c r="J61" s="35">
        <v>27750</v>
      </c>
    </row>
    <row r="62" spans="1:10">
      <c r="A62" s="2" t="s">
        <v>258</v>
      </c>
      <c r="B62" s="34">
        <v>377.16639598634532</v>
      </c>
      <c r="C62" s="35">
        <v>840.78578346592883</v>
      </c>
      <c r="D62" s="35">
        <v>662.9213727272728</v>
      </c>
      <c r="E62" s="35">
        <v>0.27500000000000002</v>
      </c>
      <c r="F62" s="35">
        <v>2.0688941760628942E-3</v>
      </c>
      <c r="G62" s="35">
        <v>182.30337750000001</v>
      </c>
      <c r="H62" s="35">
        <v>0.46684250188394877</v>
      </c>
      <c r="I62" s="35">
        <v>8673</v>
      </c>
      <c r="J62" s="35">
        <v>18578</v>
      </c>
    </row>
    <row r="63" spans="1:10">
      <c r="A63" s="2" t="s">
        <v>237</v>
      </c>
      <c r="B63" s="34">
        <v>79.557374542674594</v>
      </c>
      <c r="C63" s="35">
        <v>153.66883240164537</v>
      </c>
      <c r="D63" s="35">
        <v>364.23354999999998</v>
      </c>
      <c r="E63" s="35">
        <v>6.6666666666666666E-2</v>
      </c>
      <c r="F63" s="35">
        <v>3.2763610549882598E-3</v>
      </c>
      <c r="G63" s="35">
        <v>24.282236666666666</v>
      </c>
      <c r="H63" s="35">
        <v>0.58165644171779141</v>
      </c>
      <c r="I63" s="35">
        <v>9481</v>
      </c>
      <c r="J63" s="35">
        <v>16300</v>
      </c>
    </row>
    <row r="64" spans="1:10">
      <c r="A64" s="2" t="s">
        <v>259</v>
      </c>
      <c r="B64" s="34">
        <v>114.41378016480283</v>
      </c>
      <c r="C64" s="35">
        <v>200.73733057957921</v>
      </c>
      <c r="D64" s="35">
        <v>1555.1121000000001</v>
      </c>
      <c r="E64" s="35">
        <v>1.1764705882352941E-2</v>
      </c>
      <c r="F64" s="35">
        <v>6.2536786344908769E-3</v>
      </c>
      <c r="G64" s="35">
        <v>18.295436470588236</v>
      </c>
      <c r="H64" s="35">
        <v>0.7246959775491113</v>
      </c>
      <c r="I64" s="35">
        <v>7747</v>
      </c>
      <c r="J64" s="35">
        <v>10690</v>
      </c>
    </row>
    <row r="65" spans="1:10">
      <c r="A65" s="1" t="s">
        <v>44</v>
      </c>
      <c r="B65" s="35"/>
      <c r="C65" s="35"/>
      <c r="D65" s="35"/>
      <c r="E65" s="35"/>
      <c r="F65" s="35"/>
      <c r="G65" s="35"/>
      <c r="H65" s="35"/>
      <c r="I65" s="35"/>
      <c r="J65" s="35"/>
    </row>
    <row r="66" spans="1:10">
      <c r="A66" s="2" t="s">
        <v>218</v>
      </c>
      <c r="B66" s="34">
        <v>1.8009559384162159</v>
      </c>
      <c r="C66" s="35">
        <v>2.8590883533897178</v>
      </c>
      <c r="D66" s="35">
        <v>82.232445714285717</v>
      </c>
      <c r="E66" s="35">
        <v>8.0045740423098921E-3</v>
      </c>
      <c r="F66" s="35">
        <v>2.7360350362661524E-3</v>
      </c>
      <c r="G66" s="35">
        <v>0.65823570040022872</v>
      </c>
      <c r="H66" s="35">
        <v>0.75430734595105542</v>
      </c>
      <c r="I66" s="35">
        <v>2013324</v>
      </c>
      <c r="J66" s="35">
        <v>2669103</v>
      </c>
    </row>
    <row r="67" spans="1:10">
      <c r="A67" s="2" t="s">
        <v>260</v>
      </c>
      <c r="B67" s="34">
        <v>30.877211803841266</v>
      </c>
      <c r="C67" s="35">
        <v>47.80127742485184</v>
      </c>
      <c r="D67" s="35">
        <v>238.435759375</v>
      </c>
      <c r="E67" s="35">
        <v>4.2666666666666665E-2</v>
      </c>
      <c r="F67" s="35">
        <v>3.0351347195130833E-3</v>
      </c>
      <c r="G67" s="35">
        <v>10.173259066666667</v>
      </c>
      <c r="H67" s="35">
        <v>0.68461505468582462</v>
      </c>
      <c r="I67" s="35">
        <v>159618</v>
      </c>
      <c r="J67" s="35">
        <v>233150</v>
      </c>
    </row>
    <row r="68" spans="1:10">
      <c r="A68" s="2" t="s">
        <v>261</v>
      </c>
      <c r="B68" s="34">
        <v>24.880623530893221</v>
      </c>
      <c r="C68" s="35">
        <v>164.05064000553517</v>
      </c>
      <c r="D68" s="35">
        <v>189.68191200000001</v>
      </c>
      <c r="E68" s="35">
        <v>4.1597337770382693E-2</v>
      </c>
      <c r="F68" s="35">
        <v>3.1533327736736065E-3</v>
      </c>
      <c r="G68" s="35">
        <v>7.890262562396007</v>
      </c>
      <c r="H68" s="35">
        <v>0.16755644436715647</v>
      </c>
      <c r="I68" s="35">
        <v>28906</v>
      </c>
      <c r="J68" s="35">
        <v>172515</v>
      </c>
    </row>
    <row r="69" spans="1:10">
      <c r="A69" s="2" t="s">
        <v>262</v>
      </c>
      <c r="B69" s="34">
        <v>58.32479305525694</v>
      </c>
      <c r="C69" s="35">
        <v>161.37735666658406</v>
      </c>
      <c r="D69" s="35">
        <v>310.02127142857142</v>
      </c>
      <c r="E69" s="35">
        <v>3.5593220338983052E-2</v>
      </c>
      <c r="F69" s="35">
        <v>5.285601662724862E-3</v>
      </c>
      <c r="G69" s="35">
        <v>11.034655423728815</v>
      </c>
      <c r="H69" s="35">
        <v>0.39822912759362722</v>
      </c>
      <c r="I69" s="35">
        <v>40343</v>
      </c>
      <c r="J69" s="35">
        <v>101306</v>
      </c>
    </row>
    <row r="70" spans="1:10">
      <c r="A70" s="2" t="s">
        <v>263</v>
      </c>
      <c r="B70" s="34">
        <v>20.043122097896514</v>
      </c>
      <c r="C70" s="35">
        <v>37.302491023895008</v>
      </c>
      <c r="D70" s="35">
        <v>502.15370000000001</v>
      </c>
      <c r="E70" s="35">
        <v>1.0714285714285714E-2</v>
      </c>
      <c r="F70" s="35">
        <v>3.7253362781229627E-3</v>
      </c>
      <c r="G70" s="35">
        <v>5.3802182142857147</v>
      </c>
      <c r="H70" s="35">
        <v>0.57426235335940279</v>
      </c>
      <c r="I70" s="35">
        <v>40385</v>
      </c>
      <c r="J70" s="35">
        <v>70325</v>
      </c>
    </row>
    <row r="71" spans="1:10">
      <c r="A71" s="2" t="s">
        <v>250</v>
      </c>
      <c r="B71" s="34">
        <v>19.462026223867369</v>
      </c>
      <c r="C71" s="35">
        <v>34.557719456594697</v>
      </c>
      <c r="D71" s="35">
        <v>165.91161111111111</v>
      </c>
      <c r="E71" s="35">
        <v>4.8128342245989303E-2</v>
      </c>
      <c r="F71" s="35">
        <v>2.4373077524633751E-3</v>
      </c>
      <c r="G71" s="35">
        <v>7.9850508021390381</v>
      </c>
      <c r="H71" s="35">
        <v>0.621443981015389</v>
      </c>
      <c r="I71" s="35">
        <v>43209</v>
      </c>
      <c r="J71" s="35">
        <v>69530</v>
      </c>
    </row>
    <row r="72" spans="1:10">
      <c r="A72" s="2" t="s">
        <v>228</v>
      </c>
      <c r="B72" s="34">
        <v>49.792971818468509</v>
      </c>
      <c r="C72" s="35">
        <v>108.64685662454647</v>
      </c>
      <c r="D72" s="35">
        <v>151.02857826086955</v>
      </c>
      <c r="E72" s="35">
        <v>0.1393939393939394</v>
      </c>
      <c r="F72" s="35">
        <v>2.3651844843897824E-3</v>
      </c>
      <c r="G72" s="35">
        <v>21.052468484848482</v>
      </c>
      <c r="H72" s="35">
        <v>0.52843660644926693</v>
      </c>
      <c r="I72" s="35">
        <v>31972</v>
      </c>
      <c r="J72" s="35">
        <v>60503</v>
      </c>
    </row>
    <row r="73" spans="1:10">
      <c r="A73" s="2" t="s">
        <v>264</v>
      </c>
      <c r="B73" s="34">
        <v>74.02673113804218</v>
      </c>
      <c r="C73" s="35">
        <v>119.55406108932749</v>
      </c>
      <c r="D73" s="35">
        <v>604.7243666666667</v>
      </c>
      <c r="E73" s="35">
        <v>0.06</v>
      </c>
      <c r="F73" s="35">
        <v>2.0402334027012688E-3</v>
      </c>
      <c r="G73" s="35">
        <v>36.283462</v>
      </c>
      <c r="H73" s="35">
        <v>0.65342548335701678</v>
      </c>
      <c r="I73" s="35">
        <v>30349</v>
      </c>
      <c r="J73" s="35">
        <v>46446</v>
      </c>
    </row>
    <row r="74" spans="1:10">
      <c r="A74" s="2" t="s">
        <v>233</v>
      </c>
      <c r="B74" s="34">
        <v>152.03854398382205</v>
      </c>
      <c r="C74" s="35">
        <v>356.26153846153846</v>
      </c>
      <c r="D74" s="35">
        <v>422.90471250000002</v>
      </c>
      <c r="E74" s="35">
        <v>0.128</v>
      </c>
      <c r="F74" s="35">
        <v>2.8086731827884509E-3</v>
      </c>
      <c r="G74" s="35">
        <v>54.1318032</v>
      </c>
      <c r="H74" s="35">
        <v>0.48056778503112191</v>
      </c>
      <c r="I74" s="35">
        <v>18993</v>
      </c>
      <c r="J74" s="35">
        <v>39522</v>
      </c>
    </row>
    <row r="75" spans="1:10">
      <c r="A75" s="2" t="s">
        <v>265</v>
      </c>
      <c r="B75" s="34">
        <v>127.08174025863536</v>
      </c>
      <c r="C75" s="35">
        <v>489.34276003276005</v>
      </c>
      <c r="D75" s="35">
        <v>459.60577692307692</v>
      </c>
      <c r="E75" s="35">
        <v>6.5326633165829151E-2</v>
      </c>
      <c r="F75" s="35">
        <v>4.2326016675174405E-3</v>
      </c>
      <c r="G75" s="35">
        <v>30.024497989949751</v>
      </c>
      <c r="H75" s="35">
        <v>0.32098635610820475</v>
      </c>
      <c r="I75" s="35">
        <v>12210</v>
      </c>
      <c r="J75" s="35">
        <v>38039</v>
      </c>
    </row>
    <row r="76" spans="1:10">
      <c r="A76" s="2" t="s">
        <v>266</v>
      </c>
      <c r="B76" s="34">
        <v>42.770103942366489</v>
      </c>
      <c r="C76" s="35">
        <v>315.96288295365281</v>
      </c>
      <c r="D76" s="35">
        <v>268.14716666666669</v>
      </c>
      <c r="E76" s="35">
        <v>7.0588235294117646E-2</v>
      </c>
      <c r="F76" s="35">
        <v>2.2596166626791077E-3</v>
      </c>
      <c r="G76" s="35">
        <v>18.928035294117649</v>
      </c>
      <c r="H76" s="35">
        <v>0.1481395281179996</v>
      </c>
      <c r="I76" s="35">
        <v>5092</v>
      </c>
      <c r="J76" s="35">
        <v>34373</v>
      </c>
    </row>
    <row r="77" spans="1:10">
      <c r="A77" s="2" t="s">
        <v>267</v>
      </c>
      <c r="B77" s="34">
        <v>125.69254332830617</v>
      </c>
      <c r="C77" s="35">
        <v>305.10030006601454</v>
      </c>
      <c r="D77" s="35">
        <v>423.65719166666668</v>
      </c>
      <c r="E77" s="35">
        <v>6.7796610169491525E-2</v>
      </c>
      <c r="F77" s="35">
        <v>4.3760971147427498E-3</v>
      </c>
      <c r="G77" s="35">
        <v>28.722521468926555</v>
      </c>
      <c r="H77" s="35">
        <v>0.5596493585007053</v>
      </c>
      <c r="I77" s="35">
        <v>16663</v>
      </c>
      <c r="J77" s="35">
        <v>29774</v>
      </c>
    </row>
    <row r="78" spans="1:10">
      <c r="A78" s="2" t="s">
        <v>268</v>
      </c>
      <c r="B78" s="34">
        <v>236.84686276045747</v>
      </c>
      <c r="C78" s="35">
        <v>397.34372166370986</v>
      </c>
      <c r="D78" s="35">
        <v>671.90823333333333</v>
      </c>
      <c r="E78" s="35">
        <v>6.4285714285714279E-2</v>
      </c>
      <c r="F78" s="35">
        <v>5.4833150556164809E-3</v>
      </c>
      <c r="G78" s="35">
        <v>43.194100714285717</v>
      </c>
      <c r="H78" s="35">
        <v>0.70795925012792482</v>
      </c>
      <c r="I78" s="35">
        <v>15219</v>
      </c>
      <c r="J78" s="35">
        <v>21497</v>
      </c>
    </row>
    <row r="79" spans="1:10">
      <c r="A79" s="2" t="s">
        <v>269</v>
      </c>
      <c r="B79" s="34">
        <v>64.784644642127432</v>
      </c>
      <c r="C79" s="35">
        <v>145.66357339741324</v>
      </c>
      <c r="D79" s="35">
        <v>158.53799230769229</v>
      </c>
      <c r="E79" s="35">
        <v>0.15476190476190477</v>
      </c>
      <c r="F79" s="35">
        <v>2.6404300128878132E-3</v>
      </c>
      <c r="G79" s="35">
        <v>24.535641666666667</v>
      </c>
      <c r="H79" s="35">
        <v>0.66486537286781633</v>
      </c>
      <c r="I79" s="35">
        <v>14149</v>
      </c>
      <c r="J79" s="35">
        <v>21281</v>
      </c>
    </row>
    <row r="80" spans="1:10">
      <c r="A80" s="2" t="s">
        <v>270</v>
      </c>
      <c r="B80" s="34">
        <v>165.86438879061541</v>
      </c>
      <c r="C80" s="35">
        <v>340.21758808364365</v>
      </c>
      <c r="D80" s="35">
        <v>1187.6996000000001</v>
      </c>
      <c r="E80" s="35">
        <v>4.4776119402985072E-2</v>
      </c>
      <c r="F80" s="35">
        <v>3.1188902336840144E-3</v>
      </c>
      <c r="G80" s="35">
        <v>53.180579104477616</v>
      </c>
      <c r="H80" s="35">
        <v>0.53219167640632148</v>
      </c>
      <c r="I80" s="35">
        <v>10473</v>
      </c>
      <c r="J80" s="35">
        <v>19679</v>
      </c>
    </row>
    <row r="81" spans="1:10">
      <c r="A81" s="2" t="s">
        <v>271</v>
      </c>
      <c r="B81" s="34">
        <v>148.94027642592951</v>
      </c>
      <c r="C81" s="35">
        <v>214.6310961498001</v>
      </c>
      <c r="D81" s="35">
        <v>235.41729230769229</v>
      </c>
      <c r="E81" s="35">
        <v>0.32500000000000001</v>
      </c>
      <c r="F81" s="35">
        <v>1.9466614755693985E-3</v>
      </c>
      <c r="G81" s="35">
        <v>76.510619999999989</v>
      </c>
      <c r="H81" s="35">
        <v>0.72550117024524274</v>
      </c>
      <c r="I81" s="35">
        <v>14259</v>
      </c>
      <c r="J81" s="35">
        <v>19654</v>
      </c>
    </row>
    <row r="82" spans="1:10">
      <c r="A82" s="2" t="s">
        <v>230</v>
      </c>
      <c r="B82" s="34">
        <v>70.965246180769043</v>
      </c>
      <c r="C82" s="35">
        <v>395.05481832543444</v>
      </c>
      <c r="D82" s="35">
        <v>500.13940000000002</v>
      </c>
      <c r="E82" s="35">
        <v>5.3571428571428568E-2</v>
      </c>
      <c r="F82" s="35">
        <v>2.6486307524949157E-3</v>
      </c>
      <c r="G82" s="35">
        <v>26.793182142857145</v>
      </c>
      <c r="H82" s="35">
        <v>0.19389422095160302</v>
      </c>
      <c r="I82" s="35">
        <v>3798</v>
      </c>
      <c r="J82" s="35">
        <v>19588</v>
      </c>
    </row>
    <row r="83" spans="1:10">
      <c r="A83" s="2" t="s">
        <v>272</v>
      </c>
      <c r="B83" s="34">
        <v>69.999383539586887</v>
      </c>
      <c r="C83" s="35">
        <v>135.7823130465822</v>
      </c>
      <c r="D83" s="35">
        <v>380.39415000000002</v>
      </c>
      <c r="E83" s="35">
        <v>0.05</v>
      </c>
      <c r="F83" s="35">
        <v>3.6803606753461841E-3</v>
      </c>
      <c r="G83" s="35">
        <v>19.019707500000003</v>
      </c>
      <c r="H83" s="35">
        <v>0.57587748599619715</v>
      </c>
      <c r="I83" s="35">
        <v>11206</v>
      </c>
      <c r="J83" s="35">
        <v>19459</v>
      </c>
    </row>
    <row r="84" spans="1:10">
      <c r="A84" s="2" t="s">
        <v>273</v>
      </c>
      <c r="B84" s="34">
        <v>280.85661110212004</v>
      </c>
      <c r="C84" s="35">
        <v>804.30078788815069</v>
      </c>
      <c r="D84" s="35">
        <v>1301.5597499999999</v>
      </c>
      <c r="E84" s="35">
        <v>4.2105263157894736E-2</v>
      </c>
      <c r="F84" s="35">
        <v>5.1248853644063229E-3</v>
      </c>
      <c r="G84" s="35">
        <v>54.802515789473681</v>
      </c>
      <c r="H84" s="35">
        <v>0.37895907733739242</v>
      </c>
      <c r="I84" s="35">
        <v>6473</v>
      </c>
      <c r="J84" s="35">
        <v>17081</v>
      </c>
    </row>
    <row r="85" spans="1:10">
      <c r="A85" s="2" t="s">
        <v>274</v>
      </c>
      <c r="B85" s="34">
        <v>119.54921714148911</v>
      </c>
      <c r="C85" s="35">
        <v>252.17507322492676</v>
      </c>
      <c r="D85" s="35">
        <v>166.45236000000003</v>
      </c>
      <c r="E85" s="35">
        <v>0.15151515151515152</v>
      </c>
      <c r="F85" s="35">
        <v>4.740244194397893E-3</v>
      </c>
      <c r="G85" s="35">
        <v>25.220054545454548</v>
      </c>
      <c r="H85" s="35">
        <v>0.60869297922045984</v>
      </c>
      <c r="I85" s="35">
        <v>9901</v>
      </c>
      <c r="J85" s="35">
        <v>16266</v>
      </c>
    </row>
    <row r="86" spans="1:10">
      <c r="A86" s="2" t="s">
        <v>275</v>
      </c>
      <c r="B86" s="34">
        <v>111.12395712098009</v>
      </c>
      <c r="C86" s="35">
        <v>189.79897468089561</v>
      </c>
      <c r="D86" s="35">
        <v>86.385647619047617</v>
      </c>
      <c r="E86" s="35">
        <v>0.26923076923076922</v>
      </c>
      <c r="F86" s="35">
        <v>4.7779479326186831E-3</v>
      </c>
      <c r="G86" s="35">
        <v>23.257674358974359</v>
      </c>
      <c r="H86" s="35">
        <v>0.61960326721120185</v>
      </c>
      <c r="I86" s="35">
        <v>9558</v>
      </c>
      <c r="J86" s="35">
        <v>15426</v>
      </c>
    </row>
    <row r="87" spans="1:10">
      <c r="A87" s="2" t="s">
        <v>276</v>
      </c>
      <c r="B87" s="34">
        <v>110.37281139304561</v>
      </c>
      <c r="C87" s="35">
        <v>198.46446119849216</v>
      </c>
      <c r="D87" s="35">
        <v>254.46451666666667</v>
      </c>
      <c r="E87" s="35">
        <v>7.1428571428571425E-2</v>
      </c>
      <c r="F87" s="35">
        <v>6.072435480373021E-3</v>
      </c>
      <c r="G87" s="35">
        <v>18.176036904761904</v>
      </c>
      <c r="H87" s="35">
        <v>0.58117398202009518</v>
      </c>
      <c r="I87" s="35">
        <v>7693</v>
      </c>
      <c r="J87" s="35">
        <v>13237</v>
      </c>
    </row>
    <row r="88" spans="1:10">
      <c r="A88" s="2" t="s">
        <v>277</v>
      </c>
      <c r="B88" s="34">
        <v>108.65647196091301</v>
      </c>
      <c r="C88" s="35">
        <v>178.67924211536157</v>
      </c>
      <c r="D88" s="35">
        <v>298.00124</v>
      </c>
      <c r="E88" s="35">
        <v>3.3112582781456956E-2</v>
      </c>
      <c r="F88" s="35">
        <v>1.1011448990009481E-2</v>
      </c>
      <c r="G88" s="35">
        <v>9.8675907284768218</v>
      </c>
      <c r="H88" s="35">
        <v>0.63895486935866985</v>
      </c>
      <c r="I88" s="35">
        <v>8339</v>
      </c>
      <c r="J88" s="35">
        <v>13051</v>
      </c>
    </row>
    <row r="89" spans="1:10">
      <c r="A89" s="2" t="s">
        <v>278</v>
      </c>
      <c r="B89" s="34">
        <v>478.80165601594172</v>
      </c>
      <c r="C89" s="35">
        <v>1138.7482431769897</v>
      </c>
      <c r="D89" s="35">
        <v>633.45459090909094</v>
      </c>
      <c r="E89" s="35">
        <v>0.23404255319148937</v>
      </c>
      <c r="F89" s="35">
        <v>3.2295746581460869E-3</v>
      </c>
      <c r="G89" s="35">
        <v>148.25532978723405</v>
      </c>
      <c r="H89" s="35">
        <v>0.48932427029188325</v>
      </c>
      <c r="I89" s="35">
        <v>6119</v>
      </c>
      <c r="J89" s="35">
        <v>12505</v>
      </c>
    </row>
    <row r="90" spans="1:10">
      <c r="A90" s="2" t="s">
        <v>279</v>
      </c>
      <c r="B90" s="34">
        <v>135.60832580003617</v>
      </c>
      <c r="C90" s="35">
        <v>229.40805933628997</v>
      </c>
      <c r="D90" s="35">
        <v>750.04965000000004</v>
      </c>
      <c r="E90" s="35">
        <v>2.564102564102564E-2</v>
      </c>
      <c r="F90" s="35">
        <v>7.0511661544024589E-3</v>
      </c>
      <c r="G90" s="35">
        <v>19.232042307692307</v>
      </c>
      <c r="H90" s="35">
        <v>0.6963049728463423</v>
      </c>
      <c r="I90" s="35">
        <v>6539</v>
      </c>
      <c r="J90" s="35">
        <v>9391</v>
      </c>
    </row>
    <row r="91" spans="1:10">
      <c r="A91" s="2" t="s">
        <v>280</v>
      </c>
      <c r="B91" s="34">
        <v>775.05242317502734</v>
      </c>
      <c r="C91" s="35">
        <v>1190.2642417459429</v>
      </c>
      <c r="D91" s="35">
        <v>1595.2516499999999</v>
      </c>
      <c r="E91" s="35">
        <v>6.1538461538461542E-2</v>
      </c>
      <c r="F91" s="35">
        <v>7.8950564800194332E-3</v>
      </c>
      <c r="G91" s="35">
        <v>98.169332307692301</v>
      </c>
      <c r="H91" s="35">
        <v>0.70142614156744731</v>
      </c>
      <c r="I91" s="35">
        <v>5361</v>
      </c>
      <c r="J91" s="35">
        <v>7643</v>
      </c>
    </row>
    <row r="92" spans="1:10">
      <c r="A92" s="2" t="s">
        <v>281</v>
      </c>
      <c r="B92" s="34">
        <v>852.59915720043978</v>
      </c>
      <c r="C92" s="35">
        <v>1428.0338175122749</v>
      </c>
      <c r="D92" s="35">
        <v>2326.7431000000001</v>
      </c>
      <c r="E92" s="35">
        <v>0.15</v>
      </c>
      <c r="F92" s="35">
        <v>2.4428972761695372E-3</v>
      </c>
      <c r="G92" s="35">
        <v>349.01146499999999</v>
      </c>
      <c r="H92" s="35">
        <v>0.6508655126498003</v>
      </c>
      <c r="I92" s="35">
        <v>4888</v>
      </c>
      <c r="J92" s="35">
        <v>7510</v>
      </c>
    </row>
    <row r="93" spans="1:10">
      <c r="A93" s="2" t="s">
        <v>282</v>
      </c>
      <c r="B93" s="34">
        <v>187.35356906807667</v>
      </c>
      <c r="C93" s="35">
        <v>419.84588990372748</v>
      </c>
      <c r="D93" s="35">
        <v>1700.7956999999999</v>
      </c>
      <c r="E93" s="35">
        <v>4.7619047619047616E-2</v>
      </c>
      <c r="F93" s="35">
        <v>2.313284864507601E-3</v>
      </c>
      <c r="G93" s="35">
        <v>80.990271428571418</v>
      </c>
      <c r="H93" s="35">
        <v>0.65181013676588895</v>
      </c>
      <c r="I93" s="35">
        <v>4051</v>
      </c>
      <c r="J93" s="35">
        <v>6215</v>
      </c>
    </row>
    <row r="94" spans="1:10">
      <c r="A94" s="1" t="s">
        <v>40</v>
      </c>
      <c r="B94" s="35"/>
      <c r="C94" s="35"/>
      <c r="D94" s="35"/>
      <c r="E94" s="35"/>
      <c r="F94" s="35"/>
      <c r="G94" s="35"/>
      <c r="H94" s="35"/>
      <c r="I94" s="35"/>
      <c r="J94" s="35"/>
    </row>
    <row r="95" spans="1:10">
      <c r="A95" s="2" t="s">
        <v>218</v>
      </c>
      <c r="B95" s="34">
        <v>4.4418022633043561</v>
      </c>
      <c r="C95" s="35">
        <v>7.3894283758267774</v>
      </c>
      <c r="D95" s="35">
        <v>131.7729736111111</v>
      </c>
      <c r="E95" s="35">
        <v>3.0936694356917788E-2</v>
      </c>
      <c r="F95" s="35">
        <v>1.0895796114092811E-3</v>
      </c>
      <c r="G95" s="35">
        <v>4.0766202091091372</v>
      </c>
      <c r="H95" s="35">
        <v>0.70430551967150135</v>
      </c>
      <c r="I95" s="35">
        <v>3851849</v>
      </c>
      <c r="J95" s="35">
        <v>5469003</v>
      </c>
    </row>
    <row r="96" spans="1:10">
      <c r="A96" s="2" t="s">
        <v>211</v>
      </c>
      <c r="B96" s="34">
        <v>7.4038092848107029</v>
      </c>
      <c r="C96" s="35">
        <v>15.189053472667553</v>
      </c>
      <c r="D96" s="35">
        <v>222.57614558823531</v>
      </c>
      <c r="E96" s="35">
        <v>1.1913104414856343E-2</v>
      </c>
      <c r="F96" s="35">
        <v>2.7922330135081853E-3</v>
      </c>
      <c r="G96" s="35">
        <v>2.6515728626489139</v>
      </c>
      <c r="H96" s="35">
        <v>0.6218297822151414</v>
      </c>
      <c r="I96" s="35">
        <v>996453</v>
      </c>
      <c r="J96" s="35">
        <v>1602453</v>
      </c>
    </row>
    <row r="97" spans="1:10">
      <c r="A97" s="2" t="s">
        <v>215</v>
      </c>
      <c r="B97" s="34">
        <v>7.1059866756154459</v>
      </c>
      <c r="C97" s="35">
        <v>17.292022358945061</v>
      </c>
      <c r="D97" s="35">
        <v>124.78293877551019</v>
      </c>
      <c r="E97" s="35">
        <v>1.7795532958053386E-2</v>
      </c>
      <c r="F97" s="35">
        <v>3.2000604333185154E-3</v>
      </c>
      <c r="G97" s="35">
        <v>2.2205788995823497</v>
      </c>
      <c r="H97" s="35">
        <v>0.45428639888276695</v>
      </c>
      <c r="I97" s="35">
        <v>707189</v>
      </c>
      <c r="J97" s="35">
        <v>1556703</v>
      </c>
    </row>
    <row r="98" spans="1:10">
      <c r="A98" s="2" t="s">
        <v>254</v>
      </c>
      <c r="B98" s="34">
        <v>21.175087417306631</v>
      </c>
      <c r="C98" s="35">
        <v>104.10220566456512</v>
      </c>
      <c r="D98" s="35">
        <v>248.28567064220184</v>
      </c>
      <c r="E98" s="35">
        <v>2.8851244044467973E-2</v>
      </c>
      <c r="F98" s="35">
        <v>2.9560311877721399E-3</v>
      </c>
      <c r="G98" s="35">
        <v>7.1633504764425622</v>
      </c>
      <c r="H98" s="35">
        <v>0.23987130193757572</v>
      </c>
      <c r="I98" s="35">
        <v>259967</v>
      </c>
      <c r="J98" s="35">
        <v>1083777</v>
      </c>
    </row>
    <row r="99" spans="1:10">
      <c r="A99" s="2" t="s">
        <v>257</v>
      </c>
      <c r="B99" s="34">
        <v>49.934312195409241</v>
      </c>
      <c r="C99" s="35">
        <v>66.689382558253868</v>
      </c>
      <c r="D99" s="35">
        <v>452.19847333333331</v>
      </c>
      <c r="E99" s="35">
        <v>4.0106951871657755E-2</v>
      </c>
      <c r="F99" s="35">
        <v>2.7532796419264122E-3</v>
      </c>
      <c r="G99" s="35">
        <v>18.136302406417112</v>
      </c>
      <c r="H99" s="35">
        <v>0.81956117096282921</v>
      </c>
      <c r="I99" s="35">
        <v>101710</v>
      </c>
      <c r="J99" s="35">
        <v>124103</v>
      </c>
    </row>
    <row r="100" spans="1:10">
      <c r="A100" s="2" t="s">
        <v>283</v>
      </c>
      <c r="B100" s="34">
        <v>32.733681992933903</v>
      </c>
      <c r="C100" s="35">
        <v>92.695155412149759</v>
      </c>
      <c r="D100" s="35">
        <v>998.30364999999995</v>
      </c>
      <c r="E100" s="35">
        <v>1.0840108401084011E-2</v>
      </c>
      <c r="F100" s="35">
        <v>3.0248133058996154E-3</v>
      </c>
      <c r="G100" s="35">
        <v>10.821719783197832</v>
      </c>
      <c r="H100" s="35">
        <v>0.43377436764942806</v>
      </c>
      <c r="I100" s="35">
        <v>43079</v>
      </c>
      <c r="J100" s="35">
        <v>99312</v>
      </c>
    </row>
    <row r="101" spans="1:10">
      <c r="A101" s="2" t="s">
        <v>233</v>
      </c>
      <c r="B101" s="34">
        <v>14.755489335292561</v>
      </c>
      <c r="C101" s="35">
        <v>28.058221103783406</v>
      </c>
      <c r="D101" s="35">
        <v>323.34294</v>
      </c>
      <c r="E101" s="35">
        <v>1.4492753623188406E-2</v>
      </c>
      <c r="F101" s="35">
        <v>3.1487582940118832E-3</v>
      </c>
      <c r="G101" s="35">
        <v>4.6861295652173913</v>
      </c>
      <c r="H101" s="35">
        <v>0.58854171986558124</v>
      </c>
      <c r="I101" s="35">
        <v>57620</v>
      </c>
      <c r="J101" s="35">
        <v>97903</v>
      </c>
    </row>
    <row r="102" spans="1:10">
      <c r="A102" s="2" t="s">
        <v>284</v>
      </c>
      <c r="B102" s="34">
        <v>41.334419427664898</v>
      </c>
      <c r="C102" s="35">
        <v>324.2842508377214</v>
      </c>
      <c r="D102" s="35">
        <v>790.33476666666672</v>
      </c>
      <c r="E102" s="35">
        <v>1.7142857142857144E-2</v>
      </c>
      <c r="F102" s="35">
        <v>3.0508267740557691E-3</v>
      </c>
      <c r="G102" s="35">
        <v>13.548596</v>
      </c>
      <c r="H102" s="35">
        <v>0.15883688343851493</v>
      </c>
      <c r="I102" s="35">
        <v>14623</v>
      </c>
      <c r="J102" s="35">
        <v>92063</v>
      </c>
    </row>
    <row r="103" spans="1:10">
      <c r="A103" s="2" t="s">
        <v>262</v>
      </c>
      <c r="B103" s="34">
        <v>58.422522060976128</v>
      </c>
      <c r="C103" s="35">
        <v>420.32222807281482</v>
      </c>
      <c r="D103" s="35">
        <v>620.86263333333341</v>
      </c>
      <c r="E103" s="35">
        <v>3.7499999999999999E-2</v>
      </c>
      <c r="F103" s="35">
        <v>2.5093053406381998E-3</v>
      </c>
      <c r="G103" s="35">
        <v>23.282348750000001</v>
      </c>
      <c r="H103" s="35">
        <v>0.15320080668395275</v>
      </c>
      <c r="I103" s="35">
        <v>13294</v>
      </c>
      <c r="J103" s="35">
        <v>86775</v>
      </c>
    </row>
    <row r="104" spans="1:10">
      <c r="A104" s="2" t="s">
        <v>219</v>
      </c>
      <c r="B104" s="34">
        <v>21.30528769692933</v>
      </c>
      <c r="C104" s="35">
        <v>54.422434027777776</v>
      </c>
      <c r="D104" s="35">
        <v>783.68304999999998</v>
      </c>
      <c r="E104" s="35">
        <v>1.015228426395939E-2</v>
      </c>
      <c r="F104" s="35">
        <v>2.6778310927453885E-3</v>
      </c>
      <c r="G104" s="35">
        <v>7.9561730964467001</v>
      </c>
      <c r="H104" s="35">
        <v>0.42003325263250008</v>
      </c>
      <c r="I104" s="35">
        <v>28800</v>
      </c>
      <c r="J104" s="35">
        <v>68566</v>
      </c>
    </row>
    <row r="105" spans="1:10">
      <c r="A105" s="2" t="s">
        <v>243</v>
      </c>
      <c r="B105" s="34">
        <v>19.931908789296202</v>
      </c>
      <c r="C105" s="35">
        <v>36.279477787402548</v>
      </c>
      <c r="D105" s="35">
        <v>1465.8723</v>
      </c>
      <c r="E105" s="35">
        <v>4.4843049327354259E-3</v>
      </c>
      <c r="F105" s="35">
        <v>3.0321984118350919E-3</v>
      </c>
      <c r="G105" s="35">
        <v>6.573418385650224</v>
      </c>
      <c r="H105" s="35">
        <v>0.59942735068094832</v>
      </c>
      <c r="I105" s="35">
        <v>40405</v>
      </c>
      <c r="J105" s="35">
        <v>67406</v>
      </c>
    </row>
    <row r="106" spans="1:10">
      <c r="A106" s="2" t="s">
        <v>213</v>
      </c>
      <c r="B106" s="34">
        <v>40.808662796918462</v>
      </c>
      <c r="C106" s="35">
        <v>148.00068393480791</v>
      </c>
      <c r="D106" s="35">
        <v>1017.0607</v>
      </c>
      <c r="E106" s="35">
        <v>1.0416666666666666E-2</v>
      </c>
      <c r="F106" s="35">
        <v>3.8519152578643271E-3</v>
      </c>
      <c r="G106" s="35">
        <v>10.594382291666667</v>
      </c>
      <c r="H106" s="35">
        <v>0.31448881837874121</v>
      </c>
      <c r="I106" s="35">
        <v>20616</v>
      </c>
      <c r="J106" s="35">
        <v>65554</v>
      </c>
    </row>
    <row r="107" spans="1:10">
      <c r="A107" s="2" t="s">
        <v>285</v>
      </c>
      <c r="B107" s="34">
        <v>22.98110314086669</v>
      </c>
      <c r="C107" s="35">
        <v>33.039419853159615</v>
      </c>
      <c r="D107" s="35">
        <v>519.00523333333331</v>
      </c>
      <c r="E107" s="35">
        <v>1.7241379310344827E-2</v>
      </c>
      <c r="F107" s="35">
        <v>2.5681898689337585E-3</v>
      </c>
      <c r="G107" s="35">
        <v>8.9483660919540231</v>
      </c>
      <c r="H107" s="35">
        <v>0.72412415488629378</v>
      </c>
      <c r="I107" s="35">
        <v>47126</v>
      </c>
      <c r="J107" s="35">
        <v>65080</v>
      </c>
    </row>
    <row r="108" spans="1:10">
      <c r="A108" s="2" t="s">
        <v>231</v>
      </c>
      <c r="B108" s="34">
        <v>51.424516458748293</v>
      </c>
      <c r="C108" s="35">
        <v>127.15250299711627</v>
      </c>
      <c r="D108" s="35">
        <v>560.61538571428571</v>
      </c>
      <c r="E108" s="35">
        <v>3.1390134529147982E-2</v>
      </c>
      <c r="F108" s="35">
        <v>2.9222140685606457E-3</v>
      </c>
      <c r="G108" s="35">
        <v>17.597792376681614</v>
      </c>
      <c r="H108" s="35">
        <v>0.48062727754072321</v>
      </c>
      <c r="I108" s="35">
        <v>30863</v>
      </c>
      <c r="J108" s="35">
        <v>64214</v>
      </c>
    </row>
    <row r="109" spans="1:10">
      <c r="A109" s="2" t="s">
        <v>286</v>
      </c>
      <c r="B109" s="34">
        <v>141.70442717134165</v>
      </c>
      <c r="C109" s="35">
        <v>165.85056561980855</v>
      </c>
      <c r="D109" s="35">
        <v>335.44271999999995</v>
      </c>
      <c r="E109" s="35">
        <v>0.1388888888888889</v>
      </c>
      <c r="F109" s="35">
        <v>3.0415680973301792E-3</v>
      </c>
      <c r="G109" s="35">
        <v>46.58926666666666</v>
      </c>
      <c r="H109" s="35">
        <v>0.89074445971179927</v>
      </c>
      <c r="I109" s="35">
        <v>50564</v>
      </c>
      <c r="J109" s="35">
        <v>56766</v>
      </c>
    </row>
    <row r="110" spans="1:10">
      <c r="A110" s="2" t="s">
        <v>273</v>
      </c>
      <c r="B110" s="34">
        <v>130.21519649613145</v>
      </c>
      <c r="C110" s="35">
        <v>604.53891130627426</v>
      </c>
      <c r="D110" s="35">
        <v>1528.15346</v>
      </c>
      <c r="E110" s="35">
        <v>2.1834061135371178E-2</v>
      </c>
      <c r="F110" s="35">
        <v>3.9026551688878283E-3</v>
      </c>
      <c r="G110" s="35">
        <v>33.365796069868999</v>
      </c>
      <c r="H110" s="35">
        <v>0.23837724675128721</v>
      </c>
      <c r="I110" s="35">
        <v>12639</v>
      </c>
      <c r="J110" s="35">
        <v>53021</v>
      </c>
    </row>
    <row r="111" spans="1:10">
      <c r="A111" s="2" t="s">
        <v>287</v>
      </c>
      <c r="B111" s="34">
        <v>32.159528092634964</v>
      </c>
      <c r="C111" s="35">
        <v>484.95077692915459</v>
      </c>
      <c r="D111" s="35">
        <v>1841.3580999999999</v>
      </c>
      <c r="E111" s="35">
        <v>5.9880239520958087E-3</v>
      </c>
      <c r="F111" s="35">
        <v>2.916673943797265E-3</v>
      </c>
      <c r="G111" s="35">
        <v>11.026096407185628</v>
      </c>
      <c r="H111" s="35">
        <v>7.3699534161490679E-2</v>
      </c>
      <c r="I111" s="35">
        <v>3797</v>
      </c>
      <c r="J111" s="35">
        <v>51520</v>
      </c>
    </row>
    <row r="112" spans="1:10">
      <c r="A112" s="2" t="s">
        <v>288</v>
      </c>
      <c r="B112" s="34">
        <v>27.131973165404361</v>
      </c>
      <c r="C112" s="35">
        <v>71.435337391239401</v>
      </c>
      <c r="D112" s="35">
        <v>637.6556333333333</v>
      </c>
      <c r="E112" s="35">
        <v>1.1111111111111112E-2</v>
      </c>
      <c r="F112" s="35">
        <v>3.8294613224406433E-3</v>
      </c>
      <c r="G112" s="35">
        <v>7.0850625925925925</v>
      </c>
      <c r="H112" s="35">
        <v>0.54760541491145553</v>
      </c>
      <c r="I112" s="35">
        <v>26779</v>
      </c>
      <c r="J112" s="35">
        <v>48902</v>
      </c>
    </row>
    <row r="113" spans="1:10">
      <c r="A113" s="2" t="s">
        <v>232</v>
      </c>
      <c r="B113" s="34">
        <v>130.69134302541079</v>
      </c>
      <c r="C113" s="35">
        <v>218.03741239521781</v>
      </c>
      <c r="D113" s="35">
        <v>576.96663636363633</v>
      </c>
      <c r="E113" s="35">
        <v>7.3333333333333334E-2</v>
      </c>
      <c r="F113" s="35">
        <v>3.088834891478934E-3</v>
      </c>
      <c r="G113" s="35">
        <v>42.310886666666669</v>
      </c>
      <c r="H113" s="35">
        <v>0.63875356594250599</v>
      </c>
      <c r="I113" s="35">
        <v>29108</v>
      </c>
      <c r="J113" s="35">
        <v>45570</v>
      </c>
    </row>
    <row r="114" spans="1:10">
      <c r="A114" s="2" t="s">
        <v>289</v>
      </c>
      <c r="B114" s="34">
        <v>37.184724845737307</v>
      </c>
      <c r="C114" s="35">
        <v>114.0092277992278</v>
      </c>
      <c r="D114" s="35">
        <v>492.13983333333334</v>
      </c>
      <c r="E114" s="35">
        <v>1.5789473684210527E-2</v>
      </c>
      <c r="F114" s="35">
        <v>4.7852915249968521E-3</v>
      </c>
      <c r="G114" s="35">
        <v>7.7706289473684205</v>
      </c>
      <c r="H114" s="35">
        <v>0.34052064159873785</v>
      </c>
      <c r="I114" s="35">
        <v>12950</v>
      </c>
      <c r="J114" s="35">
        <v>38030</v>
      </c>
    </row>
    <row r="115" spans="1:10">
      <c r="A115" s="2" t="s">
        <v>290</v>
      </c>
      <c r="B115" s="34">
        <v>178.00179784859958</v>
      </c>
      <c r="C115" s="35">
        <v>1121.2904280524403</v>
      </c>
      <c r="D115" s="35">
        <v>709.88896999999997</v>
      </c>
      <c r="E115" s="35">
        <v>0.08</v>
      </c>
      <c r="F115" s="35">
        <v>3.1343246157318023E-3</v>
      </c>
      <c r="G115" s="35">
        <v>56.7911176</v>
      </c>
      <c r="H115" s="35">
        <v>0.17467236860256588</v>
      </c>
      <c r="I115" s="35">
        <v>6331</v>
      </c>
      <c r="J115" s="35">
        <v>36245</v>
      </c>
    </row>
    <row r="116" spans="1:10">
      <c r="A116" s="2" t="s">
        <v>228</v>
      </c>
      <c r="B116" s="34">
        <v>300.38771784624845</v>
      </c>
      <c r="C116" s="35">
        <v>758.25799558288065</v>
      </c>
      <c r="D116" s="35">
        <v>635.15481</v>
      </c>
      <c r="E116" s="35">
        <v>6.0606060606060608E-2</v>
      </c>
      <c r="F116" s="35">
        <v>7.8034477050769706E-3</v>
      </c>
      <c r="G116" s="35">
        <v>38.494230909090909</v>
      </c>
      <c r="H116" s="35">
        <v>0.47315502584234753</v>
      </c>
      <c r="I116" s="35">
        <v>16753</v>
      </c>
      <c r="J116" s="35">
        <v>35407</v>
      </c>
    </row>
    <row r="117" spans="1:10">
      <c r="A117" s="2" t="s">
        <v>291</v>
      </c>
      <c r="B117" s="34">
        <v>195.8011578869488</v>
      </c>
      <c r="C117" s="35">
        <v>241.76206550038822</v>
      </c>
      <c r="D117" s="35">
        <v>1058.5793799999999</v>
      </c>
      <c r="E117" s="35">
        <v>4.5454545454545456E-2</v>
      </c>
      <c r="F117" s="35">
        <v>4.0692512577685707E-3</v>
      </c>
      <c r="G117" s="35">
        <v>48.11724454545454</v>
      </c>
      <c r="H117" s="35">
        <v>0.83794542044628162</v>
      </c>
      <c r="I117" s="35">
        <v>21893</v>
      </c>
      <c r="J117" s="35">
        <v>26127</v>
      </c>
    </row>
    <row r="118" spans="1:10">
      <c r="A118" s="2" t="s">
        <v>208</v>
      </c>
      <c r="B118" s="34">
        <v>271.61613901452034</v>
      </c>
      <c r="C118" s="35">
        <v>1908.1260869565217</v>
      </c>
      <c r="D118" s="35">
        <v>360.33454736842106</v>
      </c>
      <c r="E118" s="35">
        <v>0.25333333333333335</v>
      </c>
      <c r="F118" s="35">
        <v>2.9754820280885504E-3</v>
      </c>
      <c r="G118" s="35">
        <v>91.284751999999997</v>
      </c>
      <c r="H118" s="35">
        <v>0.15231788079470199</v>
      </c>
      <c r="I118" s="35">
        <v>3588</v>
      </c>
      <c r="J118" s="35">
        <v>23556</v>
      </c>
    </row>
    <row r="119" spans="1:10">
      <c r="A119" s="2" t="s">
        <v>292</v>
      </c>
      <c r="B119" s="34">
        <v>254.21940658182092</v>
      </c>
      <c r="C119" s="35">
        <v>428.3712327897976</v>
      </c>
      <c r="D119" s="35">
        <v>482.25421428571428</v>
      </c>
      <c r="E119" s="35">
        <v>0.12612612612612611</v>
      </c>
      <c r="F119" s="35">
        <v>4.1795315912342796E-3</v>
      </c>
      <c r="G119" s="35">
        <v>60.824855855855859</v>
      </c>
      <c r="H119" s="35">
        <v>0.6697688254292028</v>
      </c>
      <c r="I119" s="35">
        <v>15761</v>
      </c>
      <c r="J119" s="35">
        <v>23532</v>
      </c>
    </row>
    <row r="120" spans="1:10">
      <c r="A120" s="2" t="s">
        <v>268</v>
      </c>
      <c r="B120" s="34">
        <v>195.18482821419818</v>
      </c>
      <c r="C120" s="35">
        <v>489.29871817383668</v>
      </c>
      <c r="D120" s="35">
        <v>428.70095384615382</v>
      </c>
      <c r="E120" s="35">
        <v>0.14444444444444443</v>
      </c>
      <c r="F120" s="35">
        <v>3.1520330613245542E-3</v>
      </c>
      <c r="G120" s="35">
        <v>61.923471111111112</v>
      </c>
      <c r="H120" s="35">
        <v>0.48769000214086922</v>
      </c>
      <c r="I120" s="35">
        <v>11390</v>
      </c>
      <c r="J120" s="35">
        <v>23355</v>
      </c>
    </row>
    <row r="121" spans="1:10">
      <c r="A121" s="2" t="s">
        <v>277</v>
      </c>
      <c r="B121" s="34">
        <v>82.451110636480138</v>
      </c>
      <c r="C121" s="35">
        <v>141.65422721268163</v>
      </c>
      <c r="D121" s="35">
        <v>321.69675000000001</v>
      </c>
      <c r="E121" s="35">
        <v>9.0909090909090912E-2</v>
      </c>
      <c r="F121" s="35">
        <v>2.8193079880392993E-3</v>
      </c>
      <c r="G121" s="35">
        <v>29.245159090909091</v>
      </c>
      <c r="H121" s="35">
        <v>0.61631009995929265</v>
      </c>
      <c r="I121" s="35">
        <v>13626</v>
      </c>
      <c r="J121" s="35">
        <v>22109</v>
      </c>
    </row>
    <row r="122" spans="1:10">
      <c r="A122" s="2" t="s">
        <v>293</v>
      </c>
      <c r="B122" s="34">
        <v>245.32203319502077</v>
      </c>
      <c r="C122" s="35">
        <v>520.67468075737565</v>
      </c>
      <c r="D122" s="35">
        <v>1182.4522000000002</v>
      </c>
      <c r="E122" s="35">
        <v>4.5454545454545456E-2</v>
      </c>
      <c r="F122" s="35">
        <v>4.5643153526970957E-3</v>
      </c>
      <c r="G122" s="35">
        <v>53.747827272727278</v>
      </c>
      <c r="H122" s="35">
        <v>0.5223091076356946</v>
      </c>
      <c r="I122" s="35">
        <v>11355</v>
      </c>
      <c r="J122" s="35">
        <v>21740</v>
      </c>
    </row>
    <row r="123" spans="1:10">
      <c r="A123" s="2" t="s">
        <v>281</v>
      </c>
      <c r="B123" s="34">
        <v>321.31158834586466</v>
      </c>
      <c r="C123" s="35">
        <v>446.63339212228101</v>
      </c>
      <c r="D123" s="35">
        <v>1139.5851</v>
      </c>
      <c r="E123" s="35">
        <v>8.5714285714285715E-2</v>
      </c>
      <c r="F123" s="35">
        <v>3.2894736842105261E-3</v>
      </c>
      <c r="G123" s="35">
        <v>97.678722857142859</v>
      </c>
      <c r="H123" s="35">
        <v>0.75622406639004147</v>
      </c>
      <c r="I123" s="35">
        <v>15309</v>
      </c>
      <c r="J123" s="35">
        <v>20244</v>
      </c>
    </row>
    <row r="124" spans="1:10">
      <c r="A124" s="2" t="s">
        <v>294</v>
      </c>
      <c r="B124" s="34">
        <v>77.580764061207603</v>
      </c>
      <c r="C124" s="35">
        <v>637.79103272418183</v>
      </c>
      <c r="D124" s="35">
        <v>150.07222999999999</v>
      </c>
      <c r="E124" s="35">
        <v>0.14705882352941177</v>
      </c>
      <c r="F124" s="35">
        <v>3.5153019023986768E-3</v>
      </c>
      <c r="G124" s="35">
        <v>22.069445588235293</v>
      </c>
      <c r="H124" s="35">
        <v>0.12885384152017962</v>
      </c>
      <c r="I124" s="35">
        <v>2353</v>
      </c>
      <c r="J124" s="35">
        <v>18261</v>
      </c>
    </row>
    <row r="125" spans="1:10">
      <c r="A125" s="2" t="s">
        <v>279</v>
      </c>
      <c r="B125" s="34">
        <v>376.39197068992206</v>
      </c>
      <c r="C125" s="35">
        <v>599.44937541091394</v>
      </c>
      <c r="D125" s="35">
        <v>75.19690721649485</v>
      </c>
      <c r="E125" s="35">
        <v>1.9795918367346939</v>
      </c>
      <c r="F125" s="35">
        <v>2.528510243046597E-3</v>
      </c>
      <c r="G125" s="35">
        <v>148.8591836734694</v>
      </c>
      <c r="H125" s="35">
        <v>0.7323062108810785</v>
      </c>
      <c r="I125" s="35">
        <v>12168</v>
      </c>
      <c r="J125" s="35">
        <v>16616</v>
      </c>
    </row>
    <row r="126" spans="1:10">
      <c r="A126" s="2" t="s">
        <v>295</v>
      </c>
      <c r="B126" s="34">
        <v>225.72065050038492</v>
      </c>
      <c r="C126" s="35">
        <v>1684.3147438966014</v>
      </c>
      <c r="D126" s="35">
        <v>390.94816666666668</v>
      </c>
      <c r="E126" s="35">
        <v>0.1125</v>
      </c>
      <c r="F126" s="35">
        <v>5.1321529381575569E-3</v>
      </c>
      <c r="G126" s="35">
        <v>43.981668749999997</v>
      </c>
      <c r="H126" s="35">
        <v>0.14381109734269584</v>
      </c>
      <c r="I126" s="35">
        <v>2089</v>
      </c>
      <c r="J126" s="35">
        <v>14526</v>
      </c>
    </row>
    <row r="127" spans="1:10">
      <c r="A127" s="2" t="s">
        <v>296</v>
      </c>
      <c r="B127" s="34">
        <v>113.71684327941998</v>
      </c>
      <c r="C127" s="35">
        <v>231.17267573696145</v>
      </c>
      <c r="D127" s="35">
        <v>458.76217500000001</v>
      </c>
      <c r="E127" s="35">
        <v>0.1</v>
      </c>
      <c r="F127" s="35">
        <v>2.4787754849104541E-3</v>
      </c>
      <c r="G127" s="35">
        <v>45.876217500000003</v>
      </c>
      <c r="H127" s="35">
        <v>0.56578759800427658</v>
      </c>
      <c r="I127" s="35">
        <v>7938</v>
      </c>
      <c r="J127" s="35">
        <v>14030</v>
      </c>
    </row>
    <row r="128" spans="1:10">
      <c r="A128" s="2" t="s">
        <v>297</v>
      </c>
      <c r="B128" s="34">
        <v>105.80863155073048</v>
      </c>
      <c r="C128" s="35">
        <v>147.3794828712779</v>
      </c>
      <c r="D128" s="35">
        <v>315.77528000000001</v>
      </c>
      <c r="E128" s="35">
        <v>5.0505050505050504E-2</v>
      </c>
      <c r="F128" s="35">
        <v>6.6344993968636915E-3</v>
      </c>
      <c r="G128" s="35">
        <v>15.948246464646466</v>
      </c>
      <c r="H128" s="35">
        <v>0.76565180102915953</v>
      </c>
      <c r="I128" s="35">
        <v>10713</v>
      </c>
      <c r="J128" s="35">
        <v>13992</v>
      </c>
    </row>
    <row r="129" spans="1:10">
      <c r="A129" s="2" t="s">
        <v>298</v>
      </c>
      <c r="B129" s="34">
        <v>427.6237628545793</v>
      </c>
      <c r="C129" s="35">
        <v>497.53799887577287</v>
      </c>
      <c r="D129" s="35">
        <v>619.58407</v>
      </c>
      <c r="E129" s="35">
        <v>0.27027027027027029</v>
      </c>
      <c r="F129" s="35">
        <v>2.5536613983021604E-3</v>
      </c>
      <c r="G129" s="35">
        <v>167.45515405405405</v>
      </c>
      <c r="H129" s="35">
        <v>0.89764290348158293</v>
      </c>
      <c r="I129" s="35">
        <v>12453</v>
      </c>
      <c r="J129" s="35">
        <v>13873</v>
      </c>
    </row>
    <row r="130" spans="1:10">
      <c r="A130" s="2" t="s">
        <v>299</v>
      </c>
      <c r="B130" s="34">
        <v>442.71002006781532</v>
      </c>
      <c r="C130" s="35">
        <v>1141.2062968248304</v>
      </c>
      <c r="D130" s="35">
        <v>799.7003125</v>
      </c>
      <c r="E130" s="35">
        <v>0.16</v>
      </c>
      <c r="F130" s="35">
        <v>3.4599681682928518E-3</v>
      </c>
      <c r="G130" s="35">
        <v>127.95205</v>
      </c>
      <c r="H130" s="35">
        <v>0.41646237278062553</v>
      </c>
      <c r="I130" s="35">
        <v>5606</v>
      </c>
      <c r="J130" s="35">
        <v>13461</v>
      </c>
    </row>
    <row r="131" spans="1:10">
      <c r="A131" s="2" t="s">
        <v>236</v>
      </c>
      <c r="B131" s="34">
        <v>205.37812566109585</v>
      </c>
      <c r="C131" s="35">
        <v>409.86028708133972</v>
      </c>
      <c r="D131" s="35">
        <v>171.32159999999999</v>
      </c>
      <c r="E131" s="35">
        <v>0.26153846153846155</v>
      </c>
      <c r="F131" s="35">
        <v>4.5835977716663142E-3</v>
      </c>
      <c r="G131" s="35">
        <v>44.807187692307693</v>
      </c>
      <c r="H131" s="35">
        <v>0.53878231859883241</v>
      </c>
      <c r="I131" s="35">
        <v>7106</v>
      </c>
      <c r="J131" s="35">
        <v>13189</v>
      </c>
    </row>
    <row r="132" spans="1:10">
      <c r="A132" s="2" t="s">
        <v>241</v>
      </c>
      <c r="B132" s="34">
        <v>148.37227007299271</v>
      </c>
      <c r="C132" s="35">
        <v>563.23083956774735</v>
      </c>
      <c r="D132" s="35">
        <v>508.17502500000001</v>
      </c>
      <c r="E132" s="35">
        <v>6.3492063492063489E-2</v>
      </c>
      <c r="F132" s="35">
        <v>4.5985401459854016E-3</v>
      </c>
      <c r="G132" s="35">
        <v>32.265080952380956</v>
      </c>
      <c r="H132" s="35">
        <v>0.2854318253717178</v>
      </c>
      <c r="I132" s="35">
        <v>3609</v>
      </c>
      <c r="J132" s="35">
        <v>12644</v>
      </c>
    </row>
    <row r="133" spans="1:10">
      <c r="A133" s="2" t="s">
        <v>224</v>
      </c>
      <c r="B133" s="34">
        <v>120.80568614993646</v>
      </c>
      <c r="C133" s="35">
        <v>203.58474304068523</v>
      </c>
      <c r="D133" s="35">
        <v>380.29629999999997</v>
      </c>
      <c r="E133" s="35">
        <v>6.3492063492063489E-2</v>
      </c>
      <c r="F133" s="35">
        <v>5.0031766200762393E-3</v>
      </c>
      <c r="G133" s="35">
        <v>24.145796825396825</v>
      </c>
      <c r="H133" s="35">
        <v>0.63934285958757597</v>
      </c>
      <c r="I133" s="35">
        <v>7472</v>
      </c>
      <c r="J133" s="35">
        <v>11687</v>
      </c>
    </row>
    <row r="134" spans="1:10">
      <c r="A134" s="2" t="s">
        <v>300</v>
      </c>
      <c r="B134" s="34">
        <v>430.53168259723134</v>
      </c>
      <c r="C134" s="35">
        <v>2501.164432742939</v>
      </c>
      <c r="D134" s="35">
        <v>1741.6441666666667</v>
      </c>
      <c r="E134" s="35">
        <v>3.0927835051546393E-2</v>
      </c>
      <c r="F134" s="35">
        <v>7.9927488464073826E-3</v>
      </c>
      <c r="G134" s="35">
        <v>53.865283505154636</v>
      </c>
      <c r="H134" s="35">
        <v>0.18165217391304347</v>
      </c>
      <c r="I134" s="35">
        <v>2089</v>
      </c>
      <c r="J134" s="35">
        <v>11500</v>
      </c>
    </row>
    <row r="135" spans="1:10">
      <c r="A135" s="2" t="s">
        <v>301</v>
      </c>
      <c r="B135" s="34">
        <v>459.82556083183232</v>
      </c>
      <c r="C135" s="35">
        <v>1044.7004092261905</v>
      </c>
      <c r="D135" s="35">
        <v>802.32991428571427</v>
      </c>
      <c r="E135" s="35">
        <v>0.14000000000000001</v>
      </c>
      <c r="F135" s="35">
        <v>4.0936630096610445E-3</v>
      </c>
      <c r="G135" s="35">
        <v>112.326188</v>
      </c>
      <c r="H135" s="35">
        <v>0.46788511749347256</v>
      </c>
      <c r="I135" s="35">
        <v>5376</v>
      </c>
      <c r="J135" s="35">
        <v>11490</v>
      </c>
    </row>
    <row r="136" spans="1:10">
      <c r="A136" s="2" t="s">
        <v>302</v>
      </c>
      <c r="B136" s="34">
        <v>268.60829725363487</v>
      </c>
      <c r="C136" s="35">
        <v>690.59867087556074</v>
      </c>
      <c r="D136" s="35">
        <v>461.8570444444444</v>
      </c>
      <c r="E136" s="35">
        <v>8.1818181818181818E-2</v>
      </c>
      <c r="F136" s="35">
        <v>7.1082390953150238E-3</v>
      </c>
      <c r="G136" s="35">
        <v>37.788303636363636</v>
      </c>
      <c r="H136" s="35">
        <v>0.54957998539079622</v>
      </c>
      <c r="I136" s="35">
        <v>6019</v>
      </c>
      <c r="J136" s="35">
        <v>10952</v>
      </c>
    </row>
    <row r="137" spans="1:10">
      <c r="A137" s="2" t="s">
        <v>303</v>
      </c>
      <c r="B137" s="34">
        <v>260.42671755725195</v>
      </c>
      <c r="C137" s="35">
        <v>524.29537421238672</v>
      </c>
      <c r="D137" s="35">
        <v>682.31799999999998</v>
      </c>
      <c r="E137" s="35">
        <v>6.25E-2</v>
      </c>
      <c r="F137" s="35">
        <v>6.1068702290076335E-3</v>
      </c>
      <c r="G137" s="35">
        <v>42.644874999999999</v>
      </c>
      <c r="H137" s="35">
        <v>0.59724644332262511</v>
      </c>
      <c r="I137" s="35">
        <v>6507</v>
      </c>
      <c r="J137" s="35">
        <v>10895</v>
      </c>
    </row>
    <row r="138" spans="1:10">
      <c r="A138" s="2" t="s">
        <v>304</v>
      </c>
      <c r="B138" s="34">
        <v>590.26153336488392</v>
      </c>
      <c r="C138" s="35">
        <v>998.09748719590266</v>
      </c>
      <c r="D138" s="35">
        <v>692.90145555555546</v>
      </c>
      <c r="E138" s="35">
        <v>0.13636363636363635</v>
      </c>
      <c r="F138" s="35">
        <v>6.2470421202082344E-3</v>
      </c>
      <c r="G138" s="35">
        <v>94.486562121212117</v>
      </c>
      <c r="H138" s="35">
        <v>0.61611280938763435</v>
      </c>
      <c r="I138" s="35">
        <v>6248</v>
      </c>
      <c r="J138" s="35">
        <v>10141</v>
      </c>
    </row>
    <row r="139" spans="1:10">
      <c r="A139" s="2" t="s">
        <v>305</v>
      </c>
      <c r="B139" s="34">
        <v>551.8302230893205</v>
      </c>
      <c r="C139" s="35">
        <v>1051.4831905608535</v>
      </c>
      <c r="D139" s="35">
        <v>2168.5088333333333</v>
      </c>
      <c r="E139" s="35">
        <v>0.15</v>
      </c>
      <c r="F139" s="35">
        <v>1.6964967342437867E-3</v>
      </c>
      <c r="G139" s="35">
        <v>325.27632499999999</v>
      </c>
      <c r="H139" s="35">
        <v>0.6169724770642202</v>
      </c>
      <c r="I139" s="35">
        <v>6187</v>
      </c>
      <c r="J139" s="35">
        <v>10028</v>
      </c>
    </row>
    <row r="140" spans="1:10">
      <c r="A140" s="2" t="s">
        <v>306</v>
      </c>
      <c r="B140" s="34">
        <v>133.90899752361736</v>
      </c>
      <c r="C140" s="35">
        <v>386.65513771186443</v>
      </c>
      <c r="D140" s="35">
        <v>730.00490000000002</v>
      </c>
      <c r="E140" s="35">
        <v>5.7142857142857141E-2</v>
      </c>
      <c r="F140" s="35">
        <v>3.2101256534898654E-3</v>
      </c>
      <c r="G140" s="35">
        <v>41.714565714285719</v>
      </c>
      <c r="H140" s="35">
        <v>0.39411334933722991</v>
      </c>
      <c r="I140" s="35">
        <v>3776</v>
      </c>
      <c r="J140" s="35">
        <v>9581</v>
      </c>
    </row>
    <row r="141" spans="1:10">
      <c r="A141" s="2" t="s">
        <v>307</v>
      </c>
      <c r="B141" s="34">
        <v>129.53139329805995</v>
      </c>
      <c r="C141" s="35">
        <v>649.47059690493734</v>
      </c>
      <c r="D141" s="35">
        <v>1762.6632</v>
      </c>
      <c r="E141" s="35">
        <v>1.5151515151515152E-2</v>
      </c>
      <c r="F141" s="35">
        <v>4.8500881834215165E-3</v>
      </c>
      <c r="G141" s="35">
        <v>26.707018181818182</v>
      </c>
      <c r="H141" s="35">
        <v>0.29082726103729106</v>
      </c>
      <c r="I141" s="35">
        <v>2714</v>
      </c>
      <c r="J141" s="35">
        <v>9332</v>
      </c>
    </row>
    <row r="142" spans="1:10">
      <c r="A142" s="2" t="s">
        <v>308</v>
      </c>
      <c r="B142" s="34">
        <v>781.08233283486436</v>
      </c>
      <c r="C142" s="35">
        <v>1405.7079584775088</v>
      </c>
      <c r="D142" s="35">
        <v>1218.7488000000001</v>
      </c>
      <c r="E142" s="35">
        <v>0.15384615384615385</v>
      </c>
      <c r="F142" s="35">
        <v>4.1657765434736172E-3</v>
      </c>
      <c r="G142" s="35">
        <v>187.49981538461537</v>
      </c>
      <c r="H142" s="35">
        <v>0.58266129032258063</v>
      </c>
      <c r="I142" s="35">
        <v>5202</v>
      </c>
      <c r="J142" s="35">
        <v>8928</v>
      </c>
    </row>
    <row r="143" spans="1:10">
      <c r="A143" s="2" t="s">
        <v>309</v>
      </c>
      <c r="B143" s="34">
        <v>654.51232850241547</v>
      </c>
      <c r="C143" s="35">
        <v>9369.5748271092671</v>
      </c>
      <c r="D143" s="35">
        <v>483.87161428571426</v>
      </c>
      <c r="E143" s="35">
        <v>0.21212121212121213</v>
      </c>
      <c r="F143" s="35">
        <v>6.3768115942028983E-3</v>
      </c>
      <c r="G143" s="35">
        <v>102.63943333333333</v>
      </c>
      <c r="H143" s="35">
        <v>8.2912844036697242E-2</v>
      </c>
      <c r="I143" s="35">
        <v>723</v>
      </c>
      <c r="J143" s="35">
        <v>8720</v>
      </c>
    </row>
    <row r="144" spans="1:10">
      <c r="A144" s="2" t="s">
        <v>310</v>
      </c>
      <c r="B144" s="34">
        <v>544.68560706401774</v>
      </c>
      <c r="C144" s="35">
        <v>950.83845857418112</v>
      </c>
      <c r="D144" s="35">
        <v>352.48939999999999</v>
      </c>
      <c r="E144" s="35">
        <v>0.46666666666666667</v>
      </c>
      <c r="F144" s="35">
        <v>3.3112582781456954E-3</v>
      </c>
      <c r="G144" s="35">
        <v>164.49505333333335</v>
      </c>
      <c r="H144" s="35">
        <v>0.60201832734021576</v>
      </c>
      <c r="I144" s="35">
        <v>5190</v>
      </c>
      <c r="J144" s="35">
        <v>8621</v>
      </c>
    </row>
    <row r="145" spans="1:10">
      <c r="A145" s="2" t="s">
        <v>311</v>
      </c>
      <c r="B145" s="34">
        <v>167.22468968630108</v>
      </c>
      <c r="C145" s="35">
        <v>1090.4674025018396</v>
      </c>
      <c r="D145" s="35">
        <v>1481.9452000000001</v>
      </c>
      <c r="E145" s="35">
        <v>3.3333333333333333E-2</v>
      </c>
      <c r="F145" s="35">
        <v>3.3852403520649968E-3</v>
      </c>
      <c r="G145" s="35">
        <v>49.398173333333339</v>
      </c>
      <c r="H145" s="35">
        <v>0.1910317683441102</v>
      </c>
      <c r="I145" s="35">
        <v>1359</v>
      </c>
      <c r="J145" s="35">
        <v>7114</v>
      </c>
    </row>
    <row r="146" spans="1:10">
      <c r="A146" s="2" t="s">
        <v>312</v>
      </c>
      <c r="B146" s="34">
        <v>257.21131323861374</v>
      </c>
      <c r="C146" s="35">
        <v>633.23255966001955</v>
      </c>
      <c r="D146" s="35">
        <v>1937.0583999999999</v>
      </c>
      <c r="E146" s="35">
        <v>0.1</v>
      </c>
      <c r="F146" s="35">
        <v>1.3278449077147789E-3</v>
      </c>
      <c r="G146" s="35">
        <v>193.70583999999999</v>
      </c>
      <c r="H146" s="35">
        <v>0.46895600183964431</v>
      </c>
      <c r="I146" s="35">
        <v>3059</v>
      </c>
      <c r="J146" s="35">
        <v>6523</v>
      </c>
    </row>
    <row r="147" spans="1:10">
      <c r="A147" s="2" t="s">
        <v>251</v>
      </c>
      <c r="B147" s="34">
        <v>55.962179256764855</v>
      </c>
      <c r="C147" s="35">
        <v>6468.1592565597675</v>
      </c>
      <c r="D147" s="35">
        <v>369.76310416666666</v>
      </c>
      <c r="E147" s="35">
        <v>6.3492063492063489E-2</v>
      </c>
      <c r="F147" s="35">
        <v>2.383700032161032E-3</v>
      </c>
      <c r="G147" s="35">
        <v>23.477022486772487</v>
      </c>
      <c r="H147" s="35">
        <v>0.30327144120247568</v>
      </c>
      <c r="I147" s="35">
        <v>1372</v>
      </c>
      <c r="J147" s="35">
        <v>4524</v>
      </c>
    </row>
    <row r="148" spans="1:10">
      <c r="A148" s="1" t="s">
        <v>313</v>
      </c>
      <c r="B148" s="35"/>
      <c r="C148" s="35"/>
      <c r="D148" s="35"/>
      <c r="E148" s="35"/>
      <c r="F148" s="35"/>
      <c r="G148" s="35"/>
      <c r="H148" s="35"/>
      <c r="I148" s="35"/>
      <c r="J148" s="35"/>
    </row>
    <row r="149" spans="1:10">
      <c r="A149" s="2" t="s">
        <v>213</v>
      </c>
      <c r="B149" s="34">
        <v>79.225252212442086</v>
      </c>
      <c r="C149" s="35">
        <v>4684.1651408450707</v>
      </c>
      <c r="D149" s="35">
        <v>350.07971052631581</v>
      </c>
      <c r="E149" s="35">
        <v>0.10270270270270271</v>
      </c>
      <c r="F149" s="35">
        <v>2.2035089390997774E-3</v>
      </c>
      <c r="G149" s="35">
        <v>35.954132432432431</v>
      </c>
      <c r="H149" s="35">
        <v>2.0506599659186091E-2</v>
      </c>
      <c r="I149" s="35">
        <v>1420</v>
      </c>
      <c r="J149" s="35">
        <v>69246</v>
      </c>
    </row>
    <row r="150" spans="1:10">
      <c r="A150" s="2" t="s">
        <v>281</v>
      </c>
      <c r="B150" s="34">
        <v>86.100450958286345</v>
      </c>
      <c r="C150" s="35">
        <v>128.05348759221999</v>
      </c>
      <c r="D150" s="35">
        <v>318.21291666666667</v>
      </c>
      <c r="E150" s="35">
        <v>4.2857142857142858E-2</v>
      </c>
      <c r="F150" s="35">
        <v>6.3134160090191661E-3</v>
      </c>
      <c r="G150" s="35">
        <v>13.637696428571427</v>
      </c>
      <c r="H150" s="35">
        <v>0.74275181827239212</v>
      </c>
      <c r="I150" s="35">
        <v>14910</v>
      </c>
      <c r="J150" s="35">
        <v>20074</v>
      </c>
    </row>
    <row r="151" spans="1:10">
      <c r="A151" s="2" t="s">
        <v>314</v>
      </c>
      <c r="B151" s="34">
        <v>159.36845571287455</v>
      </c>
      <c r="C151" s="35">
        <v>243.52301886792455</v>
      </c>
      <c r="D151" s="35">
        <v>215.11199999999999</v>
      </c>
      <c r="E151" s="35">
        <v>0.22500000000000001</v>
      </c>
      <c r="F151" s="35">
        <v>3.2927230819888046E-3</v>
      </c>
      <c r="G151" s="35">
        <v>48.400199999999998</v>
      </c>
      <c r="H151" s="35">
        <v>0.69982394366197187</v>
      </c>
      <c r="I151" s="35">
        <v>7950</v>
      </c>
      <c r="J151" s="35">
        <v>11360</v>
      </c>
    </row>
    <row r="152" spans="1:10">
      <c r="A152" s="2" t="s">
        <v>315</v>
      </c>
      <c r="B152" s="34">
        <v>427.48296745619103</v>
      </c>
      <c r="C152" s="35">
        <v>755.58851259360108</v>
      </c>
      <c r="D152" s="35">
        <v>295.98920666666669</v>
      </c>
      <c r="E152" s="35">
        <v>0.23076923076923078</v>
      </c>
      <c r="F152" s="35">
        <v>6.25842480261891E-3</v>
      </c>
      <c r="G152" s="35">
        <v>68.305201538461532</v>
      </c>
      <c r="H152" s="35">
        <v>0.58479299363057324</v>
      </c>
      <c r="I152" s="35">
        <v>5876</v>
      </c>
      <c r="J152" s="35">
        <v>10048</v>
      </c>
    </row>
    <row r="153" spans="1:10">
      <c r="A153" s="2" t="s">
        <v>247</v>
      </c>
      <c r="B153" s="34">
        <v>683.44795350685467</v>
      </c>
      <c r="C153" s="35">
        <v>985.89668959587277</v>
      </c>
      <c r="D153" s="35">
        <v>362.08353157894737</v>
      </c>
      <c r="E153" s="35">
        <v>0.30158730158730157</v>
      </c>
      <c r="F153" s="35">
        <v>6.2586926286509036E-3</v>
      </c>
      <c r="G153" s="35">
        <v>109.19979523809523</v>
      </c>
      <c r="H153" s="35">
        <v>0.74479666986871595</v>
      </c>
      <c r="I153" s="35">
        <v>6978</v>
      </c>
      <c r="J153" s="35">
        <v>9369</v>
      </c>
    </row>
    <row r="154" spans="1:10">
      <c r="A154" s="2" t="s">
        <v>316</v>
      </c>
      <c r="B154" s="34">
        <v>192.1629030495136</v>
      </c>
      <c r="C154" s="35">
        <v>384.87267950963223</v>
      </c>
      <c r="D154" s="35">
        <v>439.52460000000002</v>
      </c>
      <c r="E154" s="35">
        <v>0.1</v>
      </c>
      <c r="F154" s="35">
        <v>4.3720625204940432E-3</v>
      </c>
      <c r="G154" s="35">
        <v>43.952460000000002</v>
      </c>
      <c r="H154" s="35">
        <v>0.52821461609620723</v>
      </c>
      <c r="I154" s="35">
        <v>4568</v>
      </c>
      <c r="J154" s="35">
        <v>8648</v>
      </c>
    </row>
    <row r="155" spans="1:10">
      <c r="A155" s="2" t="s">
        <v>317</v>
      </c>
      <c r="B155" s="34">
        <v>170.80105391613046</v>
      </c>
      <c r="C155" s="35">
        <v>304.63013454689354</v>
      </c>
      <c r="D155" s="35">
        <v>384.90017499999999</v>
      </c>
      <c r="E155" s="35">
        <v>0.15384615384615385</v>
      </c>
      <c r="F155" s="35">
        <v>2.8844020412691369E-3</v>
      </c>
      <c r="G155" s="35">
        <v>59.215411538461538</v>
      </c>
      <c r="H155" s="35">
        <v>0.6993219869932199</v>
      </c>
      <c r="I155" s="35">
        <v>5054</v>
      </c>
      <c r="J155" s="35">
        <v>7227</v>
      </c>
    </row>
    <row r="156" spans="1:10">
      <c r="A156" s="1" t="s">
        <v>38</v>
      </c>
      <c r="B156" s="35"/>
      <c r="C156" s="35"/>
      <c r="D156" s="35"/>
      <c r="E156" s="35"/>
      <c r="F156" s="35"/>
      <c r="G156" s="35"/>
      <c r="H156" s="35"/>
      <c r="I156" s="35"/>
      <c r="J156" s="35"/>
    </row>
    <row r="157" spans="1:10">
      <c r="A157" s="2" t="s">
        <v>211</v>
      </c>
      <c r="B157" s="34">
        <v>6.497664854700461</v>
      </c>
      <c r="C157" s="35">
        <v>12.434206864893596</v>
      </c>
      <c r="D157" s="35">
        <v>121.51639513888888</v>
      </c>
      <c r="E157" s="35">
        <v>2.1342819030680301E-2</v>
      </c>
      <c r="F157" s="35">
        <v>2.5053629322883617E-3</v>
      </c>
      <c r="G157" s="35">
        <v>2.593502430709945</v>
      </c>
      <c r="H157" s="35">
        <v>0.59434256305257316</v>
      </c>
      <c r="I157" s="35">
        <v>1407276</v>
      </c>
      <c r="J157" s="35">
        <v>2367786</v>
      </c>
    </row>
    <row r="158" spans="1:10">
      <c r="A158" s="2" t="s">
        <v>215</v>
      </c>
      <c r="B158" s="34">
        <v>13.171378963554355</v>
      </c>
      <c r="C158" s="35">
        <v>32.933104628207943</v>
      </c>
      <c r="D158" s="35">
        <v>141.11092481203008</v>
      </c>
      <c r="E158" s="35">
        <v>4.0561146691064351E-2</v>
      </c>
      <c r="F158" s="35">
        <v>2.3012318854310756E-3</v>
      </c>
      <c r="G158" s="35">
        <v>5.723620921012504</v>
      </c>
      <c r="H158" s="35">
        <v>0.44571871482840369</v>
      </c>
      <c r="I158" s="35">
        <v>569875</v>
      </c>
      <c r="J158" s="35">
        <v>1278553</v>
      </c>
    </row>
    <row r="159" spans="1:10">
      <c r="A159" s="2" t="s">
        <v>241</v>
      </c>
      <c r="B159" s="34">
        <v>34.607062352612196</v>
      </c>
      <c r="C159" s="35">
        <v>129.28836263484561</v>
      </c>
      <c r="D159" s="35">
        <v>317.02392054794524</v>
      </c>
      <c r="E159" s="35">
        <v>3.8891848694725624E-2</v>
      </c>
      <c r="F159" s="35">
        <v>2.8068171112662979E-3</v>
      </c>
      <c r="G159" s="35">
        <v>12.329646350559404</v>
      </c>
      <c r="H159" s="35">
        <v>0.30539210250198334</v>
      </c>
      <c r="I159" s="35">
        <v>179001</v>
      </c>
      <c r="J159" s="35">
        <v>586135</v>
      </c>
    </row>
    <row r="160" spans="1:10">
      <c r="A160" s="2" t="s">
        <v>257</v>
      </c>
      <c r="B160" s="34">
        <v>27.055932807743194</v>
      </c>
      <c r="C160" s="35">
        <v>38.56676306251358</v>
      </c>
      <c r="D160" s="35">
        <v>500.10924090909089</v>
      </c>
      <c r="E160" s="35">
        <v>2.8683181225554105E-2</v>
      </c>
      <c r="F160" s="35">
        <v>1.8861243219051086E-3</v>
      </c>
      <c r="G160" s="35">
        <v>14.344723989569752</v>
      </c>
      <c r="H160" s="35">
        <v>0.76889614799961192</v>
      </c>
      <c r="I160" s="35">
        <v>285282</v>
      </c>
      <c r="J160" s="35">
        <v>371028</v>
      </c>
    </row>
    <row r="161" spans="1:10">
      <c r="A161" s="2" t="s">
        <v>213</v>
      </c>
      <c r="B161" s="34">
        <v>27.592822978833023</v>
      </c>
      <c r="C161" s="35">
        <v>65.973847164620381</v>
      </c>
      <c r="D161" s="35">
        <v>178.5179</v>
      </c>
      <c r="E161" s="35">
        <v>5.5102040816326532E-2</v>
      </c>
      <c r="F161" s="35">
        <v>2.8050892333233153E-3</v>
      </c>
      <c r="G161" s="35">
        <v>9.836700612244897</v>
      </c>
      <c r="H161" s="35">
        <v>0.45173576867547355</v>
      </c>
      <c r="I161" s="35">
        <v>146118</v>
      </c>
      <c r="J161" s="35">
        <v>323459</v>
      </c>
    </row>
    <row r="162" spans="1:10">
      <c r="A162" s="2" t="s">
        <v>217</v>
      </c>
      <c r="B162" s="34">
        <v>18.121198038797697</v>
      </c>
      <c r="C162" s="35">
        <v>22.027822021981212</v>
      </c>
      <c r="D162" s="35">
        <v>579.59004545454547</v>
      </c>
      <c r="E162" s="35">
        <v>1.0566762728146013E-2</v>
      </c>
      <c r="F162" s="35">
        <v>2.9588573864847579E-3</v>
      </c>
      <c r="G162" s="35">
        <v>6.1243904899135444</v>
      </c>
      <c r="H162" s="35">
        <v>0.90130822960815393</v>
      </c>
      <c r="I162" s="35">
        <v>289429</v>
      </c>
      <c r="J162" s="35">
        <v>321121</v>
      </c>
    </row>
    <row r="163" spans="1:10">
      <c r="A163" s="2" t="s">
        <v>231</v>
      </c>
      <c r="B163" s="34">
        <v>65.149597691018343</v>
      </c>
      <c r="C163" s="35">
        <v>133.21469599960901</v>
      </c>
      <c r="D163" s="35">
        <v>256.53075647058824</v>
      </c>
      <c r="E163" s="35">
        <v>7.7767612076852705E-2</v>
      </c>
      <c r="F163" s="35">
        <v>3.2656792941591251E-3</v>
      </c>
      <c r="G163" s="35">
        <v>19.949784354986278</v>
      </c>
      <c r="H163" s="35">
        <v>0.52902487661882247</v>
      </c>
      <c r="I163" s="35">
        <v>163684</v>
      </c>
      <c r="J163" s="35">
        <v>309407</v>
      </c>
    </row>
    <row r="164" spans="1:10">
      <c r="A164" s="2" t="s">
        <v>250</v>
      </c>
      <c r="B164" s="34">
        <v>99.082723717620638</v>
      </c>
      <c r="C164" s="35">
        <v>160.06374341767275</v>
      </c>
      <c r="D164" s="35">
        <v>569.7171685714286</v>
      </c>
      <c r="E164" s="35">
        <v>6.0034305317324184E-2</v>
      </c>
      <c r="F164" s="35">
        <v>2.8969375941007816E-3</v>
      </c>
      <c r="G164" s="35">
        <v>34.202574442538598</v>
      </c>
      <c r="H164" s="35">
        <v>0.66310388144867671</v>
      </c>
      <c r="I164" s="35">
        <v>124576</v>
      </c>
      <c r="J164" s="35">
        <v>187868</v>
      </c>
    </row>
    <row r="165" spans="1:10">
      <c r="A165" s="2" t="s">
        <v>228</v>
      </c>
      <c r="B165" s="34">
        <v>21.78280052669939</v>
      </c>
      <c r="C165" s="35">
        <v>195.22606012486918</v>
      </c>
      <c r="D165" s="35">
        <v>450.79324166666669</v>
      </c>
      <c r="E165" s="35">
        <v>3.2432432432432434E-2</v>
      </c>
      <c r="F165" s="35">
        <v>1.4898988882132891E-3</v>
      </c>
      <c r="G165" s="35">
        <v>14.620321351351352</v>
      </c>
      <c r="H165" s="35">
        <v>0.14875398606354082</v>
      </c>
      <c r="I165" s="35">
        <v>27709</v>
      </c>
      <c r="J165" s="35">
        <v>186274</v>
      </c>
    </row>
    <row r="166" spans="1:10">
      <c r="A166" s="2" t="s">
        <v>232</v>
      </c>
      <c r="B166" s="34">
        <v>68.663971836352943</v>
      </c>
      <c r="C166" s="35">
        <v>123.28551547193283</v>
      </c>
      <c r="D166" s="35">
        <v>255.75779032258066</v>
      </c>
      <c r="E166" s="35">
        <v>9.4224924012158054E-2</v>
      </c>
      <c r="F166" s="35">
        <v>2.8492742578030278E-3</v>
      </c>
      <c r="G166" s="35">
        <v>24.098758358662614</v>
      </c>
      <c r="H166" s="35">
        <v>0.59685008677574736</v>
      </c>
      <c r="I166" s="35">
        <v>64310</v>
      </c>
      <c r="J166" s="35">
        <v>107749</v>
      </c>
    </row>
    <row r="167" spans="1:10">
      <c r="A167" s="2" t="s">
        <v>264</v>
      </c>
      <c r="B167" s="34">
        <v>40.798854904886234</v>
      </c>
      <c r="C167" s="35">
        <v>58.481957922314002</v>
      </c>
      <c r="D167" s="35">
        <v>312.51922857142853</v>
      </c>
      <c r="E167" s="35">
        <v>5.7613168724279837E-2</v>
      </c>
      <c r="F167" s="35">
        <v>2.2659455427079447E-3</v>
      </c>
      <c r="G167" s="35">
        <v>18.005223045267488</v>
      </c>
      <c r="H167" s="35">
        <v>0.74127578621960644</v>
      </c>
      <c r="I167" s="35">
        <v>74814</v>
      </c>
      <c r="J167" s="35">
        <v>100926</v>
      </c>
    </row>
    <row r="168" spans="1:10">
      <c r="A168" s="2" t="s">
        <v>218</v>
      </c>
      <c r="B168" s="34">
        <v>103.54540508007256</v>
      </c>
      <c r="C168" s="35">
        <v>187.63465143699338</v>
      </c>
      <c r="D168" s="35">
        <v>353.63919722222221</v>
      </c>
      <c r="E168" s="35">
        <v>8.2758620689655171E-2</v>
      </c>
      <c r="F168" s="35">
        <v>3.5379948109409438E-3</v>
      </c>
      <c r="G168" s="35">
        <v>29.266692183908045</v>
      </c>
      <c r="H168" s="35">
        <v>0.69109169060278275</v>
      </c>
      <c r="I168" s="35">
        <v>67850</v>
      </c>
      <c r="J168" s="35">
        <v>98178</v>
      </c>
    </row>
    <row r="169" spans="1:10">
      <c r="A169" s="2" t="s">
        <v>318</v>
      </c>
      <c r="B169" s="34">
        <v>69.491374007936514</v>
      </c>
      <c r="C169" s="35">
        <v>483.98607752366473</v>
      </c>
      <c r="D169" s="35">
        <v>700.47304999999994</v>
      </c>
      <c r="E169" s="35">
        <v>5.4054054054054057E-2</v>
      </c>
      <c r="F169" s="35">
        <v>1.8353174603174603E-3</v>
      </c>
      <c r="G169" s="35">
        <v>37.863408108108104</v>
      </c>
      <c r="H169" s="35">
        <v>0.16942545420490729</v>
      </c>
      <c r="I169" s="35">
        <v>14473</v>
      </c>
      <c r="J169" s="35">
        <v>85424</v>
      </c>
    </row>
    <row r="170" spans="1:10">
      <c r="A170" s="2" t="s">
        <v>319</v>
      </c>
      <c r="B170" s="34">
        <v>59.452538730807888</v>
      </c>
      <c r="C170" s="35">
        <v>95.879721647755844</v>
      </c>
      <c r="D170" s="35">
        <v>326.73982857142857</v>
      </c>
      <c r="E170" s="35">
        <v>4.2857142857142858E-2</v>
      </c>
      <c r="F170" s="35">
        <v>4.2456590302568193E-3</v>
      </c>
      <c r="G170" s="35">
        <v>14.003135510204082</v>
      </c>
      <c r="H170" s="35">
        <v>0.8750259827596748</v>
      </c>
      <c r="I170" s="35">
        <v>71564</v>
      </c>
      <c r="J170" s="35">
        <v>81785</v>
      </c>
    </row>
    <row r="171" spans="1:10">
      <c r="A171" s="2" t="s">
        <v>234</v>
      </c>
      <c r="B171" s="34">
        <v>21.081428588529633</v>
      </c>
      <c r="C171" s="35">
        <v>25.903177077970788</v>
      </c>
      <c r="D171" s="35">
        <v>440.26982500000003</v>
      </c>
      <c r="E171" s="35">
        <v>1.8018018018018018E-2</v>
      </c>
      <c r="F171" s="35">
        <v>2.6575050576391301E-3</v>
      </c>
      <c r="G171" s="35">
        <v>7.9327896396396405</v>
      </c>
      <c r="H171" s="35">
        <v>0.85616239972799058</v>
      </c>
      <c r="I171" s="35">
        <v>67987</v>
      </c>
      <c r="J171" s="35">
        <v>79409</v>
      </c>
    </row>
    <row r="172" spans="1:10">
      <c r="A172" s="2" t="s">
        <v>320</v>
      </c>
      <c r="B172" s="34">
        <v>19.113575184524098</v>
      </c>
      <c r="C172" s="35">
        <v>63.517341990300999</v>
      </c>
      <c r="D172" s="35">
        <v>132.06843333333333</v>
      </c>
      <c r="E172" s="35">
        <v>6.030150753768844E-2</v>
      </c>
      <c r="F172" s="35">
        <v>2.4000192966375611E-3</v>
      </c>
      <c r="G172" s="35">
        <v>7.9639256281407036</v>
      </c>
      <c r="H172" s="35">
        <v>0.32264363208462105</v>
      </c>
      <c r="I172" s="35">
        <v>24951</v>
      </c>
      <c r="J172" s="35">
        <v>77333</v>
      </c>
    </row>
    <row r="173" spans="1:10">
      <c r="A173" s="2" t="s">
        <v>321</v>
      </c>
      <c r="B173" s="34">
        <v>55.631525144468704</v>
      </c>
      <c r="C173" s="35">
        <v>866.24222846441955</v>
      </c>
      <c r="D173" s="35">
        <v>308.38223333333337</v>
      </c>
      <c r="E173" s="35">
        <v>6.7114093959731544E-2</v>
      </c>
      <c r="F173" s="35">
        <v>2.6879295726372379E-3</v>
      </c>
      <c r="G173" s="35">
        <v>20.696794183445192</v>
      </c>
      <c r="H173" s="35">
        <v>0.13891418017221197</v>
      </c>
      <c r="I173" s="35">
        <v>10680</v>
      </c>
      <c r="J173" s="35">
        <v>76882</v>
      </c>
    </row>
    <row r="174" spans="1:10">
      <c r="A174" s="2" t="s">
        <v>322</v>
      </c>
      <c r="B174" s="34">
        <v>62.345673101154169</v>
      </c>
      <c r="C174" s="35">
        <v>125.60931153533711</v>
      </c>
      <c r="D174" s="35">
        <v>294.52392857142854</v>
      </c>
      <c r="E174" s="35">
        <v>9.1304347826086957E-2</v>
      </c>
      <c r="F174" s="35">
        <v>2.3184315306688172E-3</v>
      </c>
      <c r="G174" s="35">
        <v>26.891315217391302</v>
      </c>
      <c r="H174" s="35">
        <v>0.677425124162505</v>
      </c>
      <c r="I174" s="35">
        <v>49240</v>
      </c>
      <c r="J174" s="35">
        <v>72687</v>
      </c>
    </row>
    <row r="175" spans="1:10">
      <c r="A175" s="2" t="s">
        <v>323</v>
      </c>
      <c r="B175" s="34">
        <v>23.369323474615744</v>
      </c>
      <c r="C175" s="35">
        <v>51.323913946872111</v>
      </c>
      <c r="D175" s="35">
        <v>100.347875</v>
      </c>
      <c r="E175" s="35">
        <v>8.6486486486486491E-2</v>
      </c>
      <c r="F175" s="35">
        <v>2.6927107591988822E-3</v>
      </c>
      <c r="G175" s="35">
        <v>8.6787351351351347</v>
      </c>
      <c r="H175" s="35">
        <v>0.52610070296996403</v>
      </c>
      <c r="I175" s="35">
        <v>31283</v>
      </c>
      <c r="J175" s="35">
        <v>59462</v>
      </c>
    </row>
    <row r="176" spans="1:10">
      <c r="A176" s="2" t="s">
        <v>287</v>
      </c>
      <c r="B176" s="34">
        <v>28.829685584543402</v>
      </c>
      <c r="C176" s="35">
        <v>457.45997260273975</v>
      </c>
      <c r="D176" s="35">
        <v>333.94578000000001</v>
      </c>
      <c r="E176" s="35">
        <v>2.358490566037736E-2</v>
      </c>
      <c r="F176" s="35">
        <v>3.6604105875649635E-3</v>
      </c>
      <c r="G176" s="35">
        <v>7.8760797169811321</v>
      </c>
      <c r="H176" s="35">
        <v>6.6209548686692793E-2</v>
      </c>
      <c r="I176" s="35">
        <v>3650</v>
      </c>
      <c r="J176" s="35">
        <v>55128</v>
      </c>
    </row>
    <row r="177" spans="1:10">
      <c r="A177" s="2" t="s">
        <v>324</v>
      </c>
      <c r="B177" s="34">
        <v>57.549242064282758</v>
      </c>
      <c r="C177" s="35">
        <v>94.951956098424489</v>
      </c>
      <c r="D177" s="35">
        <v>938.67129999999997</v>
      </c>
      <c r="E177" s="35">
        <v>3.3333333333333333E-2</v>
      </c>
      <c r="F177" s="35">
        <v>1.8392777769262604E-3</v>
      </c>
      <c r="G177" s="35">
        <v>31.289043333333332</v>
      </c>
      <c r="H177" s="35">
        <v>0.72836618161724076</v>
      </c>
      <c r="I177" s="35">
        <v>39543</v>
      </c>
      <c r="J177" s="35">
        <v>54290</v>
      </c>
    </row>
    <row r="178" spans="1:10">
      <c r="A178" s="2" t="s">
        <v>285</v>
      </c>
      <c r="B178" s="34">
        <v>136.67769236128854</v>
      </c>
      <c r="C178" s="35">
        <v>247.60934909748815</v>
      </c>
      <c r="D178" s="35">
        <v>840.70448571428574</v>
      </c>
      <c r="E178" s="35">
        <v>5.737704918032787E-2</v>
      </c>
      <c r="F178" s="35">
        <v>2.833453329307662E-3</v>
      </c>
      <c r="G178" s="35">
        <v>48.23714262295082</v>
      </c>
      <c r="H178" s="35">
        <v>0.57291967987657888</v>
      </c>
      <c r="I178" s="35">
        <v>23767</v>
      </c>
      <c r="J178" s="35">
        <v>41484</v>
      </c>
    </row>
    <row r="179" spans="1:10">
      <c r="A179" s="2" t="s">
        <v>305</v>
      </c>
      <c r="B179" s="34">
        <v>42.226371302369166</v>
      </c>
      <c r="C179" s="35">
        <v>92.039100245069434</v>
      </c>
      <c r="D179" s="35">
        <v>525.78869999999995</v>
      </c>
      <c r="E179" s="35">
        <v>2.0689655172413793E-2</v>
      </c>
      <c r="F179" s="35">
        <v>3.8816758131441573E-3</v>
      </c>
      <c r="G179" s="35">
        <v>10.878386896551724</v>
      </c>
      <c r="H179" s="35">
        <v>0.48020398442097006</v>
      </c>
      <c r="I179" s="35">
        <v>17138</v>
      </c>
      <c r="J179" s="35">
        <v>35689</v>
      </c>
    </row>
    <row r="180" spans="1:10">
      <c r="A180" s="2" t="s">
        <v>325</v>
      </c>
      <c r="B180" s="34">
        <v>252.02508375819377</v>
      </c>
      <c r="C180" s="35">
        <v>358.04647986424402</v>
      </c>
      <c r="D180" s="35">
        <v>865.0761</v>
      </c>
      <c r="E180" s="35">
        <v>8.4745762711864403E-2</v>
      </c>
      <c r="F180" s="35">
        <v>3.4377276037873272E-3</v>
      </c>
      <c r="G180" s="35">
        <v>73.311533898305086</v>
      </c>
      <c r="H180" s="35">
        <v>0.73533797973034665</v>
      </c>
      <c r="I180" s="35">
        <v>24161</v>
      </c>
      <c r="J180" s="35">
        <v>32857</v>
      </c>
    </row>
    <row r="181" spans="1:10">
      <c r="A181" s="2" t="s">
        <v>254</v>
      </c>
      <c r="B181" s="34">
        <v>165.27451440299055</v>
      </c>
      <c r="C181" s="35">
        <v>731.37859228024649</v>
      </c>
      <c r="D181" s="35">
        <v>845.56507499999998</v>
      </c>
      <c r="E181" s="35">
        <v>5.6338028169014086E-2</v>
      </c>
      <c r="F181" s="35">
        <v>3.4694226587505192E-3</v>
      </c>
      <c r="G181" s="35">
        <v>47.637469014084509</v>
      </c>
      <c r="H181" s="35">
        <v>0.29302369788366495</v>
      </c>
      <c r="I181" s="35">
        <v>9249</v>
      </c>
      <c r="J181" s="35">
        <v>31564</v>
      </c>
    </row>
    <row r="182" spans="1:10">
      <c r="A182" s="2" t="s">
        <v>208</v>
      </c>
      <c r="B182" s="34">
        <v>46.054420125939963</v>
      </c>
      <c r="C182" s="35">
        <v>401.12468051118213</v>
      </c>
      <c r="D182" s="35">
        <v>100.44162</v>
      </c>
      <c r="E182" s="35">
        <v>0.21739130434782608</v>
      </c>
      <c r="F182" s="35">
        <v>2.1091887265390964E-3</v>
      </c>
      <c r="G182" s="35">
        <v>21.835134782608694</v>
      </c>
      <c r="H182" s="35">
        <v>0.12209075542842283</v>
      </c>
      <c r="I182" s="35">
        <v>3756</v>
      </c>
      <c r="J182" s="35">
        <v>30764</v>
      </c>
    </row>
    <row r="183" spans="1:10">
      <c r="A183" s="2" t="s">
        <v>326</v>
      </c>
      <c r="B183" s="34">
        <v>46.986191358024691</v>
      </c>
      <c r="C183" s="35">
        <v>295.48769409937887</v>
      </c>
      <c r="D183" s="35">
        <v>169.15028888888889</v>
      </c>
      <c r="E183" s="35">
        <v>0.10344827586206896</v>
      </c>
      <c r="F183" s="35">
        <v>2.685185185185185E-3</v>
      </c>
      <c r="G183" s="35">
        <v>17.498305747126437</v>
      </c>
      <c r="H183" s="35">
        <v>0.16956850870552612</v>
      </c>
      <c r="I183" s="35">
        <v>5152</v>
      </c>
      <c r="J183" s="35">
        <v>30383</v>
      </c>
    </row>
    <row r="184" spans="1:10">
      <c r="A184" s="2" t="s">
        <v>243</v>
      </c>
      <c r="B184" s="34">
        <v>437.31129077558882</v>
      </c>
      <c r="C184" s="35">
        <v>836.78382341650672</v>
      </c>
      <c r="D184" s="35">
        <v>726.60728666666671</v>
      </c>
      <c r="E184" s="35">
        <v>0.10067114093959731</v>
      </c>
      <c r="F184" s="35">
        <v>5.9784135136219559E-3</v>
      </c>
      <c r="G184" s="35">
        <v>73.148384563758384</v>
      </c>
      <c r="H184" s="35">
        <v>0.58316543541526755</v>
      </c>
      <c r="I184" s="35">
        <v>13025</v>
      </c>
      <c r="J184" s="35">
        <v>22335</v>
      </c>
    </row>
    <row r="185" spans="1:10">
      <c r="A185" s="2" t="s">
        <v>327</v>
      </c>
      <c r="B185" s="34">
        <v>248.0272401433692</v>
      </c>
      <c r="C185" s="35">
        <v>522.75429650613796</v>
      </c>
      <c r="D185" s="35">
        <v>738.12906666666674</v>
      </c>
      <c r="E185" s="35">
        <v>0.10588235294117647</v>
      </c>
      <c r="F185" s="35">
        <v>3.1735364396654718E-3</v>
      </c>
      <c r="G185" s="35">
        <v>78.154842352941188</v>
      </c>
      <c r="H185" s="35">
        <v>0.57086384259467227</v>
      </c>
      <c r="I185" s="35">
        <v>12708</v>
      </c>
      <c r="J185" s="35">
        <v>22261</v>
      </c>
    </row>
    <row r="186" spans="1:10">
      <c r="A186" s="2" t="s">
        <v>328</v>
      </c>
      <c r="B186" s="34">
        <v>120.95793819489862</v>
      </c>
      <c r="C186" s="35">
        <v>903.54656488549608</v>
      </c>
      <c r="D186" s="35">
        <v>493.18583333333328</v>
      </c>
      <c r="E186" s="35"/>
      <c r="F186" s="35">
        <v>0</v>
      </c>
      <c r="G186" s="35"/>
      <c r="H186" s="35">
        <v>0.14891101714181784</v>
      </c>
      <c r="I186" s="35">
        <v>3275</v>
      </c>
      <c r="J186" s="35">
        <v>21993</v>
      </c>
    </row>
    <row r="187" spans="1:10">
      <c r="A187" s="2" t="s">
        <v>329</v>
      </c>
      <c r="B187" s="34">
        <v>291.59471359621165</v>
      </c>
      <c r="C187" s="35">
        <v>598.3931134367408</v>
      </c>
      <c r="D187" s="35">
        <v>582.18209999999999</v>
      </c>
      <c r="E187" s="35">
        <v>9.166666666666666E-2</v>
      </c>
      <c r="F187" s="35">
        <v>5.4639832437847194E-3</v>
      </c>
      <c r="G187" s="35">
        <v>53.366692499999999</v>
      </c>
      <c r="H187" s="35">
        <v>0.50879528382618622</v>
      </c>
      <c r="I187" s="35">
        <v>10702</v>
      </c>
      <c r="J187" s="35">
        <v>21034</v>
      </c>
    </row>
    <row r="188" spans="1:10">
      <c r="A188" s="2" t="s">
        <v>330</v>
      </c>
      <c r="B188" s="34">
        <v>83.887230303621976</v>
      </c>
      <c r="C188" s="35">
        <v>117.84363985462525</v>
      </c>
      <c r="D188" s="35">
        <v>859.25689999999997</v>
      </c>
      <c r="E188" s="35">
        <v>4.7619047619047616E-2</v>
      </c>
      <c r="F188" s="35">
        <v>2.0501806111490775E-3</v>
      </c>
      <c r="G188" s="35">
        <v>40.91699523809524</v>
      </c>
      <c r="H188" s="35">
        <v>0.73429003021148032</v>
      </c>
      <c r="I188" s="35">
        <v>14583</v>
      </c>
      <c r="J188" s="35">
        <v>19860</v>
      </c>
    </row>
    <row r="189" spans="1:10">
      <c r="A189" s="2" t="s">
        <v>331</v>
      </c>
      <c r="B189" s="34">
        <v>86.440798413091997</v>
      </c>
      <c r="C189" s="35">
        <v>264.06282381457356</v>
      </c>
      <c r="D189" s="35">
        <v>174.30787000000001</v>
      </c>
      <c r="E189" s="35">
        <v>0.16666666666666666</v>
      </c>
      <c r="F189" s="35">
        <v>2.9754525167369206E-3</v>
      </c>
      <c r="G189" s="35">
        <v>29.051311666666667</v>
      </c>
      <c r="H189" s="35">
        <v>0.34909302448569463</v>
      </c>
      <c r="I189" s="35">
        <v>6601</v>
      </c>
      <c r="J189" s="35">
        <v>18909</v>
      </c>
    </row>
    <row r="190" spans="1:10">
      <c r="A190" s="2" t="s">
        <v>303</v>
      </c>
      <c r="B190" s="34">
        <v>198.29259022421166</v>
      </c>
      <c r="C190" s="35">
        <v>447.6253067484663</v>
      </c>
      <c r="D190" s="35">
        <v>551.27543333333335</v>
      </c>
      <c r="E190" s="35">
        <v>0.18</v>
      </c>
      <c r="F190" s="35">
        <v>1.998321410015587E-3</v>
      </c>
      <c r="G190" s="35">
        <v>99.229578000000004</v>
      </c>
      <c r="H190" s="35">
        <v>0.61308700702472485</v>
      </c>
      <c r="I190" s="35">
        <v>11084</v>
      </c>
      <c r="J190" s="35">
        <v>18079</v>
      </c>
    </row>
    <row r="191" spans="1:10">
      <c r="A191" s="2" t="s">
        <v>265</v>
      </c>
      <c r="B191" s="34">
        <v>94.377558954422227</v>
      </c>
      <c r="C191" s="35">
        <v>298.20379828673026</v>
      </c>
      <c r="D191" s="35">
        <v>922.49345000000005</v>
      </c>
      <c r="E191" s="35">
        <v>2.3809523809523808E-2</v>
      </c>
      <c r="F191" s="35">
        <v>4.2968949818405038E-3</v>
      </c>
      <c r="G191" s="35">
        <v>21.964129761904765</v>
      </c>
      <c r="H191" s="35">
        <v>0.36042176395199815</v>
      </c>
      <c r="I191" s="35">
        <v>6187</v>
      </c>
      <c r="J191" s="35">
        <v>17166</v>
      </c>
    </row>
    <row r="192" spans="1:10">
      <c r="A192" s="2" t="s">
        <v>332</v>
      </c>
      <c r="B192" s="34">
        <v>155.29833676454655</v>
      </c>
      <c r="C192" s="35">
        <v>791.1942313000277</v>
      </c>
      <c r="D192" s="35">
        <v>477.74945000000002</v>
      </c>
      <c r="E192" s="35">
        <v>5.4054054054054057E-2</v>
      </c>
      <c r="F192" s="35">
        <v>6.0136526167515443E-3</v>
      </c>
      <c r="G192" s="35">
        <v>25.824294594594598</v>
      </c>
      <c r="H192" s="35">
        <v>0.21394826975315934</v>
      </c>
      <c r="I192" s="35">
        <v>3623</v>
      </c>
      <c r="J192" s="35">
        <v>16934</v>
      </c>
    </row>
    <row r="193" spans="1:10">
      <c r="A193" s="2" t="s">
        <v>333</v>
      </c>
      <c r="B193" s="34">
        <v>89.825487578360807</v>
      </c>
      <c r="C193" s="35">
        <v>139.21496041741636</v>
      </c>
      <c r="D193" s="35">
        <v>515.83783333333338</v>
      </c>
      <c r="E193" s="35">
        <v>0.1</v>
      </c>
      <c r="F193" s="35">
        <v>1.7413512885999535E-3</v>
      </c>
      <c r="G193" s="35">
        <v>51.583783333333336</v>
      </c>
      <c r="H193" s="35">
        <v>0.6928446771378709</v>
      </c>
      <c r="I193" s="35">
        <v>11116</v>
      </c>
      <c r="J193" s="35">
        <v>16044</v>
      </c>
    </row>
    <row r="194" spans="1:10">
      <c r="A194" s="2" t="s">
        <v>334</v>
      </c>
      <c r="B194" s="34">
        <v>90.210949277415693</v>
      </c>
      <c r="C194" s="35">
        <v>164.55827561252971</v>
      </c>
      <c r="D194" s="35">
        <v>106.11814666666668</v>
      </c>
      <c r="E194" s="35">
        <v>0.375</v>
      </c>
      <c r="F194" s="35">
        <v>2.2669311419665629E-3</v>
      </c>
      <c r="G194" s="35">
        <v>39.794305000000001</v>
      </c>
      <c r="H194" s="35">
        <v>0.6411055143160127</v>
      </c>
      <c r="I194" s="35">
        <v>9673</v>
      </c>
      <c r="J194" s="35">
        <v>15088</v>
      </c>
    </row>
    <row r="195" spans="1:10">
      <c r="A195" s="2" t="s">
        <v>309</v>
      </c>
      <c r="B195" s="34">
        <v>87.211099400931886</v>
      </c>
      <c r="C195" s="35">
        <v>849.40124257158288</v>
      </c>
      <c r="D195" s="35">
        <v>65.51007083333333</v>
      </c>
      <c r="E195" s="35">
        <v>0.2696629213483146</v>
      </c>
      <c r="F195" s="35">
        <v>4.9367650321721765E-3</v>
      </c>
      <c r="G195" s="35">
        <v>17.665637078651685</v>
      </c>
      <c r="H195" s="35">
        <v>0.1240117915047568</v>
      </c>
      <c r="I195" s="35">
        <v>1851</v>
      </c>
      <c r="J195" s="35">
        <v>14926</v>
      </c>
    </row>
    <row r="196" spans="1:10">
      <c r="A196" s="2" t="s">
        <v>335</v>
      </c>
      <c r="B196" s="34">
        <v>124.66873731753617</v>
      </c>
      <c r="C196" s="35">
        <v>616.56338620912925</v>
      </c>
      <c r="D196" s="35">
        <v>476.141075</v>
      </c>
      <c r="E196" s="35">
        <v>5.7971014492753624E-2</v>
      </c>
      <c r="F196" s="35">
        <v>4.516593572036395E-3</v>
      </c>
      <c r="G196" s="35">
        <v>27.60238115942029</v>
      </c>
      <c r="H196" s="35">
        <v>0.22639988273233655</v>
      </c>
      <c r="I196" s="35">
        <v>3089</v>
      </c>
      <c r="J196" s="35">
        <v>13644</v>
      </c>
    </row>
    <row r="197" spans="1:10">
      <c r="A197" s="2" t="s">
        <v>336</v>
      </c>
      <c r="B197" s="34">
        <v>139.34178860681956</v>
      </c>
      <c r="C197" s="35">
        <v>310.34544489919659</v>
      </c>
      <c r="D197" s="35">
        <v>511.83722499999999</v>
      </c>
      <c r="E197" s="35">
        <v>5.7142857142857141E-2</v>
      </c>
      <c r="F197" s="35">
        <v>4.7641734159123393E-3</v>
      </c>
      <c r="G197" s="35">
        <v>29.247841428571427</v>
      </c>
      <c r="H197" s="35">
        <v>0.48837725792123188</v>
      </c>
      <c r="I197" s="35">
        <v>6597</v>
      </c>
      <c r="J197" s="35">
        <v>13508</v>
      </c>
    </row>
    <row r="198" spans="1:10">
      <c r="A198" s="2" t="s">
        <v>293</v>
      </c>
      <c r="B198" s="34">
        <v>426.06514982578398</v>
      </c>
      <c r="C198" s="35">
        <v>743.07667719980554</v>
      </c>
      <c r="D198" s="35">
        <v>1019.0058166666666</v>
      </c>
      <c r="E198" s="35">
        <v>0.1</v>
      </c>
      <c r="F198" s="35">
        <v>4.181184668989547E-3</v>
      </c>
      <c r="G198" s="35">
        <v>101.90058166666667</v>
      </c>
      <c r="H198" s="35">
        <v>0.6142131979695431</v>
      </c>
      <c r="I198" s="35">
        <v>8228</v>
      </c>
      <c r="J198" s="35">
        <v>13396</v>
      </c>
    </row>
    <row r="199" spans="1:10">
      <c r="A199" s="2" t="s">
        <v>337</v>
      </c>
      <c r="B199" s="34">
        <v>106.15653951866997</v>
      </c>
      <c r="C199" s="35">
        <v>516.65158238172921</v>
      </c>
      <c r="D199" s="35">
        <v>527.84569999999997</v>
      </c>
      <c r="E199" s="35">
        <v>0.3</v>
      </c>
      <c r="F199" s="35">
        <v>6.7037608098143063E-4</v>
      </c>
      <c r="G199" s="35">
        <v>158.35371000000001</v>
      </c>
      <c r="H199" s="35">
        <v>0.2338088336257533</v>
      </c>
      <c r="I199" s="35">
        <v>3065</v>
      </c>
      <c r="J199" s="35">
        <v>13109</v>
      </c>
    </row>
    <row r="200" spans="1:10">
      <c r="A200" s="2" t="s">
        <v>338</v>
      </c>
      <c r="B200" s="34">
        <v>111.04157776326292</v>
      </c>
      <c r="C200" s="35">
        <v>439.4146754738656</v>
      </c>
      <c r="D200" s="35">
        <v>382.51047499999999</v>
      </c>
      <c r="E200" s="35">
        <v>4.1666666666666664E-2</v>
      </c>
      <c r="F200" s="35">
        <v>6.9671238841715654E-3</v>
      </c>
      <c r="G200" s="35">
        <v>15.937936458333333</v>
      </c>
      <c r="H200" s="35">
        <v>0.27885000400416432</v>
      </c>
      <c r="I200" s="35">
        <v>3482</v>
      </c>
      <c r="J200" s="35">
        <v>12487</v>
      </c>
    </row>
    <row r="201" spans="1:10">
      <c r="A201" s="2" t="s">
        <v>292</v>
      </c>
      <c r="B201" s="34">
        <v>340.53488236153731</v>
      </c>
      <c r="C201" s="35">
        <v>587.86079717457119</v>
      </c>
      <c r="D201" s="35">
        <v>423.68730909090914</v>
      </c>
      <c r="E201" s="35">
        <v>0.16666666666666666</v>
      </c>
      <c r="F201" s="35">
        <v>4.8224462954844366E-3</v>
      </c>
      <c r="G201" s="35">
        <v>70.614551515151518</v>
      </c>
      <c r="H201" s="35">
        <v>0.66448746961696425</v>
      </c>
      <c r="I201" s="35">
        <v>7928</v>
      </c>
      <c r="J201" s="35">
        <v>11931</v>
      </c>
    </row>
    <row r="202" spans="1:10">
      <c r="A202" s="2" t="s">
        <v>235</v>
      </c>
      <c r="B202" s="34">
        <v>243.79414050357477</v>
      </c>
      <c r="C202" s="35">
        <v>484.72543263288009</v>
      </c>
      <c r="D202" s="35">
        <v>522.85716666666667</v>
      </c>
      <c r="E202" s="35">
        <v>7.4999999999999997E-2</v>
      </c>
      <c r="F202" s="35">
        <v>6.2169723344731118E-3</v>
      </c>
      <c r="G202" s="35">
        <v>39.214287499999998</v>
      </c>
      <c r="H202" s="35">
        <v>0.54286193591679244</v>
      </c>
      <c r="I202" s="35">
        <v>6472</v>
      </c>
      <c r="J202" s="35">
        <v>11922</v>
      </c>
    </row>
    <row r="203" spans="1:10">
      <c r="A203" s="2" t="s">
        <v>339</v>
      </c>
      <c r="B203" s="34">
        <v>137.2530913137214</v>
      </c>
      <c r="C203" s="35">
        <v>314.66234056122448</v>
      </c>
      <c r="D203" s="35">
        <v>109.64234444444445</v>
      </c>
      <c r="E203" s="35">
        <v>0.6</v>
      </c>
      <c r="F203" s="35">
        <v>2.0863759649488839E-3</v>
      </c>
      <c r="G203" s="35">
        <v>65.785406666666674</v>
      </c>
      <c r="H203" s="35">
        <v>0.52767962308598348</v>
      </c>
      <c r="I203" s="35">
        <v>6272</v>
      </c>
      <c r="J203" s="35">
        <v>11886</v>
      </c>
    </row>
    <row r="204" spans="1:10">
      <c r="A204" s="2" t="s">
        <v>340</v>
      </c>
      <c r="B204" s="34">
        <v>113.40979503935839</v>
      </c>
      <c r="C204" s="35">
        <v>175.86092814371258</v>
      </c>
      <c r="D204" s="35">
        <v>1527.1763000000001</v>
      </c>
      <c r="E204" s="35">
        <v>6.6666666666666671E-3</v>
      </c>
      <c r="F204" s="35">
        <v>1.1139165305213129E-2</v>
      </c>
      <c r="G204" s="35">
        <v>10.181175333333334</v>
      </c>
      <c r="H204" s="35">
        <v>0.73805881353051161</v>
      </c>
      <c r="I204" s="35">
        <v>8684</v>
      </c>
      <c r="J204" s="35">
        <v>11766</v>
      </c>
    </row>
    <row r="205" spans="1:10">
      <c r="A205" s="2" t="s">
        <v>341</v>
      </c>
      <c r="B205" s="34">
        <v>115.65605754102046</v>
      </c>
      <c r="C205" s="35">
        <v>184.71477803039369</v>
      </c>
      <c r="D205" s="35">
        <v>154.36614</v>
      </c>
      <c r="E205" s="35">
        <v>0.125</v>
      </c>
      <c r="F205" s="35">
        <v>5.9938562972952723E-3</v>
      </c>
      <c r="G205" s="35">
        <v>19.2957675</v>
      </c>
      <c r="H205" s="35">
        <v>0.7291684844254428</v>
      </c>
      <c r="I205" s="35">
        <v>8357</v>
      </c>
      <c r="J205" s="35">
        <v>11461</v>
      </c>
    </row>
    <row r="206" spans="1:10">
      <c r="A206" s="2" t="s">
        <v>342</v>
      </c>
      <c r="B206" s="34">
        <v>138.31619865011248</v>
      </c>
      <c r="C206" s="35">
        <v>231.41401087411126</v>
      </c>
      <c r="D206" s="35">
        <v>829.96635000000003</v>
      </c>
      <c r="E206" s="35">
        <v>0.05</v>
      </c>
      <c r="F206" s="35">
        <v>3.333055578701775E-3</v>
      </c>
      <c r="G206" s="35">
        <v>41.498317499999999</v>
      </c>
      <c r="H206" s="35">
        <v>0.62744926522043387</v>
      </c>
      <c r="I206" s="35">
        <v>7173</v>
      </c>
      <c r="J206" s="35">
        <v>11432</v>
      </c>
    </row>
    <row r="207" spans="1:10">
      <c r="A207" s="2" t="s">
        <v>343</v>
      </c>
      <c r="B207" s="34">
        <v>163.46983555207518</v>
      </c>
      <c r="C207" s="35">
        <v>335.39681876606681</v>
      </c>
      <c r="D207" s="35">
        <v>99.405228571428566</v>
      </c>
      <c r="E207" s="35">
        <v>0.25</v>
      </c>
      <c r="F207" s="35">
        <v>6.5779169929522322E-3</v>
      </c>
      <c r="G207" s="35">
        <v>24.851307142857141</v>
      </c>
      <c r="H207" s="35">
        <v>0.56021602160216022</v>
      </c>
      <c r="I207" s="35">
        <v>6224</v>
      </c>
      <c r="J207" s="35">
        <v>11110</v>
      </c>
    </row>
    <row r="208" spans="1:10">
      <c r="A208" s="2" t="s">
        <v>255</v>
      </c>
      <c r="B208" s="34">
        <v>446.10329144225011</v>
      </c>
      <c r="C208" s="35">
        <v>771.78970566484247</v>
      </c>
      <c r="D208" s="35">
        <v>1739.3567333333333</v>
      </c>
      <c r="E208" s="35">
        <v>4.6875E-2</v>
      </c>
      <c r="F208" s="35">
        <v>5.4714884158331197E-3</v>
      </c>
      <c r="G208" s="35">
        <v>81.532346875000002</v>
      </c>
      <c r="H208" s="35">
        <v>0.62700547157562836</v>
      </c>
      <c r="I208" s="35">
        <v>6761</v>
      </c>
      <c r="J208" s="35">
        <v>10783</v>
      </c>
    </row>
    <row r="209" spans="1:10">
      <c r="A209" s="2" t="s">
        <v>344</v>
      </c>
      <c r="B209" s="34">
        <v>434.17166589755425</v>
      </c>
      <c r="C209" s="35">
        <v>1628.8954293628808</v>
      </c>
      <c r="D209" s="35">
        <v>1568.0833333333333</v>
      </c>
      <c r="E209" s="35">
        <v>0.12</v>
      </c>
      <c r="F209" s="35">
        <v>2.3073373327180432E-3</v>
      </c>
      <c r="G209" s="35">
        <v>188.17</v>
      </c>
      <c r="H209" s="35">
        <v>0.27538857633260228</v>
      </c>
      <c r="I209" s="35">
        <v>2888</v>
      </c>
      <c r="J209" s="35">
        <v>10487</v>
      </c>
    </row>
    <row r="210" spans="1:10">
      <c r="A210" s="2" t="s">
        <v>345</v>
      </c>
      <c r="B210" s="34">
        <v>516.46830962619913</v>
      </c>
      <c r="C210" s="35">
        <v>3058.3422135161604</v>
      </c>
      <c r="D210" s="35">
        <v>780.64184999999998</v>
      </c>
      <c r="E210" s="35">
        <v>0.26666666666666666</v>
      </c>
      <c r="F210" s="35">
        <v>2.4809791597750577E-3</v>
      </c>
      <c r="G210" s="35">
        <v>208.17115999999999</v>
      </c>
      <c r="H210" s="35">
        <v>0.1979641299079011</v>
      </c>
      <c r="I210" s="35">
        <v>2042</v>
      </c>
      <c r="J210" s="35">
        <v>10315</v>
      </c>
    </row>
    <row r="211" spans="1:10">
      <c r="A211" s="2" t="s">
        <v>346</v>
      </c>
      <c r="B211" s="34">
        <v>135.40189950482994</v>
      </c>
      <c r="C211" s="35">
        <v>237.33864541832671</v>
      </c>
      <c r="D211" s="35">
        <v>238.28800000000001</v>
      </c>
      <c r="E211" s="35">
        <v>0.17499999999999999</v>
      </c>
      <c r="F211" s="35">
        <v>3.247016803311957E-3</v>
      </c>
      <c r="G211" s="35">
        <v>41.700400000000002</v>
      </c>
      <c r="H211" s="35">
        <v>0.68962810322833878</v>
      </c>
      <c r="I211" s="35">
        <v>7028</v>
      </c>
      <c r="J211" s="35">
        <v>10191</v>
      </c>
    </row>
    <row r="212" spans="1:10">
      <c r="A212" s="2" t="s">
        <v>347</v>
      </c>
      <c r="B212" s="34">
        <v>152.47338064046579</v>
      </c>
      <c r="C212" s="35">
        <v>251.00904597873296</v>
      </c>
      <c r="D212" s="35">
        <v>558.66246666666666</v>
      </c>
      <c r="E212" s="35">
        <v>3.0927835051546393E-2</v>
      </c>
      <c r="F212" s="35">
        <v>8.8245997088791852E-3</v>
      </c>
      <c r="G212" s="35">
        <v>17.278220618556702</v>
      </c>
      <c r="H212" s="35">
        <v>0.65900118436636401</v>
      </c>
      <c r="I212" s="35">
        <v>6677</v>
      </c>
      <c r="J212" s="35">
        <v>10132</v>
      </c>
    </row>
    <row r="213" spans="1:10">
      <c r="A213" s="2" t="s">
        <v>348</v>
      </c>
      <c r="B213" s="34">
        <v>149.79539553563089</v>
      </c>
      <c r="C213" s="35">
        <v>254.58084126984127</v>
      </c>
      <c r="D213" s="35">
        <v>534.61976666666669</v>
      </c>
      <c r="E213" s="35">
        <v>5.2631578947368418E-2</v>
      </c>
      <c r="F213" s="35">
        <v>5.3236200616419167E-3</v>
      </c>
      <c r="G213" s="35">
        <v>28.137882456140353</v>
      </c>
      <c r="H213" s="35">
        <v>0.62444246208742193</v>
      </c>
      <c r="I213" s="35">
        <v>6300</v>
      </c>
      <c r="J213" s="35">
        <v>10089</v>
      </c>
    </row>
    <row r="214" spans="1:10">
      <c r="A214" s="2" t="s">
        <v>349</v>
      </c>
      <c r="B214" s="34">
        <v>86.549968680599051</v>
      </c>
      <c r="C214" s="35">
        <v>513.48108108108102</v>
      </c>
      <c r="D214" s="35">
        <v>151.99039999999999</v>
      </c>
      <c r="E214" s="35">
        <v>0.2</v>
      </c>
      <c r="F214" s="35">
        <v>2.8472182677524061E-3</v>
      </c>
      <c r="G214" s="35">
        <v>30.39808</v>
      </c>
      <c r="H214" s="35">
        <v>0.29739776951672864</v>
      </c>
      <c r="I214" s="35">
        <v>2960</v>
      </c>
      <c r="J214" s="35">
        <v>9953</v>
      </c>
    </row>
    <row r="215" spans="1:10">
      <c r="A215" s="2" t="s">
        <v>350</v>
      </c>
      <c r="B215" s="34">
        <v>247.95629400168966</v>
      </c>
      <c r="C215" s="35">
        <v>501.89595287858634</v>
      </c>
      <c r="D215" s="35">
        <v>240.1344</v>
      </c>
      <c r="E215" s="35">
        <v>0.16176470588235295</v>
      </c>
      <c r="F215" s="35">
        <v>6.3831784473857133E-3</v>
      </c>
      <c r="G215" s="35">
        <v>38.845270588235294</v>
      </c>
      <c r="H215" s="35">
        <v>0.53049087793569194</v>
      </c>
      <c r="I215" s="35">
        <v>5263</v>
      </c>
      <c r="J215" s="35">
        <v>9921</v>
      </c>
    </row>
    <row r="216" spans="1:10">
      <c r="A216" s="2" t="s">
        <v>236</v>
      </c>
      <c r="B216" s="34">
        <v>156.50141981613891</v>
      </c>
      <c r="C216" s="35">
        <v>1183.1265637065635</v>
      </c>
      <c r="D216" s="35">
        <v>766.07444999999996</v>
      </c>
      <c r="E216" s="35">
        <v>8.3333333333333329E-2</v>
      </c>
      <c r="F216" s="35">
        <v>2.4514811031664963E-3</v>
      </c>
      <c r="G216" s="35">
        <v>63.839537499999999</v>
      </c>
      <c r="H216" s="35">
        <v>0.14082209656372335</v>
      </c>
      <c r="I216" s="35">
        <v>1295</v>
      </c>
      <c r="J216" s="35">
        <v>9196</v>
      </c>
    </row>
    <row r="217" spans="1:10">
      <c r="A217" s="2" t="s">
        <v>273</v>
      </c>
      <c r="B217" s="34">
        <v>121.86015187849719</v>
      </c>
      <c r="C217" s="35">
        <v>347.1807105442951</v>
      </c>
      <c r="D217" s="35">
        <v>254.07841666666664</v>
      </c>
      <c r="E217" s="35">
        <v>8.1081081081081086E-2</v>
      </c>
      <c r="F217" s="35">
        <v>5.915267785771383E-3</v>
      </c>
      <c r="G217" s="35">
        <v>20.600952702702703</v>
      </c>
      <c r="H217" s="35">
        <v>0.48263354583424928</v>
      </c>
      <c r="I217" s="35">
        <v>4391</v>
      </c>
      <c r="J217" s="35">
        <v>9098</v>
      </c>
    </row>
    <row r="218" spans="1:10">
      <c r="A218" s="2" t="s">
        <v>351</v>
      </c>
      <c r="B218" s="34">
        <v>446.59266329937509</v>
      </c>
      <c r="C218" s="35">
        <v>1106.8637598132825</v>
      </c>
      <c r="D218" s="35">
        <v>1304.162225</v>
      </c>
      <c r="E218" s="35">
        <v>4.5454545454545456E-2</v>
      </c>
      <c r="F218" s="35">
        <v>7.533601575207602E-3</v>
      </c>
      <c r="G218" s="35">
        <v>59.280101136363641</v>
      </c>
      <c r="H218" s="35">
        <v>0.5726609963547995</v>
      </c>
      <c r="I218" s="35">
        <v>4713</v>
      </c>
      <c r="J218" s="35">
        <v>8230</v>
      </c>
    </row>
    <row r="219" spans="1:10">
      <c r="A219" s="2" t="s">
        <v>352</v>
      </c>
      <c r="B219" s="34">
        <v>588.68192125334986</v>
      </c>
      <c r="C219" s="35">
        <v>1026.490294751977</v>
      </c>
      <c r="D219" s="35">
        <v>5711.3919999999998</v>
      </c>
      <c r="E219" s="35">
        <v>2.5000000000000001E-2</v>
      </c>
      <c r="F219" s="35">
        <v>4.1228612657184084E-3</v>
      </c>
      <c r="G219" s="35">
        <v>142.78479999999999</v>
      </c>
      <c r="H219" s="35">
        <v>0.67771010962241174</v>
      </c>
      <c r="I219" s="35">
        <v>5564</v>
      </c>
      <c r="J219" s="35">
        <v>8210</v>
      </c>
    </row>
    <row r="220" spans="1:10">
      <c r="A220" s="2" t="s">
        <v>248</v>
      </c>
      <c r="B220" s="34">
        <v>736.44086649628809</v>
      </c>
      <c r="C220" s="35">
        <v>1054.2394773519163</v>
      </c>
      <c r="D220" s="35">
        <v>550.12132727272729</v>
      </c>
      <c r="E220" s="35">
        <v>0.44</v>
      </c>
      <c r="F220" s="35">
        <v>3.0424729219909945E-3</v>
      </c>
      <c r="G220" s="35">
        <v>242.05338399999999</v>
      </c>
      <c r="H220" s="35">
        <v>0.71669371956548877</v>
      </c>
      <c r="I220" s="35">
        <v>5740</v>
      </c>
      <c r="J220" s="35">
        <v>8009</v>
      </c>
    </row>
    <row r="221" spans="1:10">
      <c r="A221" s="2" t="s">
        <v>353</v>
      </c>
      <c r="B221" s="34">
        <v>836.81762736187511</v>
      </c>
      <c r="C221" s="35">
        <v>1174.2690048665884</v>
      </c>
      <c r="D221" s="35">
        <v>999.63842857142856</v>
      </c>
      <c r="E221" s="35">
        <v>0.22580645161290322</v>
      </c>
      <c r="F221" s="35">
        <v>3.7072470700789287E-3</v>
      </c>
      <c r="G221" s="35">
        <v>225.72480645161289</v>
      </c>
      <c r="H221" s="35">
        <v>0.74984270794010321</v>
      </c>
      <c r="I221" s="35">
        <v>5959</v>
      </c>
      <c r="J221" s="35">
        <v>7947</v>
      </c>
    </row>
    <row r="222" spans="1:10">
      <c r="A222" s="2" t="s">
        <v>242</v>
      </c>
      <c r="B222" s="34">
        <v>728.10578985860548</v>
      </c>
      <c r="C222" s="35">
        <v>4431.2907270029673</v>
      </c>
      <c r="D222" s="35">
        <v>5973.3798999999999</v>
      </c>
      <c r="E222" s="35">
        <v>0.05</v>
      </c>
      <c r="F222" s="35">
        <v>2.4378352023403218E-3</v>
      </c>
      <c r="G222" s="35">
        <v>298.668995</v>
      </c>
      <c r="H222" s="35">
        <v>0.1721144024514811</v>
      </c>
      <c r="I222" s="35">
        <v>1348</v>
      </c>
      <c r="J222" s="35">
        <v>7832</v>
      </c>
    </row>
    <row r="223" spans="1:10">
      <c r="A223" s="2" t="s">
        <v>354</v>
      </c>
      <c r="B223" s="34">
        <v>933.77110085695449</v>
      </c>
      <c r="C223" s="35">
        <v>1312.5748332097851</v>
      </c>
      <c r="D223" s="35">
        <v>295.11057499999998</v>
      </c>
      <c r="E223" s="35">
        <v>1.8461538461538463</v>
      </c>
      <c r="F223" s="35">
        <v>1.7139090309822016E-3</v>
      </c>
      <c r="G223" s="35">
        <v>544.81952307692313</v>
      </c>
      <c r="H223" s="35">
        <v>0.72751786436564647</v>
      </c>
      <c r="I223" s="35">
        <v>5396</v>
      </c>
      <c r="J223" s="35">
        <v>7417</v>
      </c>
    </row>
    <row r="224" spans="1:10">
      <c r="A224" s="2" t="s">
        <v>355</v>
      </c>
      <c r="B224" s="34">
        <v>235.23295269168023</v>
      </c>
      <c r="C224" s="35">
        <v>1089.6559193954661</v>
      </c>
      <c r="D224" s="35">
        <v>1730.3735999999999</v>
      </c>
      <c r="E224" s="35">
        <v>0.1</v>
      </c>
      <c r="F224" s="35">
        <v>1.3594344752582926E-3</v>
      </c>
      <c r="G224" s="35">
        <v>173.03735999999998</v>
      </c>
      <c r="H224" s="35">
        <v>0.22404063205417607</v>
      </c>
      <c r="I224" s="35">
        <v>1588</v>
      </c>
      <c r="J224" s="35">
        <v>7088</v>
      </c>
    </row>
    <row r="225" spans="1:10">
      <c r="A225" s="2" t="s">
        <v>356</v>
      </c>
      <c r="B225" s="34">
        <v>721.20583086626334</v>
      </c>
      <c r="C225" s="35">
        <v>1777.6167829949238</v>
      </c>
      <c r="D225" s="35">
        <v>5603.0481</v>
      </c>
      <c r="E225" s="35">
        <v>0.1</v>
      </c>
      <c r="F225" s="35">
        <v>1.2871669455528382E-3</v>
      </c>
      <c r="G225" s="35">
        <v>560.30480999999997</v>
      </c>
      <c r="H225" s="35">
        <v>0.48762376237623761</v>
      </c>
      <c r="I225" s="35">
        <v>3152</v>
      </c>
      <c r="J225" s="35">
        <v>6464</v>
      </c>
    </row>
    <row r="226" spans="1:10">
      <c r="A226" s="2" t="s">
        <v>357</v>
      </c>
      <c r="B226" s="34">
        <v>210.81463118076195</v>
      </c>
      <c r="C226" s="35">
        <v>404.26163212435233</v>
      </c>
      <c r="D226" s="35">
        <v>1560.4499000000001</v>
      </c>
      <c r="E226" s="35">
        <v>0.1111111111111111</v>
      </c>
      <c r="F226" s="35">
        <v>1.215887597946501E-3</v>
      </c>
      <c r="G226" s="35">
        <v>173.38332222222223</v>
      </c>
      <c r="H226" s="35">
        <v>0.60256009990633785</v>
      </c>
      <c r="I226" s="35">
        <v>3860</v>
      </c>
      <c r="J226" s="35">
        <v>6406</v>
      </c>
    </row>
    <row r="227" spans="1:10">
      <c r="A227" s="2" t="s">
        <v>358</v>
      </c>
      <c r="B227" s="34">
        <v>770.74591080483685</v>
      </c>
      <c r="C227" s="35">
        <v>1523.8577892030848</v>
      </c>
      <c r="D227" s="35">
        <v>5927.8068000000003</v>
      </c>
      <c r="E227" s="35"/>
      <c r="F227" s="35">
        <v>0</v>
      </c>
      <c r="G227" s="35"/>
      <c r="H227" s="35">
        <v>0.65876375952582555</v>
      </c>
      <c r="I227" s="35">
        <v>3890</v>
      </c>
      <c r="J227" s="35">
        <v>5905</v>
      </c>
    </row>
    <row r="228" spans="1:10">
      <c r="A228" s="1" t="s">
        <v>36</v>
      </c>
      <c r="B228" s="35"/>
      <c r="C228" s="35"/>
      <c r="D228" s="35"/>
      <c r="E228" s="35"/>
      <c r="F228" s="35"/>
      <c r="G228" s="35"/>
      <c r="H228" s="35"/>
      <c r="I228" s="35"/>
      <c r="J228" s="35"/>
    </row>
    <row r="229" spans="1:10">
      <c r="A229" s="2" t="s">
        <v>218</v>
      </c>
      <c r="B229" s="34">
        <v>10.388207360027321</v>
      </c>
      <c r="C229" s="35">
        <v>16.998841027861406</v>
      </c>
      <c r="D229" s="35">
        <v>239.12086062717771</v>
      </c>
      <c r="E229" s="35">
        <v>1.6558010730975594E-2</v>
      </c>
      <c r="F229" s="35">
        <v>2.6237048929152098E-3</v>
      </c>
      <c r="G229" s="35">
        <v>3.9593657762649284</v>
      </c>
      <c r="H229" s="35">
        <v>0.69348967606499212</v>
      </c>
      <c r="I229" s="35">
        <v>4037198</v>
      </c>
      <c r="J229" s="35">
        <v>5821569</v>
      </c>
    </row>
    <row r="230" spans="1:10">
      <c r="A230" s="2" t="s">
        <v>215</v>
      </c>
      <c r="B230" s="34">
        <v>7.4502367689926983</v>
      </c>
      <c r="C230" s="35">
        <v>17.558606976620798</v>
      </c>
      <c r="D230" s="35">
        <v>266.24485413533836</v>
      </c>
      <c r="E230" s="35">
        <v>9.8060900980609014E-3</v>
      </c>
      <c r="F230" s="35">
        <v>2.8535991895551074E-3</v>
      </c>
      <c r="G230" s="35">
        <v>2.6108210277962103</v>
      </c>
      <c r="H230" s="35">
        <v>0.48025363552669115</v>
      </c>
      <c r="I230" s="35">
        <v>2016707</v>
      </c>
      <c r="J230" s="35">
        <v>4199254</v>
      </c>
    </row>
    <row r="231" spans="1:10">
      <c r="A231" s="2" t="s">
        <v>211</v>
      </c>
      <c r="B231" s="34">
        <v>12.47248737369606</v>
      </c>
      <c r="C231" s="35">
        <v>21.838189910778318</v>
      </c>
      <c r="D231" s="35">
        <v>391.8728476635514</v>
      </c>
      <c r="E231" s="35">
        <v>1.2788335126090594E-2</v>
      </c>
      <c r="F231" s="35">
        <v>2.4888223114130363E-3</v>
      </c>
      <c r="G231" s="35">
        <v>5.0114013027369424</v>
      </c>
      <c r="H231" s="35">
        <v>0.63421684311428195</v>
      </c>
      <c r="I231" s="35">
        <v>1920049</v>
      </c>
      <c r="J231" s="35">
        <v>3027433</v>
      </c>
    </row>
    <row r="232" spans="1:10">
      <c r="A232" s="2" t="s">
        <v>213</v>
      </c>
      <c r="B232" s="34">
        <v>20.291767620836492</v>
      </c>
      <c r="C232" s="35">
        <v>45.066390221678034</v>
      </c>
      <c r="D232" s="35">
        <v>175.36443490304708</v>
      </c>
      <c r="E232" s="35">
        <v>4.4387065043649331E-2</v>
      </c>
      <c r="F232" s="35">
        <v>2.6068853441630355E-3</v>
      </c>
      <c r="G232" s="35">
        <v>7.7839125783843599</v>
      </c>
      <c r="H232" s="35">
        <v>0.48565547274259785</v>
      </c>
      <c r="I232" s="35">
        <v>1404740</v>
      </c>
      <c r="J232" s="35">
        <v>2892462</v>
      </c>
    </row>
    <row r="233" spans="1:10">
      <c r="A233" s="2" t="s">
        <v>254</v>
      </c>
      <c r="B233" s="34">
        <v>25.703078140063003</v>
      </c>
      <c r="C233" s="35">
        <v>121.84893985029673</v>
      </c>
      <c r="D233" s="35">
        <v>349.22739316239318</v>
      </c>
      <c r="E233" s="35">
        <v>2.5573770491803278E-2</v>
      </c>
      <c r="F233" s="35">
        <v>2.8779422241303663E-3</v>
      </c>
      <c r="G233" s="35">
        <v>8.9310612021857931</v>
      </c>
      <c r="H233" s="35">
        <v>0.26917348336559566</v>
      </c>
      <c r="I233" s="35">
        <v>670660</v>
      </c>
      <c r="J233" s="35">
        <v>2491553</v>
      </c>
    </row>
    <row r="234" spans="1:10">
      <c r="A234" s="2" t="s">
        <v>236</v>
      </c>
      <c r="B234" s="34">
        <v>17.310797595442015</v>
      </c>
      <c r="C234" s="35">
        <v>168.27721539588251</v>
      </c>
      <c r="D234" s="35">
        <v>136.72454214876035</v>
      </c>
      <c r="E234" s="35">
        <v>4.5781309118426032E-2</v>
      </c>
      <c r="F234" s="35">
        <v>2.7655555962477177E-3</v>
      </c>
      <c r="G234" s="35">
        <v>6.2594285281876658</v>
      </c>
      <c r="H234" s="35">
        <v>0.11226598881359726</v>
      </c>
      <c r="I234" s="35">
        <v>98312</v>
      </c>
      <c r="J234" s="35">
        <v>875706</v>
      </c>
    </row>
    <row r="235" spans="1:10">
      <c r="A235" s="2" t="s">
        <v>257</v>
      </c>
      <c r="B235" s="34">
        <v>42.3393626864966</v>
      </c>
      <c r="C235" s="35">
        <v>59.157226688140824</v>
      </c>
      <c r="D235" s="35">
        <v>488.47197662337663</v>
      </c>
      <c r="E235" s="35">
        <v>3.5402298850574714E-2</v>
      </c>
      <c r="F235" s="35">
        <v>2.4483482935856653E-3</v>
      </c>
      <c r="G235" s="35">
        <v>17.293030896551723</v>
      </c>
      <c r="H235" s="35">
        <v>0.79470805428687852</v>
      </c>
      <c r="I235" s="35">
        <v>635803</v>
      </c>
      <c r="J235" s="35">
        <v>800046</v>
      </c>
    </row>
    <row r="236" spans="1:10">
      <c r="A236" s="2" t="s">
        <v>359</v>
      </c>
      <c r="B236" s="34">
        <v>13.462880381616314</v>
      </c>
      <c r="C236" s="35">
        <v>22.423722790837473</v>
      </c>
      <c r="D236" s="35">
        <v>298.41962368421053</v>
      </c>
      <c r="E236" s="35">
        <v>1.7163504968383016E-2</v>
      </c>
      <c r="F236" s="35">
        <v>2.6284797082316291E-3</v>
      </c>
      <c r="G236" s="35">
        <v>5.1219266937669374</v>
      </c>
      <c r="H236" s="35">
        <v>0.72987901066720928</v>
      </c>
      <c r="I236" s="35">
        <v>505712</v>
      </c>
      <c r="J236" s="35">
        <v>692871</v>
      </c>
    </row>
    <row r="237" spans="1:10">
      <c r="A237" s="2" t="s">
        <v>233</v>
      </c>
      <c r="B237" s="34">
        <v>45.640673358508764</v>
      </c>
      <c r="C237" s="35">
        <v>191.94224333916685</v>
      </c>
      <c r="D237" s="35">
        <v>192.38591311475409</v>
      </c>
      <c r="E237" s="35">
        <v>9.3606138107416886E-2</v>
      </c>
      <c r="F237" s="35">
        <v>2.5343958350348139E-3</v>
      </c>
      <c r="G237" s="35">
        <v>18.008502352941175</v>
      </c>
      <c r="H237" s="35">
        <v>0.2798953804741755</v>
      </c>
      <c r="I237" s="35">
        <v>183423</v>
      </c>
      <c r="J237" s="35">
        <v>655327</v>
      </c>
    </row>
    <row r="238" spans="1:10">
      <c r="A238" s="2" t="s">
        <v>237</v>
      </c>
      <c r="B238" s="34">
        <v>47.200837318395358</v>
      </c>
      <c r="C238" s="35">
        <v>86.766157467862783</v>
      </c>
      <c r="D238" s="35">
        <v>374.30631111111109</v>
      </c>
      <c r="E238" s="35">
        <v>4.709576138147567E-2</v>
      </c>
      <c r="F238" s="35">
        <v>2.6775693667009013E-3</v>
      </c>
      <c r="G238" s="35">
        <v>17.628240711669282</v>
      </c>
      <c r="H238" s="35">
        <v>0.59552547177191129</v>
      </c>
      <c r="I238" s="35">
        <v>388257</v>
      </c>
      <c r="J238" s="35">
        <v>651957</v>
      </c>
    </row>
    <row r="239" spans="1:10">
      <c r="A239" s="2" t="s">
        <v>217</v>
      </c>
      <c r="B239" s="34">
        <v>36.502102223805934</v>
      </c>
      <c r="C239" s="35">
        <v>43.192653725255298</v>
      </c>
      <c r="D239" s="35">
        <v>336.16842394366199</v>
      </c>
      <c r="E239" s="35">
        <v>3.6335721596724664E-2</v>
      </c>
      <c r="F239" s="35">
        <v>2.9883204690776123E-3</v>
      </c>
      <c r="G239" s="35">
        <v>12.214922262026612</v>
      </c>
      <c r="H239" s="35">
        <v>0.91560609550194105</v>
      </c>
      <c r="I239" s="35">
        <v>552593</v>
      </c>
      <c r="J239" s="35">
        <v>603527</v>
      </c>
    </row>
    <row r="240" spans="1:10">
      <c r="A240" s="2" t="s">
        <v>310</v>
      </c>
      <c r="B240" s="34">
        <v>31.490770095987955</v>
      </c>
      <c r="C240" s="35">
        <v>99.298125948672734</v>
      </c>
      <c r="D240" s="35">
        <v>238.81917108433734</v>
      </c>
      <c r="E240" s="35">
        <v>5.0826699326393145E-2</v>
      </c>
      <c r="F240" s="35">
        <v>2.5943118957064376E-3</v>
      </c>
      <c r="G240" s="35">
        <v>12.138390202082057</v>
      </c>
      <c r="H240" s="35">
        <v>0.37118349708811521</v>
      </c>
      <c r="I240" s="35">
        <v>199621</v>
      </c>
      <c r="J240" s="35">
        <v>537796</v>
      </c>
    </row>
    <row r="241" spans="1:10">
      <c r="A241" s="2" t="s">
        <v>231</v>
      </c>
      <c r="B241" s="34">
        <v>43.742717875467875</v>
      </c>
      <c r="C241" s="35">
        <v>85.102211924344246</v>
      </c>
      <c r="D241" s="35">
        <v>650.10552285714277</v>
      </c>
      <c r="E241" s="35">
        <v>2.0722320899940794E-2</v>
      </c>
      <c r="F241" s="35">
        <v>3.2470091566042707E-3</v>
      </c>
      <c r="G241" s="35">
        <v>13.471695263469508</v>
      </c>
      <c r="H241" s="35">
        <v>0.547132745209987</v>
      </c>
      <c r="I241" s="35">
        <v>267369</v>
      </c>
      <c r="J241" s="35">
        <v>488673</v>
      </c>
    </row>
    <row r="242" spans="1:10">
      <c r="A242" s="2" t="s">
        <v>260</v>
      </c>
      <c r="B242" s="34">
        <v>21.497253816095281</v>
      </c>
      <c r="C242" s="35">
        <v>40.481778940955799</v>
      </c>
      <c r="D242" s="35">
        <v>99.024781372549029</v>
      </c>
      <c r="E242" s="35">
        <v>5.6666666666666664E-2</v>
      </c>
      <c r="F242" s="35">
        <v>3.830993589470727E-3</v>
      </c>
      <c r="G242" s="35">
        <v>5.6114042777777779</v>
      </c>
      <c r="H242" s="35">
        <v>0.56373631091037668</v>
      </c>
      <c r="I242" s="35">
        <v>249508</v>
      </c>
      <c r="J242" s="35">
        <v>442597</v>
      </c>
    </row>
    <row r="243" spans="1:10">
      <c r="A243" s="2" t="s">
        <v>242</v>
      </c>
      <c r="B243" s="34">
        <v>86.651848662146392</v>
      </c>
      <c r="C243" s="35">
        <v>188.23981132729173</v>
      </c>
      <c r="D243" s="35">
        <v>256.97659594594597</v>
      </c>
      <c r="E243" s="35">
        <v>0.1178343949044586</v>
      </c>
      <c r="F243" s="35">
        <v>2.8616214639836687E-3</v>
      </c>
      <c r="G243" s="35">
        <v>30.280681687898092</v>
      </c>
      <c r="H243" s="35">
        <v>0.48758021038710936</v>
      </c>
      <c r="I243" s="35">
        <v>202043</v>
      </c>
      <c r="J243" s="35">
        <v>414379</v>
      </c>
    </row>
    <row r="244" spans="1:10">
      <c r="A244" s="2" t="s">
        <v>360</v>
      </c>
      <c r="B244" s="34">
        <v>15.570797315868873</v>
      </c>
      <c r="C244" s="35">
        <v>35.388096509835641</v>
      </c>
      <c r="D244" s="35">
        <v>210.80689090909092</v>
      </c>
      <c r="E244" s="35">
        <v>3.4700315457413249E-2</v>
      </c>
      <c r="F244" s="35">
        <v>2.1285929798958757E-3</v>
      </c>
      <c r="G244" s="35">
        <v>7.3150656151419557</v>
      </c>
      <c r="H244" s="35">
        <v>0.51764808114641425</v>
      </c>
      <c r="I244" s="35">
        <v>196581</v>
      </c>
      <c r="J244" s="35">
        <v>379758</v>
      </c>
    </row>
    <row r="245" spans="1:10">
      <c r="A245" s="2" t="s">
        <v>287</v>
      </c>
      <c r="B245" s="34">
        <v>71.832380501259905</v>
      </c>
      <c r="C245" s="35">
        <v>838.30916441034901</v>
      </c>
      <c r="D245" s="35">
        <v>282.1812316455696</v>
      </c>
      <c r="E245" s="35">
        <v>8.8366890380313201E-2</v>
      </c>
      <c r="F245" s="35">
        <v>2.8807300427276068E-3</v>
      </c>
      <c r="G245" s="35">
        <v>24.935477964205816</v>
      </c>
      <c r="H245" s="35">
        <v>0.10140638823637085</v>
      </c>
      <c r="I245" s="35">
        <v>26592</v>
      </c>
      <c r="J245" s="35">
        <v>262232</v>
      </c>
    </row>
    <row r="246" spans="1:10">
      <c r="A246" s="2" t="s">
        <v>330</v>
      </c>
      <c r="B246" s="34">
        <v>34.106536532691727</v>
      </c>
      <c r="C246" s="35">
        <v>62.421324499797734</v>
      </c>
      <c r="D246" s="35">
        <v>165.13068596491229</v>
      </c>
      <c r="E246" s="35">
        <v>6.0638297872340423E-2</v>
      </c>
      <c r="F246" s="35">
        <v>3.4061426521531171E-3</v>
      </c>
      <c r="G246" s="35">
        <v>10.013243723404255</v>
      </c>
      <c r="H246" s="35">
        <v>0.59253073879198215</v>
      </c>
      <c r="I246" s="35">
        <v>150789</v>
      </c>
      <c r="J246" s="35">
        <v>254483</v>
      </c>
    </row>
    <row r="247" spans="1:10">
      <c r="A247" s="2" t="s">
        <v>250</v>
      </c>
      <c r="B247" s="34">
        <v>35.195226637324623</v>
      </c>
      <c r="C247" s="35">
        <v>56.985106338731143</v>
      </c>
      <c r="D247" s="35">
        <v>158.0854519230769</v>
      </c>
      <c r="E247" s="35">
        <v>0.11206896551724138</v>
      </c>
      <c r="F247" s="35">
        <v>1.986582008588542E-3</v>
      </c>
      <c r="G247" s="35">
        <v>17.716473060344825</v>
      </c>
      <c r="H247" s="35">
        <v>0.66404588515821361</v>
      </c>
      <c r="I247" s="35">
        <v>144256</v>
      </c>
      <c r="J247" s="35">
        <v>217238</v>
      </c>
    </row>
    <row r="248" spans="1:10">
      <c r="A248" s="2" t="s">
        <v>265</v>
      </c>
      <c r="B248" s="34">
        <v>63.065648426681939</v>
      </c>
      <c r="C248" s="35">
        <v>239.53642299031239</v>
      </c>
      <c r="D248" s="35">
        <v>452.84018571428567</v>
      </c>
      <c r="E248" s="35">
        <v>3.133393017009848E-2</v>
      </c>
      <c r="F248" s="35">
        <v>4.4446036066147802E-3</v>
      </c>
      <c r="G248" s="35">
        <v>14.189262757385855</v>
      </c>
      <c r="H248" s="35">
        <v>0.31307725793019908</v>
      </c>
      <c r="I248" s="35">
        <v>66167</v>
      </c>
      <c r="J248" s="35">
        <v>211344</v>
      </c>
    </row>
    <row r="249" spans="1:10">
      <c r="A249" s="2" t="s">
        <v>219</v>
      </c>
      <c r="B249" s="34">
        <v>67.039461940123218</v>
      </c>
      <c r="C249" s="35">
        <v>114.01018904738861</v>
      </c>
      <c r="D249" s="35">
        <v>412.27034444444445</v>
      </c>
      <c r="E249" s="35">
        <v>5.4135338345864661E-2</v>
      </c>
      <c r="F249" s="35">
        <v>3.0037761757638172E-3</v>
      </c>
      <c r="G249" s="35">
        <v>22.318394586466166</v>
      </c>
      <c r="H249" s="35">
        <v>0.62930359370014788</v>
      </c>
      <c r="I249" s="35">
        <v>130179</v>
      </c>
      <c r="J249" s="35">
        <v>206862</v>
      </c>
    </row>
    <row r="250" spans="1:10">
      <c r="A250" s="2" t="s">
        <v>289</v>
      </c>
      <c r="B250" s="34">
        <v>66.324730468364749</v>
      </c>
      <c r="C250" s="35">
        <v>135.77083200510043</v>
      </c>
      <c r="D250" s="35">
        <v>3194.34825</v>
      </c>
      <c r="E250" s="35">
        <v>5.4644808743169399E-3</v>
      </c>
      <c r="F250" s="35">
        <v>3.7996563698747465E-3</v>
      </c>
      <c r="G250" s="35">
        <v>17.455454918032785</v>
      </c>
      <c r="H250" s="35">
        <v>0.50879896196577734</v>
      </c>
      <c r="I250" s="35">
        <v>94110</v>
      </c>
      <c r="J250" s="35">
        <v>184965</v>
      </c>
    </row>
    <row r="251" spans="1:10">
      <c r="A251" s="2" t="s">
        <v>361</v>
      </c>
      <c r="B251" s="34">
        <v>15.128779489172162</v>
      </c>
      <c r="C251" s="35">
        <v>42.171377996188944</v>
      </c>
      <c r="D251" s="35">
        <v>840.98161999999991</v>
      </c>
      <c r="E251" s="35">
        <v>6.0096153846153849E-3</v>
      </c>
      <c r="F251" s="35">
        <v>2.9934410540366479E-3</v>
      </c>
      <c r="G251" s="35">
        <v>5.0539760817307684</v>
      </c>
      <c r="H251" s="35">
        <v>0.55552769838484128</v>
      </c>
      <c r="I251" s="35">
        <v>99710</v>
      </c>
      <c r="J251" s="35">
        <v>179487</v>
      </c>
    </row>
    <row r="252" spans="1:10">
      <c r="A252" s="2" t="s">
        <v>362</v>
      </c>
      <c r="B252" s="34">
        <v>30.860082706492367</v>
      </c>
      <c r="C252" s="35">
        <v>89.38726301594437</v>
      </c>
      <c r="D252" s="35">
        <v>397.71022352941179</v>
      </c>
      <c r="E252" s="35">
        <v>3.1423290203327174E-2</v>
      </c>
      <c r="F252" s="35">
        <v>2.4693273935587528E-3</v>
      </c>
      <c r="G252" s="35">
        <v>12.497363770794825</v>
      </c>
      <c r="H252" s="35">
        <v>0.49119730886373525</v>
      </c>
      <c r="I252" s="35">
        <v>75638</v>
      </c>
      <c r="J252" s="35">
        <v>153987</v>
      </c>
    </row>
    <row r="253" spans="1:10">
      <c r="A253" s="2" t="s">
        <v>241</v>
      </c>
      <c r="B253" s="34">
        <v>78.859348170189435</v>
      </c>
      <c r="C253" s="35">
        <v>232.20382417365238</v>
      </c>
      <c r="D253" s="35">
        <v>287.73844897959179</v>
      </c>
      <c r="E253" s="35">
        <v>9.3869731800766285E-2</v>
      </c>
      <c r="F253" s="35">
        <v>2.9196427073253949E-3</v>
      </c>
      <c r="G253" s="35">
        <v>27.009931034482758</v>
      </c>
      <c r="H253" s="35">
        <v>0.40669122572002681</v>
      </c>
      <c r="I253" s="35">
        <v>60719</v>
      </c>
      <c r="J253" s="35">
        <v>149300</v>
      </c>
    </row>
    <row r="254" spans="1:10">
      <c r="A254" s="2" t="s">
        <v>234</v>
      </c>
      <c r="B254" s="34">
        <v>25.65742518903658</v>
      </c>
      <c r="C254" s="35">
        <v>36.489823584952539</v>
      </c>
      <c r="D254" s="35">
        <v>118.43301935483871</v>
      </c>
      <c r="E254" s="35">
        <v>7.0615034168564919E-2</v>
      </c>
      <c r="F254" s="35">
        <v>3.0679133995834907E-3</v>
      </c>
      <c r="G254" s="35">
        <v>8.3631517084282461</v>
      </c>
      <c r="H254" s="35">
        <v>0.7461806585582913</v>
      </c>
      <c r="I254" s="35">
        <v>100615</v>
      </c>
      <c r="J254" s="35">
        <v>134840</v>
      </c>
    </row>
    <row r="255" spans="1:10">
      <c r="A255" s="2" t="s">
        <v>264</v>
      </c>
      <c r="B255" s="34">
        <v>103.54099277802359</v>
      </c>
      <c r="C255" s="35">
        <v>156.94338588853142</v>
      </c>
      <c r="D255" s="35">
        <v>321.08061860465114</v>
      </c>
      <c r="E255" s="35">
        <v>8.8114754098360656E-2</v>
      </c>
      <c r="F255" s="35">
        <v>3.6597346692364805E-3</v>
      </c>
      <c r="G255" s="35">
        <v>28.291939754098362</v>
      </c>
      <c r="H255" s="35">
        <v>0.70447247247247247</v>
      </c>
      <c r="I255" s="35">
        <v>87971</v>
      </c>
      <c r="J255" s="35">
        <v>124875</v>
      </c>
    </row>
    <row r="256" spans="1:10">
      <c r="A256" s="2" t="s">
        <v>363</v>
      </c>
      <c r="B256" s="34">
        <v>36.274295196682601</v>
      </c>
      <c r="C256" s="35">
        <v>50.920089538362028</v>
      </c>
      <c r="D256" s="35">
        <v>201.54578799999999</v>
      </c>
      <c r="E256" s="35">
        <v>6.2656641604010022E-2</v>
      </c>
      <c r="F256" s="35">
        <v>2.8724874733628983E-3</v>
      </c>
      <c r="G256" s="35">
        <v>12.628182205513784</v>
      </c>
      <c r="H256" s="35">
        <v>0.81989924433249373</v>
      </c>
      <c r="I256" s="35">
        <v>98952</v>
      </c>
      <c r="J256" s="35">
        <v>120688</v>
      </c>
    </row>
    <row r="257" spans="1:10">
      <c r="A257" s="2" t="s">
        <v>244</v>
      </c>
      <c r="B257" s="34">
        <v>98.622158546669169</v>
      </c>
      <c r="C257" s="35">
        <v>220.39189886386504</v>
      </c>
      <c r="D257" s="35">
        <v>308.88207179487176</v>
      </c>
      <c r="E257" s="35">
        <v>7.3308270676691725E-2</v>
      </c>
      <c r="F257" s="35">
        <v>4.3554078282724918E-3</v>
      </c>
      <c r="G257" s="35">
        <v>22.64361052631579</v>
      </c>
      <c r="H257" s="35">
        <v>0.47658865792410715</v>
      </c>
      <c r="I257" s="35">
        <v>54659</v>
      </c>
      <c r="J257" s="35">
        <v>114688</v>
      </c>
    </row>
    <row r="258" spans="1:10">
      <c r="A258" s="2" t="s">
        <v>281</v>
      </c>
      <c r="B258" s="34">
        <v>85.319554016451093</v>
      </c>
      <c r="C258" s="35">
        <v>126.50406914139984</v>
      </c>
      <c r="D258" s="35">
        <v>587.41165789473689</v>
      </c>
      <c r="E258" s="35">
        <v>3.2148900169204735E-2</v>
      </c>
      <c r="F258" s="35">
        <v>4.5179341344830752E-3</v>
      </c>
      <c r="G258" s="35">
        <v>18.884638747884942</v>
      </c>
      <c r="H258" s="35">
        <v>0.77272408779582047</v>
      </c>
      <c r="I258" s="35">
        <v>88225</v>
      </c>
      <c r="J258" s="35">
        <v>114174</v>
      </c>
    </row>
    <row r="259" spans="1:10">
      <c r="A259" s="2" t="s">
        <v>364</v>
      </c>
      <c r="B259" s="34">
        <v>20.904387416378199</v>
      </c>
      <c r="C259" s="35">
        <v>67.103437825860269</v>
      </c>
      <c r="D259" s="35">
        <v>137.28468666666669</v>
      </c>
      <c r="E259" s="35">
        <v>5.016722408026756E-2</v>
      </c>
      <c r="F259" s="35">
        <v>3.0352556619192153E-3</v>
      </c>
      <c r="G259" s="35">
        <v>6.8871916387959873</v>
      </c>
      <c r="H259" s="35">
        <v>0.28020964590295661</v>
      </c>
      <c r="I259" s="35">
        <v>30688</v>
      </c>
      <c r="J259" s="35">
        <v>109518</v>
      </c>
    </row>
    <row r="260" spans="1:10">
      <c r="A260" s="2" t="s">
        <v>243</v>
      </c>
      <c r="B260" s="34">
        <v>61.7233674981156</v>
      </c>
      <c r="C260" s="35">
        <v>134.74377364200333</v>
      </c>
      <c r="D260" s="35">
        <v>339.2463238095238</v>
      </c>
      <c r="E260" s="35">
        <v>6.0869565217391307E-2</v>
      </c>
      <c r="F260" s="35">
        <v>2.9890574505505932E-3</v>
      </c>
      <c r="G260" s="35">
        <v>20.649776231884058</v>
      </c>
      <c r="H260" s="35">
        <v>0.49326417136246598</v>
      </c>
      <c r="I260" s="35">
        <v>52872</v>
      </c>
      <c r="J260" s="35">
        <v>107188</v>
      </c>
    </row>
    <row r="261" spans="1:10">
      <c r="A261" s="2" t="s">
        <v>292</v>
      </c>
      <c r="B261" s="34">
        <v>94.673622202362068</v>
      </c>
      <c r="C261" s="35">
        <v>223.0485589440558</v>
      </c>
      <c r="D261" s="35">
        <v>518.51746315789478</v>
      </c>
      <c r="E261" s="35">
        <v>4.0084388185654012E-2</v>
      </c>
      <c r="F261" s="35">
        <v>4.5550206129097359E-3</v>
      </c>
      <c r="G261" s="35">
        <v>20.784455274261603</v>
      </c>
      <c r="H261" s="35">
        <v>0.4640624507506908</v>
      </c>
      <c r="I261" s="35">
        <v>44169</v>
      </c>
      <c r="J261" s="35">
        <v>95179</v>
      </c>
    </row>
    <row r="262" spans="1:10">
      <c r="A262" s="2" t="s">
        <v>283</v>
      </c>
      <c r="B262" s="34">
        <v>33.82904532527364</v>
      </c>
      <c r="C262" s="35">
        <v>165.08095969683001</v>
      </c>
      <c r="D262" s="35">
        <v>644.70717999999999</v>
      </c>
      <c r="E262" s="35">
        <v>2.5125628140703519E-2</v>
      </c>
      <c r="F262" s="35">
        <v>2.0883837588808784E-3</v>
      </c>
      <c r="G262" s="35">
        <v>16.198672864321608</v>
      </c>
      <c r="H262" s="35">
        <v>0.23583333333333334</v>
      </c>
      <c r="I262" s="35">
        <v>19527</v>
      </c>
      <c r="J262" s="35">
        <v>82800</v>
      </c>
    </row>
    <row r="263" spans="1:10">
      <c r="A263" s="2" t="s">
        <v>228</v>
      </c>
      <c r="B263" s="34">
        <v>200.22807133214027</v>
      </c>
      <c r="C263" s="35">
        <v>1127.6902569845572</v>
      </c>
      <c r="D263" s="35">
        <v>683.29974642857144</v>
      </c>
      <c r="E263" s="35">
        <v>7.0528967254408062E-2</v>
      </c>
      <c r="F263" s="35">
        <v>4.154762278526054E-3</v>
      </c>
      <c r="G263" s="35">
        <v>48.192425440806041</v>
      </c>
      <c r="H263" s="35">
        <v>0.21418471948694642</v>
      </c>
      <c r="I263" s="35">
        <v>16966</v>
      </c>
      <c r="J263" s="35">
        <v>79212</v>
      </c>
    </row>
    <row r="264" spans="1:10">
      <c r="A264" s="2" t="s">
        <v>285</v>
      </c>
      <c r="B264" s="34">
        <v>119.07810719299694</v>
      </c>
      <c r="C264" s="35">
        <v>185.30062327314783</v>
      </c>
      <c r="D264" s="35">
        <v>360.47919999999999</v>
      </c>
      <c r="E264" s="35">
        <v>0.12182741116751269</v>
      </c>
      <c r="F264" s="35">
        <v>2.7114818179315662E-3</v>
      </c>
      <c r="G264" s="35">
        <v>43.916247715736041</v>
      </c>
      <c r="H264" s="35">
        <v>0.67377155638934993</v>
      </c>
      <c r="I264" s="35">
        <v>46689</v>
      </c>
      <c r="J264" s="35">
        <v>69295</v>
      </c>
    </row>
    <row r="265" spans="1:10">
      <c r="A265" s="2" t="s">
        <v>320</v>
      </c>
      <c r="B265" s="34">
        <v>22.237981295393492</v>
      </c>
      <c r="C265" s="35">
        <v>136.21631751352174</v>
      </c>
      <c r="D265" s="35">
        <v>198.67906666666667</v>
      </c>
      <c r="E265" s="35">
        <v>4.5226130653266333E-2</v>
      </c>
      <c r="F265" s="35">
        <v>2.4748781215799421E-3</v>
      </c>
      <c r="G265" s="35">
        <v>8.9854854271356785</v>
      </c>
      <c r="H265" s="35">
        <v>0.19584644993808464</v>
      </c>
      <c r="I265" s="35">
        <v>13127</v>
      </c>
      <c r="J265" s="35">
        <v>67027</v>
      </c>
    </row>
    <row r="266" spans="1:10">
      <c r="A266" s="2" t="s">
        <v>323</v>
      </c>
      <c r="B266" s="34">
        <v>19.948065777940577</v>
      </c>
      <c r="C266" s="35">
        <v>26.168463505466026</v>
      </c>
      <c r="D266" s="35">
        <v>190.60127499999999</v>
      </c>
      <c r="E266" s="35">
        <v>0.08</v>
      </c>
      <c r="F266" s="35">
        <v>1.3082327084341762E-3</v>
      </c>
      <c r="G266" s="35">
        <v>15.248101999999999</v>
      </c>
      <c r="H266" s="35">
        <v>0.87067419759727449</v>
      </c>
      <c r="I266" s="35">
        <v>58269</v>
      </c>
      <c r="J266" s="35">
        <v>66924</v>
      </c>
    </row>
    <row r="267" spans="1:10">
      <c r="A267" s="2" t="s">
        <v>232</v>
      </c>
      <c r="B267" s="34">
        <v>178.3910529274757</v>
      </c>
      <c r="C267" s="35">
        <v>375.07759421350369</v>
      </c>
      <c r="D267" s="35">
        <v>341.71492307692307</v>
      </c>
      <c r="E267" s="35">
        <v>0.1368421052631579</v>
      </c>
      <c r="F267" s="35">
        <v>3.8149546221187053E-3</v>
      </c>
      <c r="G267" s="35">
        <v>46.760989473684212</v>
      </c>
      <c r="H267" s="35">
        <v>0.55885683727075408</v>
      </c>
      <c r="I267" s="35">
        <v>35531</v>
      </c>
      <c r="J267" s="35">
        <v>63578</v>
      </c>
    </row>
    <row r="268" spans="1:10">
      <c r="A268" s="2" t="s">
        <v>365</v>
      </c>
      <c r="B268" s="34">
        <v>54.629901524278459</v>
      </c>
      <c r="C268" s="35">
        <v>111.26764462699705</v>
      </c>
      <c r="D268" s="35">
        <v>198.65513333333334</v>
      </c>
      <c r="E268" s="35">
        <v>6.7741935483870974E-2</v>
      </c>
      <c r="F268" s="35">
        <v>4.0595044785501026E-3</v>
      </c>
      <c r="G268" s="35">
        <v>13.457283225806453</v>
      </c>
      <c r="H268" s="35">
        <v>0.61888019543758876</v>
      </c>
      <c r="I268" s="35">
        <v>37493</v>
      </c>
      <c r="J268" s="35">
        <v>60582</v>
      </c>
    </row>
    <row r="269" spans="1:10">
      <c r="A269" s="2" t="s">
        <v>262</v>
      </c>
      <c r="B269" s="34">
        <v>48.016787761733958</v>
      </c>
      <c r="C269" s="35">
        <v>131.9455456804684</v>
      </c>
      <c r="D269" s="35">
        <v>208.83461333333335</v>
      </c>
      <c r="E269" s="35">
        <v>6.25E-2</v>
      </c>
      <c r="F269" s="35">
        <v>3.678837487353996E-3</v>
      </c>
      <c r="G269" s="35">
        <v>13.052163333333334</v>
      </c>
      <c r="H269" s="35">
        <v>0.39639022924214851</v>
      </c>
      <c r="I269" s="35">
        <v>23741</v>
      </c>
      <c r="J269" s="35">
        <v>59893</v>
      </c>
    </row>
    <row r="270" spans="1:10">
      <c r="A270" s="2" t="s">
        <v>366</v>
      </c>
      <c r="B270" s="34">
        <v>51.33681468016966</v>
      </c>
      <c r="C270" s="35">
        <v>140.09879057022727</v>
      </c>
      <c r="D270" s="35">
        <v>329.49678888888889</v>
      </c>
      <c r="E270" s="35">
        <v>3.214285714285714E-2</v>
      </c>
      <c r="F270" s="35">
        <v>4.8472258287890592E-3</v>
      </c>
      <c r="G270" s="35">
        <v>10.590968214285715</v>
      </c>
      <c r="H270" s="35">
        <v>0.3830992543256353</v>
      </c>
      <c r="I270" s="35">
        <v>21167</v>
      </c>
      <c r="J270" s="35">
        <v>55252</v>
      </c>
    </row>
    <row r="271" spans="1:10">
      <c r="A271" s="2" t="s">
        <v>258</v>
      </c>
      <c r="B271" s="34">
        <v>161.33316802555268</v>
      </c>
      <c r="C271" s="35">
        <v>495.3496180448023</v>
      </c>
      <c r="D271" s="35">
        <v>479.84517500000004</v>
      </c>
      <c r="E271" s="35">
        <v>0.11834319526627218</v>
      </c>
      <c r="F271" s="35">
        <v>2.8410523661427252E-3</v>
      </c>
      <c r="G271" s="35">
        <v>56.786411242603549</v>
      </c>
      <c r="H271" s="35">
        <v>0.36316943783155564</v>
      </c>
      <c r="I271" s="35">
        <v>19374</v>
      </c>
      <c r="J271" s="35">
        <v>53347</v>
      </c>
    </row>
    <row r="272" spans="1:10">
      <c r="A272" s="2" t="s">
        <v>208</v>
      </c>
      <c r="B272" s="34">
        <v>248.10860722102603</v>
      </c>
      <c r="C272" s="35">
        <v>835.20782317000123</v>
      </c>
      <c r="D272" s="35">
        <v>995.92567142857138</v>
      </c>
      <c r="E272" s="35">
        <v>9.8591549295774641E-2</v>
      </c>
      <c r="F272" s="35">
        <v>2.5268252753705713E-3</v>
      </c>
      <c r="G272" s="35">
        <v>98.189854929577464</v>
      </c>
      <c r="H272" s="35">
        <v>0.3212546906571731</v>
      </c>
      <c r="I272" s="35">
        <v>16694</v>
      </c>
      <c r="J272" s="35">
        <v>51965</v>
      </c>
    </row>
    <row r="273" spans="1:10">
      <c r="A273" s="2" t="s">
        <v>367</v>
      </c>
      <c r="B273" s="34">
        <v>27.746292533343187</v>
      </c>
      <c r="C273" s="35">
        <v>40.141584264257844</v>
      </c>
      <c r="D273" s="35">
        <v>375.50445000000002</v>
      </c>
      <c r="E273" s="35">
        <v>2.5806451612903226E-2</v>
      </c>
      <c r="F273" s="35">
        <v>2.8632652307237594E-3</v>
      </c>
      <c r="G273" s="35">
        <v>9.6904374193548399</v>
      </c>
      <c r="H273" s="35">
        <v>0.72940993001812904</v>
      </c>
      <c r="I273" s="35">
        <v>37418</v>
      </c>
      <c r="J273" s="35">
        <v>51299</v>
      </c>
    </row>
    <row r="274" spans="1:10">
      <c r="A274" s="2" t="s">
        <v>286</v>
      </c>
      <c r="B274" s="34">
        <v>266.89103040681653</v>
      </c>
      <c r="C274" s="35">
        <v>370.60115125855469</v>
      </c>
      <c r="D274" s="35">
        <v>555.6439173913044</v>
      </c>
      <c r="E274" s="35">
        <v>0.14838709677419354</v>
      </c>
      <c r="F274" s="35">
        <v>3.2369893910283182E-3</v>
      </c>
      <c r="G274" s="35">
        <v>82.450387741935486</v>
      </c>
      <c r="H274" s="35">
        <v>0.74762059620596211</v>
      </c>
      <c r="I274" s="35">
        <v>34484</v>
      </c>
      <c r="J274" s="35">
        <v>46125</v>
      </c>
    </row>
    <row r="275" spans="1:10">
      <c r="A275" s="2" t="s">
        <v>346</v>
      </c>
      <c r="B275" s="34">
        <v>214.3275629741062</v>
      </c>
      <c r="C275" s="35">
        <v>410.33372449292239</v>
      </c>
      <c r="D275" s="35">
        <v>478.30257500000005</v>
      </c>
      <c r="E275" s="35">
        <v>8.8328075709779186E-2</v>
      </c>
      <c r="F275" s="35">
        <v>5.0731363825496914E-3</v>
      </c>
      <c r="G275" s="35">
        <v>42.24754605678234</v>
      </c>
      <c r="H275" s="35">
        <v>0.72046974680470632</v>
      </c>
      <c r="I275" s="35">
        <v>32638</v>
      </c>
      <c r="J275" s="35">
        <v>45301</v>
      </c>
    </row>
    <row r="276" spans="1:10">
      <c r="A276" s="2" t="s">
        <v>273</v>
      </c>
      <c r="B276" s="34">
        <v>68.190829017369538</v>
      </c>
      <c r="C276" s="35">
        <v>193.54603</v>
      </c>
      <c r="D276" s="35">
        <v>215.05114444444445</v>
      </c>
      <c r="E276" s="35">
        <v>0.12328767123287671</v>
      </c>
      <c r="F276" s="35">
        <v>2.571962089983441E-3</v>
      </c>
      <c r="G276" s="35">
        <v>26.513154794520549</v>
      </c>
      <c r="H276" s="35">
        <v>0.47796577765032022</v>
      </c>
      <c r="I276" s="35">
        <v>20000</v>
      </c>
      <c r="J276" s="35">
        <v>41844</v>
      </c>
    </row>
    <row r="277" spans="1:10">
      <c r="A277" s="2" t="s">
        <v>368</v>
      </c>
      <c r="B277" s="34">
        <v>36.054597064851237</v>
      </c>
      <c r="C277" s="35">
        <v>52.520544231693087</v>
      </c>
      <c r="D277" s="35">
        <v>218.65052857142857</v>
      </c>
      <c r="E277" s="35">
        <v>5.737704918032787E-2</v>
      </c>
      <c r="F277" s="35">
        <v>2.8739016748722057E-3</v>
      </c>
      <c r="G277" s="35">
        <v>12.545522131147541</v>
      </c>
      <c r="H277" s="35">
        <v>0.70917187842211571</v>
      </c>
      <c r="I277" s="35">
        <v>29142</v>
      </c>
      <c r="J277" s="35">
        <v>41093</v>
      </c>
    </row>
    <row r="278" spans="1:10">
      <c r="A278" s="2" t="s">
        <v>369</v>
      </c>
      <c r="B278" s="34">
        <v>102.66150549331014</v>
      </c>
      <c r="C278" s="35">
        <v>470.56602512963707</v>
      </c>
      <c r="D278" s="35">
        <v>4718.8361000000004</v>
      </c>
      <c r="E278" s="35">
        <v>5.263157894736842E-3</v>
      </c>
      <c r="F278" s="35">
        <v>4.1335798977482864E-3</v>
      </c>
      <c r="G278" s="35">
        <v>24.835979473684212</v>
      </c>
      <c r="H278" s="35">
        <v>0.2688832283147875</v>
      </c>
      <c r="I278" s="35">
        <v>10028</v>
      </c>
      <c r="J278" s="35">
        <v>37295</v>
      </c>
    </row>
    <row r="279" spans="1:10">
      <c r="A279" s="2" t="s">
        <v>221</v>
      </c>
      <c r="B279" s="34">
        <v>222.93566974111732</v>
      </c>
      <c r="C279" s="35">
        <v>290.17144367518165</v>
      </c>
      <c r="D279" s="35">
        <v>447.79562631578955</v>
      </c>
      <c r="E279" s="35">
        <v>0.10795454545454546</v>
      </c>
      <c r="F279" s="35">
        <v>4.6116759249554551E-3</v>
      </c>
      <c r="G279" s="35">
        <v>48.341573295454552</v>
      </c>
      <c r="H279" s="35">
        <v>0.79218112555048226</v>
      </c>
      <c r="I279" s="35">
        <v>29321</v>
      </c>
      <c r="J279" s="35">
        <v>37013</v>
      </c>
    </row>
    <row r="280" spans="1:10">
      <c r="A280" s="2" t="s">
        <v>229</v>
      </c>
      <c r="B280" s="34">
        <v>54.932854008003098</v>
      </c>
      <c r="C280" s="35">
        <v>74.091162644938876</v>
      </c>
      <c r="D280" s="35">
        <v>531.95602499999995</v>
      </c>
      <c r="E280" s="35">
        <v>3.5087719298245612E-2</v>
      </c>
      <c r="F280" s="35">
        <v>2.9430747386084938E-3</v>
      </c>
      <c r="G280" s="35">
        <v>18.665123684210524</v>
      </c>
      <c r="H280" s="35">
        <v>0.78405088864014849</v>
      </c>
      <c r="I280" s="35">
        <v>28719</v>
      </c>
      <c r="J280" s="35">
        <v>36629</v>
      </c>
    </row>
    <row r="281" spans="1:10">
      <c r="A281" s="2" t="s">
        <v>370</v>
      </c>
      <c r="B281" s="34">
        <v>161.90195594713654</v>
      </c>
      <c r="C281" s="35">
        <v>1190.5877823028509</v>
      </c>
      <c r="D281" s="35">
        <v>535.96293333333335</v>
      </c>
      <c r="E281" s="35">
        <v>8.3333333333333329E-2</v>
      </c>
      <c r="F281" s="35">
        <v>3.6249213341724355E-3</v>
      </c>
      <c r="G281" s="35">
        <v>44.663577777777775</v>
      </c>
      <c r="H281" s="35">
        <v>0.14972283813747228</v>
      </c>
      <c r="I281" s="35">
        <v>5402</v>
      </c>
      <c r="J281" s="35">
        <v>36080</v>
      </c>
    </row>
    <row r="282" spans="1:10">
      <c r="A282" s="2" t="s">
        <v>326</v>
      </c>
      <c r="B282" s="34">
        <v>43.433433149461521</v>
      </c>
      <c r="C282" s="35">
        <v>108.40561201075198</v>
      </c>
      <c r="D282" s="35">
        <v>206.68885</v>
      </c>
      <c r="E282" s="35">
        <v>5.4794520547945202E-2</v>
      </c>
      <c r="F282" s="35">
        <v>3.8350407144733386E-3</v>
      </c>
      <c r="G282" s="35">
        <v>11.325416438356164</v>
      </c>
      <c r="H282" s="35">
        <v>0.43023157419682395</v>
      </c>
      <c r="I282" s="35">
        <v>15253</v>
      </c>
      <c r="J282" s="35">
        <v>35453</v>
      </c>
    </row>
    <row r="283" spans="1:10">
      <c r="A283" s="2" t="s">
        <v>371</v>
      </c>
      <c r="B283" s="34">
        <v>147.72300802170301</v>
      </c>
      <c r="C283" s="35">
        <v>355.97881537421102</v>
      </c>
      <c r="D283" s="35">
        <v>526.37400833333334</v>
      </c>
      <c r="E283" s="35">
        <v>6.7796610169491525E-2</v>
      </c>
      <c r="F283" s="35">
        <v>4.1394794078439623E-3</v>
      </c>
      <c r="G283" s="35">
        <v>35.686373446327678</v>
      </c>
      <c r="H283" s="35">
        <v>0.50970929564517986</v>
      </c>
      <c r="I283" s="35">
        <v>17744</v>
      </c>
      <c r="J283" s="35">
        <v>34812</v>
      </c>
    </row>
    <row r="284" spans="1:10">
      <c r="A284" s="2" t="s">
        <v>293</v>
      </c>
      <c r="B284" s="34">
        <v>194.79990924591607</v>
      </c>
      <c r="C284" s="35">
        <v>314.04630015517625</v>
      </c>
      <c r="D284" s="35">
        <v>643.9376636363636</v>
      </c>
      <c r="E284" s="35">
        <v>0.10377358490566038</v>
      </c>
      <c r="F284" s="35">
        <v>2.9151311809031406E-3</v>
      </c>
      <c r="G284" s="35">
        <v>66.823719811320757</v>
      </c>
      <c r="H284" s="35">
        <v>0.66172803285902893</v>
      </c>
      <c r="I284" s="35">
        <v>22555</v>
      </c>
      <c r="J284" s="35">
        <v>34085</v>
      </c>
    </row>
    <row r="285" spans="1:10">
      <c r="A285" s="2" t="s">
        <v>372</v>
      </c>
      <c r="B285" s="34">
        <v>199.15158071352877</v>
      </c>
      <c r="C285" s="35">
        <v>275.50504947672761</v>
      </c>
      <c r="D285" s="35">
        <v>615.05250000000001</v>
      </c>
      <c r="E285" s="35">
        <v>7.3333333333333334E-2</v>
      </c>
      <c r="F285" s="35">
        <v>4.4154009184033914E-3</v>
      </c>
      <c r="G285" s="35">
        <v>45.103850000000001</v>
      </c>
      <c r="H285" s="35">
        <v>0.76468207012517908</v>
      </c>
      <c r="I285" s="35">
        <v>24557</v>
      </c>
      <c r="J285" s="35">
        <v>32114</v>
      </c>
    </row>
    <row r="286" spans="1:10">
      <c r="A286" s="2" t="s">
        <v>373</v>
      </c>
      <c r="B286" s="34">
        <v>256.04842806029677</v>
      </c>
      <c r="C286" s="35">
        <v>372.45592338210827</v>
      </c>
      <c r="D286" s="35">
        <v>485.04107222222217</v>
      </c>
      <c r="E286" s="35">
        <v>0.125</v>
      </c>
      <c r="F286" s="35">
        <v>4.2231215907091325E-3</v>
      </c>
      <c r="G286" s="35">
        <v>60.630134027777771</v>
      </c>
      <c r="H286" s="35">
        <v>0.76307822520264335</v>
      </c>
      <c r="I286" s="35">
        <v>23441</v>
      </c>
      <c r="J286" s="35">
        <v>30719</v>
      </c>
    </row>
    <row r="287" spans="1:10">
      <c r="A287" s="2" t="s">
        <v>335</v>
      </c>
      <c r="B287" s="34">
        <v>49.276013769764866</v>
      </c>
      <c r="C287" s="35">
        <v>456.01598272138227</v>
      </c>
      <c r="D287" s="35">
        <v>281.51386666666667</v>
      </c>
      <c r="E287" s="35">
        <v>0.06</v>
      </c>
      <c r="F287" s="35">
        <v>2.9173230643561466E-3</v>
      </c>
      <c r="G287" s="35">
        <v>16.890832</v>
      </c>
      <c r="H287" s="35">
        <v>0.12253945148377278</v>
      </c>
      <c r="I287" s="35">
        <v>3704</v>
      </c>
      <c r="J287" s="35">
        <v>30227</v>
      </c>
    </row>
    <row r="288" spans="1:10">
      <c r="A288" s="2" t="s">
        <v>374</v>
      </c>
      <c r="B288" s="34">
        <v>67.511557421365637</v>
      </c>
      <c r="C288" s="35">
        <v>110.94208738371485</v>
      </c>
      <c r="D288" s="35">
        <v>235.86287777777775</v>
      </c>
      <c r="E288" s="35">
        <v>0.12857142857142856</v>
      </c>
      <c r="F288" s="35">
        <v>2.2262506758260981E-3</v>
      </c>
      <c r="G288" s="35">
        <v>30.325227142857141</v>
      </c>
      <c r="H288" s="35">
        <v>0.68192023949534908</v>
      </c>
      <c r="I288" s="35">
        <v>19134</v>
      </c>
      <c r="J288" s="35">
        <v>28059</v>
      </c>
    </row>
    <row r="289" spans="1:10">
      <c r="A289" s="2" t="s">
        <v>252</v>
      </c>
      <c r="B289" s="34">
        <v>114.73028137561411</v>
      </c>
      <c r="C289" s="35">
        <v>825.16785273041762</v>
      </c>
      <c r="D289" s="35">
        <v>371.05047777777776</v>
      </c>
      <c r="E289" s="35">
        <v>0.140625</v>
      </c>
      <c r="F289" s="35">
        <v>2.1987837977118906E-3</v>
      </c>
      <c r="G289" s="35">
        <v>52.178973437499998</v>
      </c>
      <c r="H289" s="35">
        <v>0.14793288737800198</v>
      </c>
      <c r="I289" s="35">
        <v>4047</v>
      </c>
      <c r="J289" s="35">
        <v>27357</v>
      </c>
    </row>
    <row r="290" spans="1:10">
      <c r="A290" s="2" t="s">
        <v>375</v>
      </c>
      <c r="B290" s="34">
        <v>72.151794644983497</v>
      </c>
      <c r="C290" s="35">
        <v>647.16438815990239</v>
      </c>
      <c r="D290" s="35">
        <v>111.61882631578948</v>
      </c>
      <c r="E290" s="35">
        <v>0.27142857142857141</v>
      </c>
      <c r="F290" s="35">
        <v>2.3815194093831865E-3</v>
      </c>
      <c r="G290" s="35">
        <v>30.296538571428574</v>
      </c>
      <c r="H290" s="35">
        <v>0.12623752841018529</v>
      </c>
      <c r="I290" s="35">
        <v>3277</v>
      </c>
      <c r="J290" s="35">
        <v>25959</v>
      </c>
    </row>
    <row r="291" spans="1:10">
      <c r="A291" s="2" t="s">
        <v>376</v>
      </c>
      <c r="B291" s="34">
        <v>244.21421919363996</v>
      </c>
      <c r="C291" s="35">
        <v>467.76293234718298</v>
      </c>
      <c r="D291" s="35">
        <v>586.44714545454542</v>
      </c>
      <c r="E291" s="35">
        <v>0.18333333333333332</v>
      </c>
      <c r="F291" s="35">
        <v>2.2714366837024418E-3</v>
      </c>
      <c r="G291" s="35">
        <v>107.51531</v>
      </c>
      <c r="H291" s="35">
        <v>0.54477582460991503</v>
      </c>
      <c r="I291" s="35">
        <v>13791</v>
      </c>
      <c r="J291" s="35">
        <v>25315</v>
      </c>
    </row>
    <row r="292" spans="1:10">
      <c r="A292" s="2" t="s">
        <v>230</v>
      </c>
      <c r="B292" s="34">
        <v>109.13502849627356</v>
      </c>
      <c r="C292" s="35">
        <v>204.22699734948881</v>
      </c>
      <c r="D292" s="35">
        <v>215.74539999999999</v>
      </c>
      <c r="E292" s="35">
        <v>0.10714285714285714</v>
      </c>
      <c r="F292" s="35">
        <v>4.7212760934812669E-3</v>
      </c>
      <c r="G292" s="35">
        <v>23.115578571428571</v>
      </c>
      <c r="H292" s="35">
        <v>0.65285102175346077</v>
      </c>
      <c r="I292" s="35">
        <v>15846</v>
      </c>
      <c r="J292" s="35">
        <v>24272</v>
      </c>
    </row>
    <row r="293" spans="1:10">
      <c r="A293" s="2" t="s">
        <v>377</v>
      </c>
      <c r="B293" s="34">
        <v>297.04054983965796</v>
      </c>
      <c r="C293" s="35">
        <v>692.6472892973984</v>
      </c>
      <c r="D293" s="35">
        <v>404.19117727272732</v>
      </c>
      <c r="E293" s="35">
        <v>0.16296296296296298</v>
      </c>
      <c r="F293" s="35">
        <v>4.5096205237840723E-3</v>
      </c>
      <c r="G293" s="35">
        <v>65.868191851851861</v>
      </c>
      <c r="H293" s="35">
        <v>0.54513800424628445</v>
      </c>
      <c r="I293" s="35">
        <v>12838</v>
      </c>
      <c r="J293" s="35">
        <v>23550</v>
      </c>
    </row>
    <row r="294" spans="1:10">
      <c r="A294" s="2" t="s">
        <v>348</v>
      </c>
      <c r="B294" s="34">
        <v>187.02480804020104</v>
      </c>
      <c r="C294" s="35">
        <v>327.323021177795</v>
      </c>
      <c r="D294" s="35">
        <v>581.53026250000005</v>
      </c>
      <c r="E294" s="35">
        <v>0.11940298507462686</v>
      </c>
      <c r="F294" s="35">
        <v>2.693467336683417E-3</v>
      </c>
      <c r="G294" s="35">
        <v>69.436449253731354</v>
      </c>
      <c r="H294" s="35">
        <v>0.60596887657215948</v>
      </c>
      <c r="I294" s="35">
        <v>14213</v>
      </c>
      <c r="J294" s="35">
        <v>23455</v>
      </c>
    </row>
    <row r="295" spans="1:10">
      <c r="A295" s="2" t="s">
        <v>325</v>
      </c>
      <c r="B295" s="34">
        <v>349.9332629955768</v>
      </c>
      <c r="C295" s="35">
        <v>598.80601347128675</v>
      </c>
      <c r="D295" s="35">
        <v>1231.915057142857</v>
      </c>
      <c r="E295" s="35">
        <v>7.0000000000000007E-2</v>
      </c>
      <c r="F295" s="35">
        <v>4.0579474901594774E-3</v>
      </c>
      <c r="G295" s="35">
        <v>86.234054</v>
      </c>
      <c r="H295" s="35">
        <v>0.61492804987403393</v>
      </c>
      <c r="I295" s="35">
        <v>14401</v>
      </c>
      <c r="J295" s="35">
        <v>23419</v>
      </c>
    </row>
    <row r="296" spans="1:10">
      <c r="A296" s="2" t="s">
        <v>305</v>
      </c>
      <c r="B296" s="34">
        <v>139.16151256556799</v>
      </c>
      <c r="C296" s="35">
        <v>300.12832418742084</v>
      </c>
      <c r="D296" s="35">
        <v>395.0022222222222</v>
      </c>
      <c r="E296" s="35">
        <v>0.15</v>
      </c>
      <c r="F296" s="35">
        <v>2.3487042981288654E-3</v>
      </c>
      <c r="G296" s="35">
        <v>59.25033333333333</v>
      </c>
      <c r="H296" s="35">
        <v>0.50671629021218345</v>
      </c>
      <c r="I296" s="35">
        <v>11845</v>
      </c>
      <c r="J296" s="35">
        <v>23376</v>
      </c>
    </row>
    <row r="297" spans="1:10">
      <c r="A297" s="2" t="s">
        <v>334</v>
      </c>
      <c r="B297" s="34">
        <v>113.13494029584744</v>
      </c>
      <c r="C297" s="35">
        <v>200.37883522727273</v>
      </c>
      <c r="D297" s="35">
        <v>507.84012000000001</v>
      </c>
      <c r="E297" s="35">
        <v>3.125E-2</v>
      </c>
      <c r="F297" s="35">
        <v>7.1288540367135979E-3</v>
      </c>
      <c r="G297" s="35">
        <v>15.87000375</v>
      </c>
      <c r="H297" s="35">
        <v>0.59367533380182713</v>
      </c>
      <c r="I297" s="35">
        <v>12672</v>
      </c>
      <c r="J297" s="35">
        <v>21345</v>
      </c>
    </row>
    <row r="298" spans="1:10">
      <c r="A298" s="2" t="s">
        <v>331</v>
      </c>
      <c r="B298" s="34">
        <v>67.664454913114966</v>
      </c>
      <c r="C298" s="35">
        <v>117.08974082903946</v>
      </c>
      <c r="D298" s="35">
        <v>169.16865555555557</v>
      </c>
      <c r="E298" s="35">
        <v>7.4999999999999997E-2</v>
      </c>
      <c r="F298" s="35">
        <v>5.3330963068308071E-3</v>
      </c>
      <c r="G298" s="35">
        <v>12.687649166666667</v>
      </c>
      <c r="H298" s="35">
        <v>0.61087099502020104</v>
      </c>
      <c r="I298" s="35">
        <v>13003</v>
      </c>
      <c r="J298" s="35">
        <v>21286</v>
      </c>
    </row>
    <row r="299" spans="1:10">
      <c r="A299" s="2" t="s">
        <v>378</v>
      </c>
      <c r="B299" s="34">
        <v>251.49527964205814</v>
      </c>
      <c r="C299" s="35">
        <v>497.6834206448757</v>
      </c>
      <c r="D299" s="35">
        <v>562.09195</v>
      </c>
      <c r="E299" s="35">
        <v>0.15</v>
      </c>
      <c r="F299" s="35">
        <v>2.9828486204325128E-3</v>
      </c>
      <c r="G299" s="35">
        <v>84.313792500000005</v>
      </c>
      <c r="H299" s="35">
        <v>0.63953378633446578</v>
      </c>
      <c r="I299" s="35">
        <v>13553</v>
      </c>
      <c r="J299" s="35">
        <v>21192</v>
      </c>
    </row>
    <row r="300" spans="1:10">
      <c r="A300" s="2" t="s">
        <v>379</v>
      </c>
      <c r="B300" s="34">
        <v>400.40927158003183</v>
      </c>
      <c r="C300" s="35">
        <v>836.09705117863234</v>
      </c>
      <c r="D300" s="35">
        <v>621.88898666666671</v>
      </c>
      <c r="E300" s="35">
        <v>0.21428571428571427</v>
      </c>
      <c r="F300" s="35">
        <v>3.0046787139975102E-3</v>
      </c>
      <c r="G300" s="35">
        <v>133.26192571428572</v>
      </c>
      <c r="H300" s="35">
        <v>0.53575030012004798</v>
      </c>
      <c r="I300" s="35">
        <v>11157</v>
      </c>
      <c r="J300" s="35">
        <v>20825</v>
      </c>
    </row>
    <row r="301" spans="1:10">
      <c r="A301" s="2" t="s">
        <v>380</v>
      </c>
      <c r="B301" s="34">
        <v>106.36938448658682</v>
      </c>
      <c r="C301" s="35">
        <v>258.47214753228371</v>
      </c>
      <c r="D301" s="35">
        <v>1461.1430499999999</v>
      </c>
      <c r="E301" s="35">
        <v>2.8985507246376812E-2</v>
      </c>
      <c r="F301" s="35">
        <v>2.5115568012230188E-3</v>
      </c>
      <c r="G301" s="35">
        <v>42.351972463768114</v>
      </c>
      <c r="H301" s="35">
        <v>0.54816969696969697</v>
      </c>
      <c r="I301" s="35">
        <v>11306</v>
      </c>
      <c r="J301" s="35">
        <v>20625</v>
      </c>
    </row>
    <row r="302" spans="1:10">
      <c r="A302" s="2" t="s">
        <v>381</v>
      </c>
      <c r="B302" s="34">
        <v>531.52877414090131</v>
      </c>
      <c r="C302" s="35">
        <v>835.84955443074068</v>
      </c>
      <c r="D302" s="35">
        <v>617.07693157894732</v>
      </c>
      <c r="E302" s="35">
        <v>0.20212765957446807</v>
      </c>
      <c r="F302" s="35">
        <v>4.2614924290506843E-3</v>
      </c>
      <c r="G302" s="35">
        <v>124.72831595744681</v>
      </c>
      <c r="H302" s="35">
        <v>0.7148244407073332</v>
      </c>
      <c r="I302" s="35">
        <v>14027</v>
      </c>
      <c r="J302" s="35">
        <v>19623</v>
      </c>
    </row>
    <row r="303" spans="1:10">
      <c r="A303" s="2" t="s">
        <v>382</v>
      </c>
      <c r="B303" s="34">
        <v>78.462374680558298</v>
      </c>
      <c r="C303" s="35">
        <v>106.828531281365</v>
      </c>
      <c r="D303" s="35">
        <v>266.09206666666665</v>
      </c>
      <c r="E303" s="35">
        <v>5.9405940594059403E-2</v>
      </c>
      <c r="F303" s="35">
        <v>4.9636327894633375E-3</v>
      </c>
      <c r="G303" s="35">
        <v>15.807449504950496</v>
      </c>
      <c r="H303" s="35">
        <v>0.76452834049519136</v>
      </c>
      <c r="I303" s="35">
        <v>14945</v>
      </c>
      <c r="J303" s="35">
        <v>19548</v>
      </c>
    </row>
    <row r="304" spans="1:10">
      <c r="A304" s="2" t="s">
        <v>276</v>
      </c>
      <c r="B304" s="34">
        <v>64.996893597835893</v>
      </c>
      <c r="C304" s="35">
        <v>298.16568769389869</v>
      </c>
      <c r="D304" s="35">
        <v>160.18123333333335</v>
      </c>
      <c r="E304" s="35">
        <v>0.15</v>
      </c>
      <c r="F304" s="35">
        <v>2.7051397655545538E-3</v>
      </c>
      <c r="G304" s="35">
        <v>24.027184999999999</v>
      </c>
      <c r="H304" s="35">
        <v>0.25063501114509357</v>
      </c>
      <c r="I304" s="35">
        <v>4835</v>
      </c>
      <c r="J304" s="35">
        <v>19291</v>
      </c>
    </row>
    <row r="305" spans="1:10">
      <c r="A305" s="2" t="s">
        <v>383</v>
      </c>
      <c r="B305" s="34">
        <v>78.389282757949076</v>
      </c>
      <c r="C305" s="35">
        <v>103.28355039455957</v>
      </c>
      <c r="D305" s="35">
        <v>160.98806999999999</v>
      </c>
      <c r="E305" s="35">
        <v>0.11904761904761904</v>
      </c>
      <c r="F305" s="35">
        <v>4.0901787018551884E-3</v>
      </c>
      <c r="G305" s="35">
        <v>19.165246428571429</v>
      </c>
      <c r="H305" s="35">
        <v>0.80811903774367477</v>
      </c>
      <c r="I305" s="35">
        <v>15587</v>
      </c>
      <c r="J305" s="35">
        <v>19288</v>
      </c>
    </row>
    <row r="306" spans="1:10">
      <c r="A306" s="2" t="s">
        <v>291</v>
      </c>
      <c r="B306" s="34">
        <v>375.72574893376498</v>
      </c>
      <c r="C306" s="35">
        <v>499.21477435652355</v>
      </c>
      <c r="D306" s="35">
        <v>812.44431111111112</v>
      </c>
      <c r="E306" s="35">
        <v>0.12162162162162163</v>
      </c>
      <c r="F306" s="35">
        <v>3.802476748368532E-3</v>
      </c>
      <c r="G306" s="35">
        <v>98.810794594594597</v>
      </c>
      <c r="H306" s="35">
        <v>0.78196572526827179</v>
      </c>
      <c r="I306" s="35">
        <v>14647</v>
      </c>
      <c r="J306" s="35">
        <v>18731</v>
      </c>
    </row>
    <row r="307" spans="1:10">
      <c r="A307" s="2" t="s">
        <v>384</v>
      </c>
      <c r="B307" s="34">
        <v>90.063370643726472</v>
      </c>
      <c r="C307" s="35">
        <v>145.45362330281023</v>
      </c>
      <c r="D307" s="35">
        <v>460.65162500000002</v>
      </c>
      <c r="E307" s="35">
        <v>0.1</v>
      </c>
      <c r="F307" s="35">
        <v>1.9551297717385991E-3</v>
      </c>
      <c r="G307" s="35">
        <v>46.0651625</v>
      </c>
      <c r="H307" s="35">
        <v>0.68059958093805406</v>
      </c>
      <c r="I307" s="35">
        <v>12668</v>
      </c>
      <c r="J307" s="35">
        <v>18613</v>
      </c>
    </row>
    <row r="308" spans="1:10">
      <c r="A308" s="2" t="s">
        <v>357</v>
      </c>
      <c r="B308" s="34">
        <v>203.89784241649352</v>
      </c>
      <c r="C308" s="35">
        <v>352.07123539692759</v>
      </c>
      <c r="D308" s="35">
        <v>637.89440000000002</v>
      </c>
      <c r="E308" s="35">
        <v>8.6956521739130432E-2</v>
      </c>
      <c r="F308" s="35">
        <v>3.6758830110276489E-3</v>
      </c>
      <c r="G308" s="35">
        <v>55.469078260869566</v>
      </c>
      <c r="H308" s="35">
        <v>0.63432139106080054</v>
      </c>
      <c r="I308" s="35">
        <v>10871</v>
      </c>
      <c r="J308" s="35">
        <v>17138</v>
      </c>
    </row>
    <row r="309" spans="1:10">
      <c r="A309" s="2" t="s">
        <v>297</v>
      </c>
      <c r="B309" s="34">
        <v>171.36050292651203</v>
      </c>
      <c r="C309" s="35">
        <v>248.46330347320446</v>
      </c>
      <c r="D309" s="35">
        <v>632.38879999999995</v>
      </c>
      <c r="E309" s="35">
        <v>0.1</v>
      </c>
      <c r="F309" s="35">
        <v>2.7097333622371558E-3</v>
      </c>
      <c r="G309" s="35">
        <v>63.238880000000002</v>
      </c>
      <c r="H309" s="35">
        <v>0.75404396515968475</v>
      </c>
      <c r="I309" s="35">
        <v>12726</v>
      </c>
      <c r="J309" s="35">
        <v>16877</v>
      </c>
    </row>
    <row r="310" spans="1:10">
      <c r="A310" s="2" t="s">
        <v>255</v>
      </c>
      <c r="B310" s="34">
        <v>284.83281012383225</v>
      </c>
      <c r="C310" s="35">
        <v>925.25435779816507</v>
      </c>
      <c r="D310" s="35">
        <v>437.02847500000001</v>
      </c>
      <c r="E310" s="35">
        <v>8.5714285714285715E-2</v>
      </c>
      <c r="F310" s="35">
        <v>7.603736693460786E-3</v>
      </c>
      <c r="G310" s="35">
        <v>37.459583571428574</v>
      </c>
      <c r="H310" s="35">
        <v>0.33917778708635032</v>
      </c>
      <c r="I310" s="35">
        <v>5668</v>
      </c>
      <c r="J310" s="35">
        <v>16711</v>
      </c>
    </row>
    <row r="311" spans="1:10">
      <c r="A311" s="2" t="s">
        <v>385</v>
      </c>
      <c r="B311" s="34">
        <v>333.51858244160627</v>
      </c>
      <c r="C311" s="35">
        <v>782.24531102415324</v>
      </c>
      <c r="D311" s="35">
        <v>724.65250000000003</v>
      </c>
      <c r="E311" s="35">
        <v>0.08</v>
      </c>
      <c r="F311" s="35">
        <v>5.7530778966747211E-3</v>
      </c>
      <c r="G311" s="35">
        <v>57.972200000000001</v>
      </c>
      <c r="H311" s="35">
        <v>0.44709218146718149</v>
      </c>
      <c r="I311" s="35">
        <v>7411</v>
      </c>
      <c r="J311" s="35">
        <v>16576</v>
      </c>
    </row>
    <row r="312" spans="1:10">
      <c r="A312" s="2" t="s">
        <v>386</v>
      </c>
      <c r="B312" s="34">
        <v>74.339257242854373</v>
      </c>
      <c r="C312" s="35">
        <v>687.02030548068285</v>
      </c>
      <c r="D312" s="35">
        <v>152.93072000000001</v>
      </c>
      <c r="E312" s="35">
        <v>0.1111111111111111</v>
      </c>
      <c r="F312" s="35">
        <v>4.3748784755979001E-3</v>
      </c>
      <c r="G312" s="35">
        <v>16.992302222222222</v>
      </c>
      <c r="H312" s="35">
        <v>0.13482737734706238</v>
      </c>
      <c r="I312" s="35">
        <v>2226</v>
      </c>
      <c r="J312" s="35">
        <v>16510</v>
      </c>
    </row>
    <row r="313" spans="1:10">
      <c r="A313" s="2" t="s">
        <v>327</v>
      </c>
      <c r="B313" s="34">
        <v>242.59661879398899</v>
      </c>
      <c r="C313" s="35">
        <v>882.42893962982191</v>
      </c>
      <c r="D313" s="35">
        <v>463.75651818181819</v>
      </c>
      <c r="E313" s="35">
        <v>1.1000000000000001</v>
      </c>
      <c r="F313" s="35">
        <v>4.7555640098915732E-4</v>
      </c>
      <c r="G313" s="35">
        <v>510.13217000000003</v>
      </c>
      <c r="H313" s="35">
        <v>0.35831164001487542</v>
      </c>
      <c r="I313" s="35">
        <v>5781</v>
      </c>
      <c r="J313" s="35">
        <v>16134</v>
      </c>
    </row>
    <row r="314" spans="1:10">
      <c r="A314" s="2" t="s">
        <v>224</v>
      </c>
      <c r="B314" s="34">
        <v>95.020485674980563</v>
      </c>
      <c r="C314" s="35">
        <v>159.75940265486727</v>
      </c>
      <c r="D314" s="35">
        <v>122.20365384615386</v>
      </c>
      <c r="E314" s="35">
        <v>0.37142857142857144</v>
      </c>
      <c r="F314" s="35">
        <v>2.0934266403493033E-3</v>
      </c>
      <c r="G314" s="35">
        <v>45.38992857142857</v>
      </c>
      <c r="H314" s="35">
        <v>0.63281150566373934</v>
      </c>
      <c r="I314" s="35">
        <v>9944</v>
      </c>
      <c r="J314" s="35">
        <v>15714</v>
      </c>
    </row>
    <row r="315" spans="1:10">
      <c r="A315" s="2" t="s">
        <v>387</v>
      </c>
      <c r="B315" s="34">
        <v>98.466430231136101</v>
      </c>
      <c r="C315" s="35">
        <v>199.76677831534548</v>
      </c>
      <c r="D315" s="35">
        <v>402.58</v>
      </c>
      <c r="E315" s="35">
        <v>0.1</v>
      </c>
      <c r="F315" s="35">
        <v>2.4458847988259752E-3</v>
      </c>
      <c r="G315" s="35">
        <v>40.257999999999996</v>
      </c>
      <c r="H315" s="35">
        <v>0.51452096763898636</v>
      </c>
      <c r="I315" s="35">
        <v>8061</v>
      </c>
      <c r="J315" s="35">
        <v>15667</v>
      </c>
    </row>
    <row r="316" spans="1:10">
      <c r="A316" s="2" t="s">
        <v>388</v>
      </c>
      <c r="B316" s="34">
        <v>147.03407229509205</v>
      </c>
      <c r="C316" s="35">
        <v>254.68653866666662</v>
      </c>
      <c r="D316" s="35">
        <v>477.53725999999995</v>
      </c>
      <c r="E316" s="35">
        <v>6.4102564102564097E-2</v>
      </c>
      <c r="F316" s="35">
        <v>4.8032514317384077E-3</v>
      </c>
      <c r="G316" s="35">
        <v>30.61136282051282</v>
      </c>
      <c r="H316" s="35">
        <v>0.60242899370260894</v>
      </c>
      <c r="I316" s="35">
        <v>9375</v>
      </c>
      <c r="J316" s="35">
        <v>15562</v>
      </c>
    </row>
    <row r="317" spans="1:10">
      <c r="A317" s="2" t="s">
        <v>321</v>
      </c>
      <c r="B317" s="34">
        <v>49.303922194168209</v>
      </c>
      <c r="C317" s="35">
        <v>1765.3668407310706</v>
      </c>
      <c r="D317" s="35">
        <v>270.45420000000001</v>
      </c>
      <c r="E317" s="35">
        <v>7.1942446043165464E-2</v>
      </c>
      <c r="F317" s="35">
        <v>2.533976246251447E-3</v>
      </c>
      <c r="G317" s="35">
        <v>19.457136690647481</v>
      </c>
      <c r="H317" s="35">
        <v>0.19859994814622764</v>
      </c>
      <c r="I317" s="35">
        <v>3064</v>
      </c>
      <c r="J317" s="35">
        <v>15428</v>
      </c>
    </row>
    <row r="318" spans="1:10">
      <c r="A318" s="2" t="s">
        <v>389</v>
      </c>
      <c r="B318" s="34">
        <v>101.95174652241114</v>
      </c>
      <c r="C318" s="35">
        <v>857.55044201768067</v>
      </c>
      <c r="D318" s="35">
        <v>824.53475000000003</v>
      </c>
      <c r="E318" s="35">
        <v>5.7142857142857141E-2</v>
      </c>
      <c r="F318" s="35">
        <v>2.1638330757341576E-3</v>
      </c>
      <c r="G318" s="35">
        <v>47.11627142857143</v>
      </c>
      <c r="H318" s="35">
        <v>0.1274776267815711</v>
      </c>
      <c r="I318" s="35">
        <v>1923</v>
      </c>
      <c r="J318" s="35">
        <v>15085</v>
      </c>
    </row>
    <row r="319" spans="1:10">
      <c r="A319" s="2" t="s">
        <v>390</v>
      </c>
      <c r="B319" s="34">
        <v>113.68524474175082</v>
      </c>
      <c r="C319" s="35">
        <v>232.10302035456337</v>
      </c>
      <c r="D319" s="35">
        <v>589.15483333333339</v>
      </c>
      <c r="E319" s="35">
        <v>4.2857142857142858E-2</v>
      </c>
      <c r="F319" s="35">
        <v>4.5024763619990991E-3</v>
      </c>
      <c r="G319" s="35">
        <v>25.249492857142858</v>
      </c>
      <c r="H319" s="35">
        <v>0.50973960773813509</v>
      </c>
      <c r="I319" s="35">
        <v>7615</v>
      </c>
      <c r="J319" s="35">
        <v>14939</v>
      </c>
    </row>
    <row r="320" spans="1:10">
      <c r="A320" s="2" t="s">
        <v>347</v>
      </c>
      <c r="B320" s="34">
        <v>100.44111051788575</v>
      </c>
      <c r="C320" s="35">
        <v>156.54354066985647</v>
      </c>
      <c r="D320" s="35">
        <v>501.66986666666668</v>
      </c>
      <c r="E320" s="35">
        <v>4.7619047619047616E-2</v>
      </c>
      <c r="F320" s="35">
        <v>4.2044847837693538E-3</v>
      </c>
      <c r="G320" s="35">
        <v>23.889041269841272</v>
      </c>
      <c r="H320" s="35">
        <v>0.68252165270481324</v>
      </c>
      <c r="I320" s="35">
        <v>9614</v>
      </c>
      <c r="J320" s="35">
        <v>14086</v>
      </c>
    </row>
    <row r="321" spans="1:10">
      <c r="A321" s="2" t="s">
        <v>391</v>
      </c>
      <c r="B321" s="34">
        <v>120.77171387547317</v>
      </c>
      <c r="C321" s="35">
        <v>288.41399625935162</v>
      </c>
      <c r="D321" s="35">
        <v>370.09283999999997</v>
      </c>
      <c r="E321" s="35">
        <v>9.0909090909090912E-2</v>
      </c>
      <c r="F321" s="35">
        <v>3.5896097115259104E-3</v>
      </c>
      <c r="G321" s="35">
        <v>33.644803636363633</v>
      </c>
      <c r="H321" s="35">
        <v>0.45668730870524593</v>
      </c>
      <c r="I321" s="35">
        <v>6416</v>
      </c>
      <c r="J321" s="35">
        <v>14049</v>
      </c>
    </row>
    <row r="322" spans="1:10">
      <c r="A322" s="2" t="s">
        <v>392</v>
      </c>
      <c r="B322" s="34">
        <v>380.5354676407747</v>
      </c>
      <c r="C322" s="35">
        <v>6375.5070438799075</v>
      </c>
      <c r="D322" s="35">
        <v>690.14863749999995</v>
      </c>
      <c r="E322" s="35">
        <v>8.8888888888888892E-2</v>
      </c>
      <c r="F322" s="35">
        <v>6.2030463850024121E-3</v>
      </c>
      <c r="G322" s="35">
        <v>61.346545555555551</v>
      </c>
      <c r="H322" s="35">
        <v>6.52698221284293E-2</v>
      </c>
      <c r="I322" s="35">
        <v>866</v>
      </c>
      <c r="J322" s="35">
        <v>13268</v>
      </c>
    </row>
    <row r="323" spans="1:10">
      <c r="A323" s="2" t="s">
        <v>393</v>
      </c>
      <c r="B323" s="34">
        <v>327.35791996304209</v>
      </c>
      <c r="C323" s="35">
        <v>703.76872749844824</v>
      </c>
      <c r="D323" s="35">
        <v>472.40475833333335</v>
      </c>
      <c r="E323" s="35">
        <v>0.17647058823529413</v>
      </c>
      <c r="F323" s="35">
        <v>3.9267771553964312E-3</v>
      </c>
      <c r="G323" s="35">
        <v>83.365545588235292</v>
      </c>
      <c r="H323" s="35">
        <v>0.63305564287959759</v>
      </c>
      <c r="I323" s="35">
        <v>8055</v>
      </c>
      <c r="J323" s="35">
        <v>12724</v>
      </c>
    </row>
    <row r="324" spans="1:10">
      <c r="A324" s="2" t="s">
        <v>394</v>
      </c>
      <c r="B324" s="34">
        <v>124.52334447144594</v>
      </c>
      <c r="C324" s="35">
        <v>192.29780696610769</v>
      </c>
      <c r="D324" s="35">
        <v>409.93085000000002</v>
      </c>
      <c r="E324" s="35">
        <v>4.7619047619047616E-2</v>
      </c>
      <c r="F324" s="35">
        <v>6.3791008505467801E-3</v>
      </c>
      <c r="G324" s="35">
        <v>19.520516666666669</v>
      </c>
      <c r="H324" s="35">
        <v>0.67540594059405945</v>
      </c>
      <c r="I324" s="35">
        <v>8527</v>
      </c>
      <c r="J324" s="35">
        <v>12625</v>
      </c>
    </row>
    <row r="325" spans="1:10">
      <c r="A325" s="2" t="s">
        <v>395</v>
      </c>
      <c r="B325" s="34">
        <v>401.97616158732427</v>
      </c>
      <c r="C325" s="35">
        <v>1113.0608695652172</v>
      </c>
      <c r="D325" s="35">
        <v>1126.4176</v>
      </c>
      <c r="E325" s="35">
        <v>0.125</v>
      </c>
      <c r="F325" s="35">
        <v>2.8548997216472772E-3</v>
      </c>
      <c r="G325" s="35">
        <v>140.8022</v>
      </c>
      <c r="H325" s="35">
        <v>0.40613211333172805</v>
      </c>
      <c r="I325" s="35">
        <v>5060</v>
      </c>
      <c r="J325" s="35">
        <v>12459</v>
      </c>
    </row>
    <row r="326" spans="1:10">
      <c r="A326" s="2" t="s">
        <v>318</v>
      </c>
      <c r="B326" s="34">
        <v>148.15684856965174</v>
      </c>
      <c r="C326" s="35">
        <v>343.46543521355198</v>
      </c>
      <c r="D326" s="35">
        <v>381.17793999999998</v>
      </c>
      <c r="E326" s="35">
        <v>5.9523809523809521E-2</v>
      </c>
      <c r="F326" s="35">
        <v>6.5298507462686565E-3</v>
      </c>
      <c r="G326" s="35">
        <v>22.689163095238094</v>
      </c>
      <c r="H326" s="35">
        <v>0.46819102261221734</v>
      </c>
      <c r="I326" s="35">
        <v>5549</v>
      </c>
      <c r="J326" s="35">
        <v>11852</v>
      </c>
    </row>
    <row r="327" spans="1:10">
      <c r="A327" s="2" t="s">
        <v>396</v>
      </c>
      <c r="B327" s="34">
        <v>247.68973448470666</v>
      </c>
      <c r="C327" s="35">
        <v>533.20422168172342</v>
      </c>
      <c r="D327" s="35">
        <v>767.28087500000004</v>
      </c>
      <c r="E327" s="35">
        <v>0.1</v>
      </c>
      <c r="F327" s="35">
        <v>3.2281494633201518E-3</v>
      </c>
      <c r="G327" s="35">
        <v>76.728087500000001</v>
      </c>
      <c r="H327" s="35">
        <v>0.49467170849089032</v>
      </c>
      <c r="I327" s="35">
        <v>5756</v>
      </c>
      <c r="J327" s="35">
        <v>11636</v>
      </c>
    </row>
    <row r="328" spans="1:10">
      <c r="A328" s="2" t="s">
        <v>397</v>
      </c>
      <c r="B328" s="34">
        <v>138.37810389192668</v>
      </c>
      <c r="C328" s="35">
        <v>243.92205527994332</v>
      </c>
      <c r="D328" s="35">
        <v>191.2077888888889</v>
      </c>
      <c r="E328" s="35">
        <v>0.10714285714285714</v>
      </c>
      <c r="F328" s="35">
        <v>6.7545834673528463E-3</v>
      </c>
      <c r="G328" s="35">
        <v>20.486548809523811</v>
      </c>
      <c r="H328" s="35">
        <v>0.61363834043663568</v>
      </c>
      <c r="I328" s="35">
        <v>7055</v>
      </c>
      <c r="J328" s="35">
        <v>11497</v>
      </c>
    </row>
    <row r="329" spans="1:10">
      <c r="A329" s="2" t="s">
        <v>398</v>
      </c>
      <c r="B329" s="34">
        <v>143.76210912052119</v>
      </c>
      <c r="C329" s="35">
        <v>183.64700925829604</v>
      </c>
      <c r="D329" s="35">
        <v>441.34967499999999</v>
      </c>
      <c r="E329" s="35">
        <v>0.1</v>
      </c>
      <c r="F329" s="35">
        <v>3.2573289902280132E-3</v>
      </c>
      <c r="G329" s="35">
        <v>44.134967500000002</v>
      </c>
      <c r="H329" s="35">
        <v>0.85471681337245486</v>
      </c>
      <c r="I329" s="35">
        <v>9613</v>
      </c>
      <c r="J329" s="35">
        <v>11247</v>
      </c>
    </row>
    <row r="330" spans="1:10">
      <c r="A330" s="2" t="s">
        <v>399</v>
      </c>
      <c r="B330" s="34">
        <v>108.90412210338683</v>
      </c>
      <c r="C330" s="35">
        <v>863.53657243816258</v>
      </c>
      <c r="D330" s="35">
        <v>1466.2851000000001</v>
      </c>
      <c r="E330" s="35">
        <v>1.1904761904761904E-2</v>
      </c>
      <c r="F330" s="35">
        <v>6.2388591800356507E-3</v>
      </c>
      <c r="G330" s="35">
        <v>17.455774999999999</v>
      </c>
      <c r="H330" s="35">
        <v>0.15114829980416591</v>
      </c>
      <c r="I330" s="35">
        <v>1698</v>
      </c>
      <c r="J330" s="35">
        <v>11234</v>
      </c>
    </row>
    <row r="331" spans="1:10">
      <c r="A331" s="2" t="s">
        <v>400</v>
      </c>
      <c r="B331" s="34">
        <v>158.85594161510392</v>
      </c>
      <c r="C331" s="35">
        <v>240.3430148823812</v>
      </c>
      <c r="D331" s="35">
        <v>400.50760000000002</v>
      </c>
      <c r="E331" s="35">
        <v>6.7567567567567571E-2</v>
      </c>
      <c r="F331" s="35">
        <v>5.8702205299063937E-3</v>
      </c>
      <c r="G331" s="35">
        <v>27.061324324324325</v>
      </c>
      <c r="H331" s="35">
        <v>0.74592658907788723</v>
      </c>
      <c r="I331" s="35">
        <v>8332</v>
      </c>
      <c r="J331" s="35">
        <v>11170</v>
      </c>
    </row>
    <row r="332" spans="1:10">
      <c r="A332" s="2" t="s">
        <v>401</v>
      </c>
      <c r="B332" s="34">
        <v>629.78540432206341</v>
      </c>
      <c r="C332" s="35">
        <v>1456.2597823896838</v>
      </c>
      <c r="D332" s="35">
        <v>903.42716250000001</v>
      </c>
      <c r="E332" s="35">
        <v>0.17777777777777778</v>
      </c>
      <c r="F332" s="35">
        <v>3.921226908330429E-3</v>
      </c>
      <c r="G332" s="35">
        <v>160.60927333333333</v>
      </c>
      <c r="H332" s="35">
        <v>0.45155126922027111</v>
      </c>
      <c r="I332" s="35">
        <v>4963</v>
      </c>
      <c r="J332" s="35">
        <v>10991</v>
      </c>
    </row>
    <row r="333" spans="1:10">
      <c r="A333" s="2" t="s">
        <v>402</v>
      </c>
      <c r="B333" s="34">
        <v>598.08124331880595</v>
      </c>
      <c r="C333" s="35">
        <v>1157.4261616804581</v>
      </c>
      <c r="D333" s="35">
        <v>1818.3164999999999</v>
      </c>
      <c r="E333" s="35">
        <v>0.2</v>
      </c>
      <c r="F333" s="35">
        <v>1.6446015952635473E-3</v>
      </c>
      <c r="G333" s="35">
        <v>363.66329999999999</v>
      </c>
      <c r="H333" s="35">
        <v>0.57551057789174831</v>
      </c>
      <c r="I333" s="35">
        <v>6284</v>
      </c>
      <c r="J333" s="35">
        <v>10919</v>
      </c>
    </row>
    <row r="334" spans="1:10">
      <c r="A334" s="2" t="s">
        <v>403</v>
      </c>
      <c r="B334" s="34">
        <v>138.91868432671083</v>
      </c>
      <c r="C334" s="35">
        <v>254.32494342062722</v>
      </c>
      <c r="D334" s="35">
        <v>786.62705000000005</v>
      </c>
      <c r="E334" s="35">
        <v>2.2727272727272728E-2</v>
      </c>
      <c r="F334" s="35">
        <v>7.7704194260485651E-3</v>
      </c>
      <c r="G334" s="35">
        <v>17.8778875</v>
      </c>
      <c r="H334" s="35">
        <v>0.58292499057670566</v>
      </c>
      <c r="I334" s="35">
        <v>6186</v>
      </c>
      <c r="J334" s="35">
        <v>10612</v>
      </c>
    </row>
    <row r="335" spans="1:10">
      <c r="A335" s="2" t="s">
        <v>404</v>
      </c>
      <c r="B335" s="34">
        <v>184.34678752939391</v>
      </c>
      <c r="C335" s="35">
        <v>560.35132580124514</v>
      </c>
      <c r="D335" s="35">
        <v>2430.2437</v>
      </c>
      <c r="E335" s="35">
        <v>0.01</v>
      </c>
      <c r="F335" s="35">
        <v>7.5855268148372901E-3</v>
      </c>
      <c r="G335" s="35">
        <v>24.302437000000001</v>
      </c>
      <c r="H335" s="35">
        <v>0.40930539826349566</v>
      </c>
      <c r="I335" s="35">
        <v>4337</v>
      </c>
      <c r="J335" s="35">
        <v>10596</v>
      </c>
    </row>
    <row r="336" spans="1:10">
      <c r="A336" s="2" t="s">
        <v>405</v>
      </c>
      <c r="B336" s="34">
        <v>163.25306614713793</v>
      </c>
      <c r="C336" s="35">
        <v>274.09732087227411</v>
      </c>
      <c r="D336" s="35">
        <v>586.56826666666666</v>
      </c>
      <c r="E336" s="35">
        <v>3.4883720930232558E-2</v>
      </c>
      <c r="F336" s="35">
        <v>7.9784766675943964E-3</v>
      </c>
      <c r="G336" s="35">
        <v>20.461683720930232</v>
      </c>
      <c r="H336" s="35">
        <v>0.6240886555847186</v>
      </c>
      <c r="I336" s="35">
        <v>6420</v>
      </c>
      <c r="J336" s="35">
        <v>10287</v>
      </c>
    </row>
    <row r="337" spans="1:10">
      <c r="A337" s="2" t="s">
        <v>406</v>
      </c>
      <c r="B337" s="34">
        <v>138.61148564294632</v>
      </c>
      <c r="C337" s="35">
        <v>281.43929024081115</v>
      </c>
      <c r="D337" s="35">
        <v>777.19460000000004</v>
      </c>
      <c r="E337" s="35">
        <v>4.0816326530612242E-2</v>
      </c>
      <c r="F337" s="35">
        <v>4.3695380774032462E-3</v>
      </c>
      <c r="G337" s="35">
        <v>31.722228571428573</v>
      </c>
      <c r="H337" s="35">
        <v>0.53793707996493623</v>
      </c>
      <c r="I337" s="35">
        <v>5523</v>
      </c>
      <c r="J337" s="35">
        <v>10267</v>
      </c>
    </row>
    <row r="338" spans="1:10">
      <c r="A338" s="2" t="s">
        <v>407</v>
      </c>
      <c r="B338" s="34">
        <v>583.06099391866201</v>
      </c>
      <c r="C338" s="35">
        <v>807.2798184449415</v>
      </c>
      <c r="D338" s="35">
        <v>557.8303545454545</v>
      </c>
      <c r="E338" s="35">
        <v>0.2</v>
      </c>
      <c r="F338" s="35">
        <v>5.2261497529456479E-3</v>
      </c>
      <c r="G338" s="35">
        <v>111.56607090909091</v>
      </c>
      <c r="H338" s="35">
        <v>0.74214020699082206</v>
      </c>
      <c r="I338" s="35">
        <v>7601</v>
      </c>
      <c r="J338" s="35">
        <v>10242</v>
      </c>
    </row>
    <row r="339" spans="1:10">
      <c r="A339" s="2" t="s">
        <v>408</v>
      </c>
      <c r="B339" s="34">
        <v>452.73106579849212</v>
      </c>
      <c r="C339" s="35">
        <v>693.56569103556899</v>
      </c>
      <c r="D339" s="35">
        <v>754.89671428571432</v>
      </c>
      <c r="E339" s="35">
        <v>8.3333333333333329E-2</v>
      </c>
      <c r="F339" s="35">
        <v>7.1967100753941053E-3</v>
      </c>
      <c r="G339" s="35">
        <v>62.908059523809527</v>
      </c>
      <c r="H339" s="35">
        <v>0.76197619761976199</v>
      </c>
      <c r="I339" s="35">
        <v>7619</v>
      </c>
      <c r="J339" s="35">
        <v>9999</v>
      </c>
    </row>
    <row r="340" spans="1:10">
      <c r="A340" s="2" t="s">
        <v>272</v>
      </c>
      <c r="B340" s="34">
        <v>168.26335234990492</v>
      </c>
      <c r="C340" s="35">
        <v>408.6501429513965</v>
      </c>
      <c r="D340" s="35">
        <v>142.93324615384614</v>
      </c>
      <c r="E340" s="35">
        <v>0.104</v>
      </c>
      <c r="F340" s="35">
        <v>1.1319387847505207E-2</v>
      </c>
      <c r="G340" s="35">
        <v>14.8650576</v>
      </c>
      <c r="H340" s="35">
        <v>0.47041175253465756</v>
      </c>
      <c r="I340" s="35">
        <v>4547</v>
      </c>
      <c r="J340" s="35">
        <v>9666</v>
      </c>
    </row>
    <row r="341" spans="1:10">
      <c r="A341" s="2" t="s">
        <v>409</v>
      </c>
      <c r="B341" s="34">
        <v>307.66699692856434</v>
      </c>
      <c r="C341" s="35">
        <v>796.02230197385279</v>
      </c>
      <c r="D341" s="35">
        <v>1552.6415</v>
      </c>
      <c r="E341" s="35">
        <v>3.0769230769230771E-2</v>
      </c>
      <c r="F341" s="35">
        <v>6.4401070048548496E-3</v>
      </c>
      <c r="G341" s="35">
        <v>47.773584615384614</v>
      </c>
      <c r="H341" s="35">
        <v>0.40445826853291861</v>
      </c>
      <c r="I341" s="35">
        <v>3901</v>
      </c>
      <c r="J341" s="35">
        <v>9645</v>
      </c>
    </row>
    <row r="342" spans="1:10">
      <c r="A342" s="2" t="s">
        <v>410</v>
      </c>
      <c r="B342" s="34">
        <v>145.83737890696401</v>
      </c>
      <c r="C342" s="35">
        <v>348.56981214504151</v>
      </c>
      <c r="D342" s="35">
        <v>531.91753333333338</v>
      </c>
      <c r="E342" s="35">
        <v>4.5454545454545456E-2</v>
      </c>
      <c r="F342" s="35">
        <v>6.0318040577590935E-3</v>
      </c>
      <c r="G342" s="35">
        <v>24.178069696969697</v>
      </c>
      <c r="H342" s="35">
        <v>0.50005461496450032</v>
      </c>
      <c r="I342" s="35">
        <v>4578</v>
      </c>
      <c r="J342" s="35">
        <v>9155</v>
      </c>
    </row>
    <row r="343" spans="1:10">
      <c r="A343" s="2" t="s">
        <v>271</v>
      </c>
      <c r="B343" s="34">
        <v>607.09492380451923</v>
      </c>
      <c r="C343" s="35">
        <v>936.37675474144919</v>
      </c>
      <c r="D343" s="35">
        <v>1925.5027333333335</v>
      </c>
      <c r="E343" s="35">
        <v>0.1</v>
      </c>
      <c r="F343" s="35">
        <v>3.1529164477141357E-3</v>
      </c>
      <c r="G343" s="35">
        <v>192.55027333333334</v>
      </c>
      <c r="H343" s="35">
        <v>0.67509301816590062</v>
      </c>
      <c r="I343" s="35">
        <v>6169</v>
      </c>
      <c r="J343" s="35">
        <v>9138</v>
      </c>
    </row>
    <row r="344" spans="1:10">
      <c r="A344" s="2" t="s">
        <v>411</v>
      </c>
      <c r="B344" s="34">
        <v>584.76277142557433</v>
      </c>
      <c r="C344" s="35">
        <v>851.33529321930359</v>
      </c>
      <c r="D344" s="35">
        <v>348.40896874999999</v>
      </c>
      <c r="E344" s="35">
        <v>0.24242424242424243</v>
      </c>
      <c r="F344" s="35">
        <v>6.9233189971677333E-3</v>
      </c>
      <c r="G344" s="35">
        <v>84.4627803030303</v>
      </c>
      <c r="H344" s="35">
        <v>0.72417606724176065</v>
      </c>
      <c r="I344" s="35">
        <v>6548</v>
      </c>
      <c r="J344" s="35">
        <v>9042</v>
      </c>
    </row>
    <row r="345" spans="1:10">
      <c r="A345" s="2" t="s">
        <v>412</v>
      </c>
      <c r="B345" s="34">
        <v>365.35977701543737</v>
      </c>
      <c r="C345" s="35">
        <v>479.87552802027602</v>
      </c>
      <c r="D345" s="35">
        <v>681.61519999999996</v>
      </c>
      <c r="E345" s="35">
        <v>8.9285714285714288E-2</v>
      </c>
      <c r="F345" s="35">
        <v>6.0034305317324182E-3</v>
      </c>
      <c r="G345" s="35">
        <v>60.858499999999999</v>
      </c>
      <c r="H345" s="35">
        <v>0.79574229691876752</v>
      </c>
      <c r="I345" s="35">
        <v>7102</v>
      </c>
      <c r="J345" s="35">
        <v>8925</v>
      </c>
    </row>
    <row r="346" spans="1:10">
      <c r="A346" s="2" t="s">
        <v>413</v>
      </c>
      <c r="B346" s="34">
        <v>232.15723677754883</v>
      </c>
      <c r="C346" s="35">
        <v>1903.3905068382946</v>
      </c>
      <c r="D346" s="35">
        <v>788.63813333333337</v>
      </c>
      <c r="E346" s="35">
        <v>0.04</v>
      </c>
      <c r="F346" s="35">
        <v>7.3594347954077126E-3</v>
      </c>
      <c r="G346" s="35">
        <v>31.545525333333334</v>
      </c>
      <c r="H346" s="35">
        <v>0.13971001461166685</v>
      </c>
      <c r="I346" s="35">
        <v>1243</v>
      </c>
      <c r="J346" s="35">
        <v>8897</v>
      </c>
    </row>
    <row r="347" spans="1:10">
      <c r="A347" s="2" t="s">
        <v>284</v>
      </c>
      <c r="B347" s="34">
        <v>180.79707153144503</v>
      </c>
      <c r="C347" s="35">
        <v>378.22124820659968</v>
      </c>
      <c r="D347" s="35">
        <v>659.05052499999999</v>
      </c>
      <c r="E347" s="35">
        <v>4.7058823529411764E-2</v>
      </c>
      <c r="F347" s="35">
        <v>5.8295041492353065E-3</v>
      </c>
      <c r="G347" s="35">
        <v>31.014142352941175</v>
      </c>
      <c r="H347" s="35">
        <v>0.7847331682053591</v>
      </c>
      <c r="I347" s="35">
        <v>6970</v>
      </c>
      <c r="J347" s="35">
        <v>8882</v>
      </c>
    </row>
    <row r="348" spans="1:10">
      <c r="A348" s="2" t="s">
        <v>414</v>
      </c>
      <c r="B348" s="34">
        <v>178.48776991638334</v>
      </c>
      <c r="C348" s="35">
        <v>1175.8368038740921</v>
      </c>
      <c r="D348" s="35">
        <v>121.40515000000001</v>
      </c>
      <c r="E348" s="35">
        <v>0.34782608695652173</v>
      </c>
      <c r="F348" s="35">
        <v>4.2267757052283379E-3</v>
      </c>
      <c r="G348" s="35">
        <v>42.227878260869566</v>
      </c>
      <c r="H348" s="35">
        <v>0.18626677190213101</v>
      </c>
      <c r="I348" s="35">
        <v>1652</v>
      </c>
      <c r="J348" s="35">
        <v>8869</v>
      </c>
    </row>
    <row r="349" spans="1:10">
      <c r="A349" s="2" t="s">
        <v>415</v>
      </c>
      <c r="B349" s="34">
        <v>537.74608001725449</v>
      </c>
      <c r="C349" s="35">
        <v>1072.8311962134251</v>
      </c>
      <c r="D349" s="35">
        <v>997.30388000000005</v>
      </c>
      <c r="E349" s="35">
        <v>7.1428571428571425E-2</v>
      </c>
      <c r="F349" s="35">
        <v>7.5487975843847727E-3</v>
      </c>
      <c r="G349" s="35">
        <v>71.235991428571424</v>
      </c>
      <c r="H349" s="35">
        <v>0.53113929836590101</v>
      </c>
      <c r="I349" s="35">
        <v>4648</v>
      </c>
      <c r="J349" s="35">
        <v>8751</v>
      </c>
    </row>
    <row r="350" spans="1:10">
      <c r="A350" s="2" t="s">
        <v>294</v>
      </c>
      <c r="B350" s="34">
        <v>703.0590217039196</v>
      </c>
      <c r="C350" s="35">
        <v>1690.2984423676012</v>
      </c>
      <c r="D350" s="35">
        <v>723.4477333333333</v>
      </c>
      <c r="E350" s="35">
        <v>0.13636363636363635</v>
      </c>
      <c r="F350" s="35">
        <v>7.1266601878846774E-3</v>
      </c>
      <c r="G350" s="35">
        <v>98.651963636363632</v>
      </c>
      <c r="H350" s="35">
        <v>0.45179451090781142</v>
      </c>
      <c r="I350" s="35">
        <v>3852</v>
      </c>
      <c r="J350" s="35">
        <v>8526</v>
      </c>
    </row>
    <row r="351" spans="1:10">
      <c r="A351" s="2" t="s">
        <v>270</v>
      </c>
      <c r="B351" s="34">
        <v>163.78352582261931</v>
      </c>
      <c r="C351" s="35">
        <v>323.68759689922484</v>
      </c>
      <c r="D351" s="35">
        <v>751.60260000000005</v>
      </c>
      <c r="E351" s="35">
        <v>0.08</v>
      </c>
      <c r="F351" s="35">
        <v>2.7239049901939421E-3</v>
      </c>
      <c r="G351" s="35">
        <v>60.128208000000001</v>
      </c>
      <c r="H351" s="35">
        <v>0.54880642874025054</v>
      </c>
      <c r="I351" s="35">
        <v>4644</v>
      </c>
      <c r="J351" s="35">
        <v>8462</v>
      </c>
    </row>
    <row r="352" spans="1:10">
      <c r="A352" s="2" t="s">
        <v>416</v>
      </c>
      <c r="B352" s="34">
        <v>547.0912050693762</v>
      </c>
      <c r="C352" s="35">
        <v>1152.4800460299195</v>
      </c>
      <c r="D352" s="35">
        <v>357.68041428571433</v>
      </c>
      <c r="E352" s="35">
        <v>0.60869565217391308</v>
      </c>
      <c r="F352" s="35">
        <v>2.5128373210969081E-3</v>
      </c>
      <c r="G352" s="35">
        <v>217.71851304347828</v>
      </c>
      <c r="H352" s="35">
        <v>0.51874403056351481</v>
      </c>
      <c r="I352" s="35">
        <v>4345</v>
      </c>
      <c r="J352" s="35">
        <v>8376</v>
      </c>
    </row>
    <row r="353" spans="1:10">
      <c r="A353" s="2" t="s">
        <v>417</v>
      </c>
      <c r="B353" s="34">
        <v>701.02359730682906</v>
      </c>
      <c r="C353" s="35">
        <v>3739.7250855188136</v>
      </c>
      <c r="D353" s="35">
        <v>655.94777999999997</v>
      </c>
      <c r="E353" s="35">
        <v>0.16666666666666666</v>
      </c>
      <c r="F353" s="35">
        <v>6.4123116383456233E-3</v>
      </c>
      <c r="G353" s="35">
        <v>109.32463</v>
      </c>
      <c r="H353" s="35">
        <v>0.21023612609373127</v>
      </c>
      <c r="I353" s="35">
        <v>1754</v>
      </c>
      <c r="J353" s="35">
        <v>8343</v>
      </c>
    </row>
    <row r="354" spans="1:10">
      <c r="A354" s="2" t="s">
        <v>418</v>
      </c>
      <c r="B354" s="34">
        <v>723.44939380818357</v>
      </c>
      <c r="C354" s="35">
        <v>1444.7093601383483</v>
      </c>
      <c r="D354" s="35">
        <v>445.54836666666665</v>
      </c>
      <c r="E354" s="35">
        <v>0.17857142857142858</v>
      </c>
      <c r="F354" s="35">
        <v>9.0928772461571772E-3</v>
      </c>
      <c r="G354" s="35">
        <v>79.562208333333331</v>
      </c>
      <c r="H354" s="35">
        <v>0.5597773475314618</v>
      </c>
      <c r="I354" s="35">
        <v>4626</v>
      </c>
      <c r="J354" s="35">
        <v>8264</v>
      </c>
    </row>
    <row r="355" spans="1:10">
      <c r="A355" s="2" t="s">
        <v>300</v>
      </c>
      <c r="B355" s="34">
        <v>727.0000739723132</v>
      </c>
      <c r="C355" s="35">
        <v>4532.0169301712785</v>
      </c>
      <c r="D355" s="35">
        <v>1719.900425</v>
      </c>
      <c r="E355" s="35">
        <v>7.1428571428571425E-2</v>
      </c>
      <c r="F355" s="35">
        <v>5.9177850575927293E-3</v>
      </c>
      <c r="G355" s="35">
        <v>122.85003035714286</v>
      </c>
      <c r="H355" s="35">
        <v>0.18532535709925527</v>
      </c>
      <c r="I355" s="35">
        <v>1518</v>
      </c>
      <c r="J355" s="35">
        <v>8191</v>
      </c>
    </row>
    <row r="356" spans="1:10">
      <c r="A356" s="2" t="s">
        <v>319</v>
      </c>
      <c r="B356" s="34">
        <v>155.05794285714285</v>
      </c>
      <c r="C356" s="35">
        <v>245.96068888579001</v>
      </c>
      <c r="D356" s="35">
        <v>440.94602500000002</v>
      </c>
      <c r="E356" s="35">
        <v>4.5977011494252873E-2</v>
      </c>
      <c r="F356" s="35">
        <v>7.6483516483516487E-3</v>
      </c>
      <c r="G356" s="35">
        <v>20.273380459770117</v>
      </c>
      <c r="H356" s="35">
        <v>0.879769353453564</v>
      </c>
      <c r="I356" s="35">
        <v>7171</v>
      </c>
      <c r="J356" s="35">
        <v>8151</v>
      </c>
    </row>
    <row r="357" spans="1:10">
      <c r="A357" s="2" t="s">
        <v>356</v>
      </c>
      <c r="B357" s="34">
        <v>720.37134617365325</v>
      </c>
      <c r="C357" s="35">
        <v>2094.6646900269543</v>
      </c>
      <c r="D357" s="35">
        <v>2331.3618000000001</v>
      </c>
      <c r="E357" s="35">
        <v>5.1724137931034482E-2</v>
      </c>
      <c r="F357" s="35">
        <v>5.9738387063549281E-3</v>
      </c>
      <c r="G357" s="35">
        <v>120.58767931034483</v>
      </c>
      <c r="H357" s="35">
        <v>0.42314028640223039</v>
      </c>
      <c r="I357" s="35">
        <v>3339</v>
      </c>
      <c r="J357" s="35">
        <v>7891</v>
      </c>
    </row>
    <row r="358" spans="1:10">
      <c r="A358" s="2" t="s">
        <v>279</v>
      </c>
      <c r="B358" s="34">
        <v>241.03030059660392</v>
      </c>
      <c r="C358" s="35">
        <v>323.701093990755</v>
      </c>
      <c r="D358" s="35">
        <v>1050.41005</v>
      </c>
      <c r="E358" s="35">
        <v>0.05</v>
      </c>
      <c r="F358" s="35">
        <v>4.589261128958238E-3</v>
      </c>
      <c r="G358" s="35">
        <v>52.520502499999999</v>
      </c>
      <c r="H358" s="35">
        <v>0.82548969727804633</v>
      </c>
      <c r="I358" s="35">
        <v>6490</v>
      </c>
      <c r="J358" s="35">
        <v>7862</v>
      </c>
    </row>
    <row r="359" spans="1:10">
      <c r="A359" s="2" t="s">
        <v>419</v>
      </c>
      <c r="B359" s="34">
        <v>213.56822126847877</v>
      </c>
      <c r="C359" s="35">
        <v>526.26622796709751</v>
      </c>
      <c r="D359" s="35">
        <v>1119.6314</v>
      </c>
      <c r="E359" s="35">
        <v>2.3809523809523808E-2</v>
      </c>
      <c r="F359" s="35">
        <v>8.0114449213161652E-3</v>
      </c>
      <c r="G359" s="35">
        <v>26.657890476190477</v>
      </c>
      <c r="H359" s="35">
        <v>0.55483113834919806</v>
      </c>
      <c r="I359" s="35">
        <v>4255</v>
      </c>
      <c r="J359" s="35">
        <v>7669</v>
      </c>
    </row>
    <row r="360" spans="1:10">
      <c r="A360" s="2" t="s">
        <v>420</v>
      </c>
      <c r="B360" s="34">
        <v>743.06408031730302</v>
      </c>
      <c r="C360" s="35">
        <v>1081.1615870153291</v>
      </c>
      <c r="D360" s="35">
        <v>5995.0410000000002</v>
      </c>
      <c r="E360" s="35">
        <v>0.1</v>
      </c>
      <c r="F360" s="35">
        <v>1.2394645513138325E-3</v>
      </c>
      <c r="G360" s="35">
        <v>599.50409999999999</v>
      </c>
      <c r="H360" s="35">
        <v>0.73404818639131586</v>
      </c>
      <c r="I360" s="35">
        <v>5545</v>
      </c>
      <c r="J360" s="35">
        <v>7554</v>
      </c>
    </row>
    <row r="361" spans="1:10">
      <c r="A361" s="2" t="s">
        <v>235</v>
      </c>
      <c r="B361" s="34">
        <v>210.67734849321118</v>
      </c>
      <c r="C361" s="35">
        <v>3240.2820033955859</v>
      </c>
      <c r="D361" s="35">
        <v>477.13152500000001</v>
      </c>
      <c r="E361" s="35">
        <v>0.18181818181818182</v>
      </c>
      <c r="F361" s="35">
        <v>2.4285241196600068E-3</v>
      </c>
      <c r="G361" s="35">
        <v>86.751186363636364</v>
      </c>
      <c r="H361" s="35">
        <v>7.8743315508021397E-2</v>
      </c>
      <c r="I361" s="35">
        <v>589</v>
      </c>
      <c r="J361" s="35">
        <v>7480</v>
      </c>
    </row>
    <row r="362" spans="1:10">
      <c r="A362" s="2" t="s">
        <v>421</v>
      </c>
      <c r="B362" s="34">
        <v>374.34216494845356</v>
      </c>
      <c r="C362" s="35">
        <v>877.31734228187918</v>
      </c>
      <c r="D362" s="35">
        <v>1089.3356999999999</v>
      </c>
      <c r="E362" s="35">
        <v>0.13636363636363635</v>
      </c>
      <c r="F362" s="35">
        <v>2.5200458190148913E-3</v>
      </c>
      <c r="G362" s="35">
        <v>148.54577727272726</v>
      </c>
      <c r="H362" s="35">
        <v>0.50249561581006341</v>
      </c>
      <c r="I362" s="35">
        <v>3725</v>
      </c>
      <c r="J362" s="35">
        <v>7413</v>
      </c>
    </row>
    <row r="363" spans="1:10">
      <c r="A363" s="2" t="s">
        <v>422</v>
      </c>
      <c r="B363" s="34">
        <v>153.42472350693745</v>
      </c>
      <c r="C363" s="35">
        <v>316.72110834371108</v>
      </c>
      <c r="D363" s="35">
        <v>508.65409999999997</v>
      </c>
      <c r="E363" s="35">
        <v>0.15</v>
      </c>
      <c r="F363" s="35">
        <v>2.0108586366378444E-3</v>
      </c>
      <c r="G363" s="35">
        <v>76.298114999999996</v>
      </c>
      <c r="H363" s="35">
        <v>0.65266865348144132</v>
      </c>
      <c r="I363" s="35">
        <v>4818</v>
      </c>
      <c r="J363" s="35">
        <v>7382</v>
      </c>
    </row>
    <row r="364" spans="1:10">
      <c r="A364" s="2" t="s">
        <v>333</v>
      </c>
      <c r="B364" s="34">
        <v>843.87327956289835</v>
      </c>
      <c r="C364" s="35">
        <v>1221.399717567313</v>
      </c>
      <c r="D364" s="35">
        <v>1081.1423166666666</v>
      </c>
      <c r="E364" s="35">
        <v>0.6</v>
      </c>
      <c r="F364" s="35">
        <v>1.3008976193573565E-3</v>
      </c>
      <c r="G364" s="35">
        <v>648.68538999999998</v>
      </c>
      <c r="H364" s="35">
        <v>0.73093861822185524</v>
      </c>
      <c r="I364" s="35">
        <v>5311</v>
      </c>
      <c r="J364" s="35">
        <v>7266</v>
      </c>
    </row>
    <row r="365" spans="1:10">
      <c r="A365" s="2" t="s">
        <v>423</v>
      </c>
      <c r="B365" s="34">
        <v>789.4338713809891</v>
      </c>
      <c r="C365" s="35">
        <v>1956.2923174603175</v>
      </c>
      <c r="D365" s="35">
        <v>6162.3208000000004</v>
      </c>
      <c r="E365" s="35">
        <v>0.05</v>
      </c>
      <c r="F365" s="35">
        <v>2.5621316935690495E-3</v>
      </c>
      <c r="G365" s="35">
        <v>308.11604</v>
      </c>
      <c r="H365" s="35">
        <v>0.43466261901476472</v>
      </c>
      <c r="I365" s="35">
        <v>3150</v>
      </c>
      <c r="J365" s="35">
        <v>7247</v>
      </c>
    </row>
    <row r="366" spans="1:10">
      <c r="A366" s="2" t="s">
        <v>301</v>
      </c>
      <c r="B366" s="34">
        <v>867.01886985425722</v>
      </c>
      <c r="C366" s="35">
        <v>1791.289381933439</v>
      </c>
      <c r="D366" s="35">
        <v>521.67858461538458</v>
      </c>
      <c r="E366" s="35">
        <v>0.52</v>
      </c>
      <c r="F366" s="35">
        <v>3.1961135259524417E-3</v>
      </c>
      <c r="G366" s="35">
        <v>271.27286400000003</v>
      </c>
      <c r="H366" s="35">
        <v>0.52350663716814161</v>
      </c>
      <c r="I366" s="35">
        <v>3786</v>
      </c>
      <c r="J366" s="35">
        <v>7232</v>
      </c>
    </row>
    <row r="367" spans="1:10">
      <c r="A367" s="2" t="s">
        <v>424</v>
      </c>
      <c r="B367" s="34">
        <v>232.79722891566266</v>
      </c>
      <c r="C367" s="35">
        <v>257.51448245224344</v>
      </c>
      <c r="D367" s="35">
        <v>1738.9953</v>
      </c>
      <c r="E367" s="35"/>
      <c r="F367" s="35">
        <v>0</v>
      </c>
      <c r="G367" s="35"/>
      <c r="H367" s="35">
        <v>0.93415410153548206</v>
      </c>
      <c r="I367" s="35">
        <v>6753</v>
      </c>
      <c r="J367" s="35">
        <v>7229</v>
      </c>
    </row>
    <row r="368" spans="1:10">
      <c r="A368" s="2" t="s">
        <v>425</v>
      </c>
      <c r="B368" s="34">
        <v>876.25364446775029</v>
      </c>
      <c r="C368" s="35">
        <v>1324.1011885895405</v>
      </c>
      <c r="D368" s="35">
        <v>1336.8125599999998</v>
      </c>
      <c r="E368" s="35">
        <v>0.26315789473684209</v>
      </c>
      <c r="F368" s="35">
        <v>2.4908232826428944E-3</v>
      </c>
      <c r="G368" s="35">
        <v>351.79277894736839</v>
      </c>
      <c r="H368" s="35">
        <v>0.70561923399496784</v>
      </c>
      <c r="I368" s="35">
        <v>5048</v>
      </c>
      <c r="J368" s="35">
        <v>7154</v>
      </c>
    </row>
    <row r="369" spans="1:10">
      <c r="A369" s="2" t="s">
        <v>324</v>
      </c>
      <c r="B369" s="34">
        <v>762.93250586637032</v>
      </c>
      <c r="C369" s="35">
        <v>1249.9928166734117</v>
      </c>
      <c r="D369" s="35">
        <v>6177.4645</v>
      </c>
      <c r="E369" s="35">
        <v>0.05</v>
      </c>
      <c r="F369" s="35">
        <v>2.4700506360380388E-3</v>
      </c>
      <c r="G369" s="35">
        <v>308.87322499999999</v>
      </c>
      <c r="H369" s="35">
        <v>0.7195690157251019</v>
      </c>
      <c r="I369" s="35">
        <v>4942</v>
      </c>
      <c r="J369" s="35">
        <v>6868</v>
      </c>
    </row>
    <row r="370" spans="1:10">
      <c r="A370" s="2" t="s">
        <v>426</v>
      </c>
      <c r="B370" s="34">
        <v>522.1227672840638</v>
      </c>
      <c r="C370" s="35">
        <v>1202.5915311510034</v>
      </c>
      <c r="D370" s="35">
        <v>1898.0903000000001</v>
      </c>
      <c r="E370" s="35">
        <v>6.5217391304347824E-2</v>
      </c>
      <c r="F370" s="35">
        <v>4.2178617274894557E-3</v>
      </c>
      <c r="G370" s="35">
        <v>123.78849782608697</v>
      </c>
      <c r="H370" s="35">
        <v>0.74100156494522695</v>
      </c>
      <c r="I370" s="35">
        <v>4735</v>
      </c>
      <c r="J370" s="35">
        <v>6390</v>
      </c>
    </row>
    <row r="371" spans="1:10">
      <c r="A371" s="2" t="s">
        <v>427</v>
      </c>
      <c r="B371" s="34">
        <v>196.27510062611807</v>
      </c>
      <c r="C371" s="35">
        <v>584.77165223184545</v>
      </c>
      <c r="D371" s="35">
        <v>292.58075000000002</v>
      </c>
      <c r="E371" s="35">
        <v>0.13333333333333333</v>
      </c>
      <c r="F371" s="35">
        <v>5.0313059033989267E-3</v>
      </c>
      <c r="G371" s="35">
        <v>39.010766666666669</v>
      </c>
      <c r="H371" s="35">
        <v>0.47193837446942305</v>
      </c>
      <c r="I371" s="35">
        <v>3002</v>
      </c>
      <c r="J371" s="35">
        <v>6361</v>
      </c>
    </row>
    <row r="372" spans="1:10">
      <c r="A372" s="2" t="s">
        <v>428</v>
      </c>
      <c r="B372" s="34">
        <v>616.54064850203429</v>
      </c>
      <c r="C372" s="35">
        <v>1150.6583525080534</v>
      </c>
      <c r="D372" s="35">
        <v>5000.7611999999999</v>
      </c>
      <c r="E372" s="35"/>
      <c r="F372" s="35">
        <v>0</v>
      </c>
      <c r="G372" s="35"/>
      <c r="H372" s="35">
        <v>0.70517605062469579</v>
      </c>
      <c r="I372" s="35">
        <v>4346</v>
      </c>
      <c r="J372" s="35">
        <v>6163</v>
      </c>
    </row>
    <row r="373" spans="1:10">
      <c r="A373" s="2" t="s">
        <v>429</v>
      </c>
      <c r="B373" s="34">
        <v>292.28479657387584</v>
      </c>
      <c r="C373" s="35">
        <v>1833.7128463476074</v>
      </c>
      <c r="D373" s="35">
        <v>2183.9520000000002</v>
      </c>
      <c r="E373" s="35">
        <v>0.1</v>
      </c>
      <c r="F373" s="35">
        <v>1.3383297644539614E-3</v>
      </c>
      <c r="G373" s="35">
        <v>218.39520000000002</v>
      </c>
      <c r="H373" s="35">
        <v>0.20244773074961755</v>
      </c>
      <c r="I373" s="35">
        <v>1191</v>
      </c>
      <c r="J373" s="35">
        <v>5883</v>
      </c>
    </row>
    <row r="374" spans="1:10">
      <c r="A374" s="2" t="s">
        <v>430</v>
      </c>
      <c r="B374" s="34">
        <v>663.78512462086246</v>
      </c>
      <c r="C374" s="35">
        <v>1092.3356336805557</v>
      </c>
      <c r="D374" s="35">
        <v>5033.4826000000003</v>
      </c>
      <c r="E374" s="35">
        <v>2.2222222222222223E-2</v>
      </c>
      <c r="F374" s="35">
        <v>5.9343267835948836E-3</v>
      </c>
      <c r="G374" s="35">
        <v>111.8551688888889</v>
      </c>
      <c r="H374" s="35">
        <v>0.78354021424927733</v>
      </c>
      <c r="I374" s="35">
        <v>4608</v>
      </c>
      <c r="J374" s="35">
        <v>5881</v>
      </c>
    </row>
    <row r="375" spans="1:10">
      <c r="A375" s="1" t="s">
        <v>42</v>
      </c>
      <c r="B375" s="35"/>
      <c r="C375" s="35"/>
      <c r="D375" s="35"/>
      <c r="E375" s="35"/>
      <c r="F375" s="35"/>
      <c r="G375" s="35"/>
      <c r="H375" s="35"/>
      <c r="I375" s="35"/>
      <c r="J375" s="35"/>
    </row>
    <row r="376" spans="1:10">
      <c r="A376" s="2" t="s">
        <v>211</v>
      </c>
      <c r="B376" s="34">
        <v>7.3019615917844369</v>
      </c>
      <c r="C376" s="35">
        <v>11.848503786851062</v>
      </c>
      <c r="D376" s="35">
        <v>305.68902800000001</v>
      </c>
      <c r="E376" s="35">
        <v>7.2907553222513856E-3</v>
      </c>
      <c r="F376" s="35">
        <v>3.276326463143955E-3</v>
      </c>
      <c r="G376" s="35">
        <v>2.2287039078448525</v>
      </c>
      <c r="H376" s="35">
        <v>0.67557808198229763</v>
      </c>
      <c r="I376" s="35">
        <v>1289990</v>
      </c>
      <c r="J376" s="35">
        <v>1909461</v>
      </c>
    </row>
    <row r="377" spans="1:10">
      <c r="A377" s="2" t="s">
        <v>254</v>
      </c>
      <c r="B377" s="34">
        <v>8.6274368069601284</v>
      </c>
      <c r="C377" s="35">
        <v>79.333521500602828</v>
      </c>
      <c r="D377" s="35">
        <v>217.65253333333334</v>
      </c>
      <c r="E377" s="35">
        <v>1.2845849802371542E-2</v>
      </c>
      <c r="F377" s="35">
        <v>3.0857108010041772E-3</v>
      </c>
      <c r="G377" s="35">
        <v>2.7959317523056653</v>
      </c>
      <c r="H377" s="35">
        <v>0.14623599187342443</v>
      </c>
      <c r="I377" s="35">
        <v>213994</v>
      </c>
      <c r="J377" s="35">
        <v>1463347</v>
      </c>
    </row>
    <row r="378" spans="1:10">
      <c r="A378" s="2" t="s">
        <v>215</v>
      </c>
      <c r="B378" s="34">
        <v>10.391177525350864</v>
      </c>
      <c r="C378" s="35">
        <v>22.004684198633502</v>
      </c>
      <c r="D378" s="35">
        <v>304.71021935483867</v>
      </c>
      <c r="E378" s="35">
        <v>1.5144113336590131E-2</v>
      </c>
      <c r="F378" s="35">
        <v>2.2518211479777613E-3</v>
      </c>
      <c r="G378" s="35">
        <v>4.6145660967269171</v>
      </c>
      <c r="H378" s="35">
        <v>0.56056009913906235</v>
      </c>
      <c r="I378" s="35">
        <v>429273</v>
      </c>
      <c r="J378" s="35">
        <v>765793</v>
      </c>
    </row>
    <row r="379" spans="1:10">
      <c r="A379" s="2" t="s">
        <v>237</v>
      </c>
      <c r="B379" s="34">
        <v>18.676823378671397</v>
      </c>
      <c r="C379" s="35">
        <v>27.490718517025993</v>
      </c>
      <c r="D379" s="35">
        <v>284.24257499999999</v>
      </c>
      <c r="E379" s="35">
        <v>2.6865671641791045E-2</v>
      </c>
      <c r="F379" s="35">
        <v>2.4457731928656432E-3</v>
      </c>
      <c r="G379" s="35">
        <v>7.6363676865671648</v>
      </c>
      <c r="H379" s="35">
        <v>0.74151212894511942</v>
      </c>
      <c r="I379" s="35">
        <v>372225</v>
      </c>
      <c r="J379" s="35">
        <v>501981</v>
      </c>
    </row>
    <row r="380" spans="1:10">
      <c r="A380" s="2" t="s">
        <v>217</v>
      </c>
      <c r="B380" s="34">
        <v>7.2767110926003058</v>
      </c>
      <c r="C380" s="35">
        <v>8.8318024581227075</v>
      </c>
      <c r="D380" s="35">
        <v>148.50675833333335</v>
      </c>
      <c r="E380" s="35">
        <v>1.8823529411764704E-2</v>
      </c>
      <c r="F380" s="35">
        <v>2.6030820491461889E-3</v>
      </c>
      <c r="G380" s="35">
        <v>2.7954213333333335</v>
      </c>
      <c r="H380" s="35">
        <v>0.90651787158337371</v>
      </c>
      <c r="I380" s="35">
        <v>403560</v>
      </c>
      <c r="J380" s="35">
        <v>445176</v>
      </c>
    </row>
    <row r="381" spans="1:10">
      <c r="A381" s="2" t="s">
        <v>213</v>
      </c>
      <c r="B381" s="34">
        <v>70.06988282844371</v>
      </c>
      <c r="C381" s="35">
        <v>178.72379356313084</v>
      </c>
      <c r="D381" s="35">
        <v>370.45209473684207</v>
      </c>
      <c r="E381" s="35">
        <v>5.6886227544910177E-2</v>
      </c>
      <c r="F381" s="35">
        <v>3.3250042309185572E-3</v>
      </c>
      <c r="G381" s="35">
        <v>21.073622155688621</v>
      </c>
      <c r="H381" s="35">
        <v>0.4263882723601442</v>
      </c>
      <c r="I381" s="35">
        <v>78765</v>
      </c>
      <c r="J381" s="35">
        <v>184726</v>
      </c>
    </row>
    <row r="382" spans="1:10">
      <c r="A382" s="2" t="s">
        <v>330</v>
      </c>
      <c r="B382" s="34">
        <v>33.422561467735044</v>
      </c>
      <c r="C382" s="35">
        <v>48.485937739141079</v>
      </c>
      <c r="D382" s="35">
        <v>162.4602153846154</v>
      </c>
      <c r="E382" s="35">
        <v>7.8E-2</v>
      </c>
      <c r="F382" s="35">
        <v>2.6375342220065303E-3</v>
      </c>
      <c r="G382" s="35">
        <v>12.671896800000001</v>
      </c>
      <c r="H382" s="35">
        <v>0.71140194242411048</v>
      </c>
      <c r="I382" s="35">
        <v>130676</v>
      </c>
      <c r="J382" s="35">
        <v>183688</v>
      </c>
    </row>
    <row r="383" spans="1:10">
      <c r="A383" s="2" t="s">
        <v>261</v>
      </c>
      <c r="B383" s="34">
        <v>39.259256797623237</v>
      </c>
      <c r="C383" s="35">
        <v>101.19286644281505</v>
      </c>
      <c r="D383" s="35">
        <v>421.91642857142858</v>
      </c>
      <c r="E383" s="35">
        <v>3.3333333333333333E-2</v>
      </c>
      <c r="F383" s="35">
        <v>2.7914952444884583E-3</v>
      </c>
      <c r="G383" s="35">
        <v>14.063880952380952</v>
      </c>
      <c r="H383" s="35">
        <v>0.43206833507279846</v>
      </c>
      <c r="I383" s="35">
        <v>58372</v>
      </c>
      <c r="J383" s="35">
        <v>135099</v>
      </c>
    </row>
    <row r="384" spans="1:10">
      <c r="A384" s="2" t="s">
        <v>250</v>
      </c>
      <c r="B384" s="34">
        <v>62.772924823485091</v>
      </c>
      <c r="C384" s="35">
        <v>92.447288233733019</v>
      </c>
      <c r="D384" s="35">
        <v>478.98095625000002</v>
      </c>
      <c r="E384" s="35">
        <v>5.3511705685618728E-2</v>
      </c>
      <c r="F384" s="35">
        <v>2.4490932621266974E-3</v>
      </c>
      <c r="G384" s="35">
        <v>25.631087959866221</v>
      </c>
      <c r="H384" s="35">
        <v>0.71319310018497006</v>
      </c>
      <c r="I384" s="35">
        <v>82898</v>
      </c>
      <c r="J384" s="35">
        <v>116235</v>
      </c>
    </row>
    <row r="385" spans="1:10">
      <c r="A385" s="2" t="s">
        <v>218</v>
      </c>
      <c r="B385" s="34">
        <v>8.3508849756800565</v>
      </c>
      <c r="C385" s="35">
        <v>20.932539335355958</v>
      </c>
      <c r="D385" s="35">
        <v>296.67687999999998</v>
      </c>
      <c r="E385" s="35">
        <v>1.0309278350515464E-2</v>
      </c>
      <c r="F385" s="35">
        <v>2.7303638983966851E-3</v>
      </c>
      <c r="G385" s="35">
        <v>3.0585245360824742</v>
      </c>
      <c r="H385" s="35">
        <v>0.73917034348238775</v>
      </c>
      <c r="I385" s="35">
        <v>70865</v>
      </c>
      <c r="J385" s="35">
        <v>95871</v>
      </c>
    </row>
    <row r="386" spans="1:10">
      <c r="A386" s="2" t="s">
        <v>264</v>
      </c>
      <c r="B386" s="34">
        <v>68.100687494830865</v>
      </c>
      <c r="C386" s="35">
        <v>94.508512195121952</v>
      </c>
      <c r="D386" s="35">
        <v>439.14955333333336</v>
      </c>
      <c r="E386" s="35">
        <v>4.398826979472141E-2</v>
      </c>
      <c r="F386" s="35">
        <v>3.5253494334629063E-3</v>
      </c>
      <c r="G386" s="35">
        <v>19.317429032258065</v>
      </c>
      <c r="H386" s="35">
        <v>0.75835056033075832</v>
      </c>
      <c r="I386" s="35">
        <v>69700</v>
      </c>
      <c r="J386" s="35">
        <v>91910</v>
      </c>
    </row>
    <row r="387" spans="1:10">
      <c r="A387" s="2" t="s">
        <v>257</v>
      </c>
      <c r="B387" s="34">
        <v>46.79574737569326</v>
      </c>
      <c r="C387" s="35">
        <v>70.797537961269356</v>
      </c>
      <c r="D387" s="35">
        <v>541.88435555555554</v>
      </c>
      <c r="E387" s="35">
        <v>3.8297872340425532E-2</v>
      </c>
      <c r="F387" s="35">
        <v>2.254888790803892E-3</v>
      </c>
      <c r="G387" s="35">
        <v>20.753017872340425</v>
      </c>
      <c r="H387" s="35">
        <v>0.81257446181067527</v>
      </c>
      <c r="I387" s="35">
        <v>68886</v>
      </c>
      <c r="J387" s="35">
        <v>84775</v>
      </c>
    </row>
    <row r="388" spans="1:10">
      <c r="A388" s="2" t="s">
        <v>323</v>
      </c>
      <c r="B388" s="34">
        <v>89.457999510483802</v>
      </c>
      <c r="C388" s="35">
        <v>132.19642227413155</v>
      </c>
      <c r="D388" s="35">
        <v>324.88494814814811</v>
      </c>
      <c r="E388" s="35">
        <v>9.8540145985401464E-2</v>
      </c>
      <c r="F388" s="35">
        <v>2.7943216121400017E-3</v>
      </c>
      <c r="G388" s="35">
        <v>32.0142102189781</v>
      </c>
      <c r="H388" s="35">
        <v>0.80461512344181985</v>
      </c>
      <c r="I388" s="35">
        <v>66355</v>
      </c>
      <c r="J388" s="35">
        <v>82468</v>
      </c>
    </row>
    <row r="389" spans="1:10">
      <c r="A389" s="2" t="s">
        <v>271</v>
      </c>
      <c r="B389" s="34">
        <v>16.082726309094767</v>
      </c>
      <c r="C389" s="35">
        <v>89.486546741374227</v>
      </c>
      <c r="D389" s="35">
        <v>116.71110769230769</v>
      </c>
      <c r="E389" s="35">
        <v>5.1999999999999998E-2</v>
      </c>
      <c r="F389" s="35">
        <v>2.6499894000424E-3</v>
      </c>
      <c r="G389" s="35">
        <v>6.0689776000000002</v>
      </c>
      <c r="H389" s="35">
        <v>0.22027776695118942</v>
      </c>
      <c r="I389" s="35">
        <v>16955</v>
      </c>
      <c r="J389" s="35">
        <v>76971</v>
      </c>
    </row>
    <row r="390" spans="1:10">
      <c r="A390" s="2" t="s">
        <v>371</v>
      </c>
      <c r="B390" s="34">
        <v>17.964348477039</v>
      </c>
      <c r="C390" s="35">
        <v>25.390576379373147</v>
      </c>
      <c r="D390" s="35">
        <v>243.97381666666669</v>
      </c>
      <c r="E390" s="35">
        <v>3.1088082901554404E-2</v>
      </c>
      <c r="F390" s="35">
        <v>2.3685050192671134E-3</v>
      </c>
      <c r="G390" s="35">
        <v>7.5846782383419695</v>
      </c>
      <c r="H390" s="35">
        <v>0.75066078147989013</v>
      </c>
      <c r="I390" s="35">
        <v>57653</v>
      </c>
      <c r="J390" s="35">
        <v>76803</v>
      </c>
    </row>
    <row r="391" spans="1:10">
      <c r="A391" s="2" t="s">
        <v>233</v>
      </c>
      <c r="B391" s="34">
        <v>91.293777695959179</v>
      </c>
      <c r="C391" s="35">
        <v>198.81448125769597</v>
      </c>
      <c r="D391" s="35">
        <v>867.85006250000004</v>
      </c>
      <c r="E391" s="35">
        <v>4.0201005025125629E-2</v>
      </c>
      <c r="F391" s="35">
        <v>2.6167339478494127E-3</v>
      </c>
      <c r="G391" s="35">
        <v>34.888444723618093</v>
      </c>
      <c r="H391" s="35">
        <v>0.50509126674187854</v>
      </c>
      <c r="I391" s="35">
        <v>34921</v>
      </c>
      <c r="J391" s="35">
        <v>69138</v>
      </c>
    </row>
    <row r="392" spans="1:10">
      <c r="A392" s="2" t="s">
        <v>231</v>
      </c>
      <c r="B392" s="34">
        <v>112.82494250786735</v>
      </c>
      <c r="C392" s="35">
        <v>337.05208587570621</v>
      </c>
      <c r="D392" s="35">
        <v>372.86387000000002</v>
      </c>
      <c r="E392" s="35">
        <v>0.10582010582010581</v>
      </c>
      <c r="F392" s="35">
        <v>2.8594771241830064E-3</v>
      </c>
      <c r="G392" s="35">
        <v>39.456494179894179</v>
      </c>
      <c r="H392" s="35">
        <v>0.38390130483064966</v>
      </c>
      <c r="I392" s="35">
        <v>22125</v>
      </c>
      <c r="J392" s="35">
        <v>57632</v>
      </c>
    </row>
    <row r="393" spans="1:10">
      <c r="A393" s="2" t="s">
        <v>221</v>
      </c>
      <c r="B393" s="34">
        <v>102.17519241533725</v>
      </c>
      <c r="C393" s="35">
        <v>135.02118305170939</v>
      </c>
      <c r="D393" s="35">
        <v>486.76261666666664</v>
      </c>
      <c r="E393" s="35">
        <v>7.4999999999999997E-2</v>
      </c>
      <c r="F393" s="35">
        <v>2.7987685418415899E-3</v>
      </c>
      <c r="G393" s="35">
        <v>36.50719625</v>
      </c>
      <c r="H393" s="35">
        <v>0.78284866361448402</v>
      </c>
      <c r="I393" s="35">
        <v>43261</v>
      </c>
      <c r="J393" s="35">
        <v>55261</v>
      </c>
    </row>
    <row r="394" spans="1:10">
      <c r="A394" s="2" t="s">
        <v>228</v>
      </c>
      <c r="B394" s="34">
        <v>182.04617871007514</v>
      </c>
      <c r="C394" s="35">
        <v>1359.3219208758399</v>
      </c>
      <c r="D394" s="35">
        <v>364.20765333333333</v>
      </c>
      <c r="E394" s="35">
        <v>0.15873015873015872</v>
      </c>
      <c r="F394" s="35">
        <v>3.1490028157750045E-3</v>
      </c>
      <c r="G394" s="35">
        <v>57.810738624338626</v>
      </c>
      <c r="H394" s="35">
        <v>0.16649060668199425</v>
      </c>
      <c r="I394" s="35">
        <v>8038</v>
      </c>
      <c r="J394" s="35">
        <v>48279</v>
      </c>
    </row>
    <row r="395" spans="1:10">
      <c r="A395" s="2" t="s">
        <v>293</v>
      </c>
      <c r="B395" s="34">
        <v>188.56492840646652</v>
      </c>
      <c r="C395" s="35">
        <v>293.74231544107067</v>
      </c>
      <c r="D395" s="35">
        <v>326.59445599999998</v>
      </c>
      <c r="E395" s="35">
        <v>0.14705882352941177</v>
      </c>
      <c r="F395" s="35">
        <v>3.9260969976905313E-3</v>
      </c>
      <c r="G395" s="35">
        <v>48.028596470588234</v>
      </c>
      <c r="H395" s="35">
        <v>0.7390980642416507</v>
      </c>
      <c r="I395" s="35">
        <v>27796</v>
      </c>
      <c r="J395" s="35">
        <v>37608</v>
      </c>
    </row>
    <row r="396" spans="1:10">
      <c r="A396" s="2" t="s">
        <v>431</v>
      </c>
      <c r="B396" s="34">
        <v>140.68272116803175</v>
      </c>
      <c r="C396" s="35">
        <v>199.87714574825628</v>
      </c>
      <c r="D396" s="35">
        <v>691.35006250000004</v>
      </c>
      <c r="E396" s="35">
        <v>0.08</v>
      </c>
      <c r="F396" s="35">
        <v>2.5436231367960524E-3</v>
      </c>
      <c r="G396" s="35">
        <v>55.308005000000001</v>
      </c>
      <c r="H396" s="35">
        <v>0.77972835888187553</v>
      </c>
      <c r="I396" s="35">
        <v>27671</v>
      </c>
      <c r="J396" s="35">
        <v>35488</v>
      </c>
    </row>
    <row r="397" spans="1:10">
      <c r="A397" s="2" t="s">
        <v>255</v>
      </c>
      <c r="B397" s="34">
        <v>262.88768492211227</v>
      </c>
      <c r="C397" s="35">
        <v>442.69048614166297</v>
      </c>
      <c r="D397" s="35">
        <v>277.5822</v>
      </c>
      <c r="E397" s="35">
        <v>0.24166666666666667</v>
      </c>
      <c r="F397" s="35">
        <v>3.9188792005486429E-3</v>
      </c>
      <c r="G397" s="35">
        <v>67.082364999999996</v>
      </c>
      <c r="H397" s="35">
        <v>0.63729716468650333</v>
      </c>
      <c r="I397" s="35">
        <v>18184</v>
      </c>
      <c r="J397" s="35">
        <v>28533</v>
      </c>
    </row>
    <row r="398" spans="1:10">
      <c r="A398" s="2" t="s">
        <v>432</v>
      </c>
      <c r="B398" s="34">
        <v>46.493313702269305</v>
      </c>
      <c r="C398" s="35">
        <v>88.974065907141977</v>
      </c>
      <c r="D398" s="35">
        <v>69.170980952380958</v>
      </c>
      <c r="E398" s="35">
        <v>0.21</v>
      </c>
      <c r="F398" s="35">
        <v>3.2007169605991741E-3</v>
      </c>
      <c r="G398" s="35">
        <v>14.525905999999999</v>
      </c>
      <c r="H398" s="35">
        <v>0.62814051017659955</v>
      </c>
      <c r="I398" s="35">
        <v>16326</v>
      </c>
      <c r="J398" s="35">
        <v>25991</v>
      </c>
    </row>
    <row r="399" spans="1:10">
      <c r="A399" s="2" t="s">
        <v>433</v>
      </c>
      <c r="B399" s="34">
        <v>182.10827518176174</v>
      </c>
      <c r="C399" s="35">
        <v>223.96143062544931</v>
      </c>
      <c r="D399" s="35">
        <v>996.89711999999997</v>
      </c>
      <c r="E399" s="35">
        <v>8.3333333333333329E-2</v>
      </c>
      <c r="F399" s="35">
        <v>2.1921011289320813E-3</v>
      </c>
      <c r="G399" s="35">
        <v>83.074759999999998</v>
      </c>
      <c r="H399" s="35">
        <v>0.85646117139998457</v>
      </c>
      <c r="I399" s="35">
        <v>22256</v>
      </c>
      <c r="J399" s="35">
        <v>25986</v>
      </c>
    </row>
    <row r="400" spans="1:10">
      <c r="A400" s="2" t="s">
        <v>434</v>
      </c>
      <c r="B400" s="34">
        <v>119.30017125433356</v>
      </c>
      <c r="C400" s="35">
        <v>218.79618507737092</v>
      </c>
      <c r="D400" s="35">
        <v>476.02756666666664</v>
      </c>
      <c r="E400" s="35">
        <v>0.04</v>
      </c>
      <c r="F400" s="35">
        <v>6.2654024476838897E-3</v>
      </c>
      <c r="G400" s="35">
        <v>19.041102666666667</v>
      </c>
      <c r="H400" s="35">
        <v>0.58601185131980604</v>
      </c>
      <c r="I400" s="35">
        <v>13054</v>
      </c>
      <c r="J400" s="35">
        <v>22276</v>
      </c>
    </row>
    <row r="401" spans="1:10">
      <c r="A401" s="2" t="s">
        <v>305</v>
      </c>
      <c r="B401" s="34">
        <v>283.87805262261583</v>
      </c>
      <c r="C401" s="35">
        <v>1443.2311038961038</v>
      </c>
      <c r="D401" s="35">
        <v>740.85863333333339</v>
      </c>
      <c r="E401" s="35">
        <v>0.12</v>
      </c>
      <c r="F401" s="35">
        <v>3.1931198910081743E-3</v>
      </c>
      <c r="G401" s="35">
        <v>88.903036</v>
      </c>
      <c r="H401" s="35">
        <v>0.20760312752763549</v>
      </c>
      <c r="I401" s="35">
        <v>4620</v>
      </c>
      <c r="J401" s="35">
        <v>22254</v>
      </c>
    </row>
    <row r="402" spans="1:10">
      <c r="A402" s="2" t="s">
        <v>398</v>
      </c>
      <c r="B402" s="34">
        <v>74.61002441789482</v>
      </c>
      <c r="C402" s="35">
        <v>92.312597108329726</v>
      </c>
      <c r="D402" s="35">
        <v>342.22125999999997</v>
      </c>
      <c r="E402" s="35">
        <v>6.1728395061728392E-2</v>
      </c>
      <c r="F402" s="35">
        <v>3.5318740734280982E-3</v>
      </c>
      <c r="G402" s="35">
        <v>21.124769135802467</v>
      </c>
      <c r="H402" s="35">
        <v>0.88186878538465197</v>
      </c>
      <c r="I402" s="35">
        <v>18536</v>
      </c>
      <c r="J402" s="35">
        <v>21019</v>
      </c>
    </row>
    <row r="403" spans="1:10">
      <c r="A403" s="2" t="s">
        <v>435</v>
      </c>
      <c r="B403" s="34">
        <v>98.465066317010439</v>
      </c>
      <c r="C403" s="35">
        <v>129.55104505341384</v>
      </c>
      <c r="D403" s="35">
        <v>976.2319</v>
      </c>
      <c r="E403" s="35">
        <v>4.7619047619047616E-2</v>
      </c>
      <c r="F403" s="35">
        <v>2.1181098391245146E-3</v>
      </c>
      <c r="G403" s="35">
        <v>46.487233333333336</v>
      </c>
      <c r="H403" s="35">
        <v>0.78926420528934271</v>
      </c>
      <c r="I403" s="35">
        <v>15071</v>
      </c>
      <c r="J403" s="35">
        <v>19095</v>
      </c>
    </row>
    <row r="404" spans="1:10">
      <c r="A404" s="2" t="s">
        <v>346</v>
      </c>
      <c r="B404" s="34">
        <v>153.10341213950369</v>
      </c>
      <c r="C404" s="35">
        <v>325.79029524574077</v>
      </c>
      <c r="D404" s="35">
        <v>173.92547619047619</v>
      </c>
      <c r="E404" s="35">
        <v>0.7</v>
      </c>
      <c r="F404" s="35">
        <v>1.2575452716297787E-3</v>
      </c>
      <c r="G404" s="35">
        <v>121.74783333333333</v>
      </c>
      <c r="H404" s="35">
        <v>0.61802646085997792</v>
      </c>
      <c r="I404" s="35">
        <v>11211</v>
      </c>
      <c r="J404" s="35">
        <v>18140</v>
      </c>
    </row>
    <row r="405" spans="1:10">
      <c r="A405" s="2" t="s">
        <v>303</v>
      </c>
      <c r="B405" s="34">
        <v>179.73745057785888</v>
      </c>
      <c r="C405" s="35">
        <v>382.69498947709246</v>
      </c>
      <c r="D405" s="35">
        <v>429.80126363636367</v>
      </c>
      <c r="E405" s="35">
        <v>0.14666666666666667</v>
      </c>
      <c r="F405" s="35">
        <v>2.8512773722627737E-3</v>
      </c>
      <c r="G405" s="35">
        <v>63.037518666666671</v>
      </c>
      <c r="H405" s="35">
        <v>0.70594285714285709</v>
      </c>
      <c r="I405" s="35">
        <v>12354</v>
      </c>
      <c r="J405" s="35">
        <v>17500</v>
      </c>
    </row>
    <row r="406" spans="1:10">
      <c r="A406" s="2" t="s">
        <v>361</v>
      </c>
      <c r="B406" s="34">
        <v>99.487581738556614</v>
      </c>
      <c r="C406" s="35">
        <v>151.2962777118876</v>
      </c>
      <c r="D406" s="35">
        <v>331.67169999999999</v>
      </c>
      <c r="E406" s="35">
        <v>0.19230769230769232</v>
      </c>
      <c r="F406" s="35">
        <v>1.5597816305717199E-3</v>
      </c>
      <c r="G406" s="35">
        <v>63.783019230769234</v>
      </c>
      <c r="H406" s="35">
        <v>0.70940392207624103</v>
      </c>
      <c r="I406" s="35">
        <v>10961</v>
      </c>
      <c r="J406" s="35">
        <v>15451</v>
      </c>
    </row>
    <row r="407" spans="1:10">
      <c r="A407" s="2" t="s">
        <v>260</v>
      </c>
      <c r="B407" s="34">
        <v>104.11135475201563</v>
      </c>
      <c r="C407" s="35">
        <v>360.28558444303525</v>
      </c>
      <c r="D407" s="35">
        <v>189.3901222222222</v>
      </c>
      <c r="E407" s="35">
        <v>0.1</v>
      </c>
      <c r="F407" s="35">
        <v>5.4971903249450282E-3</v>
      </c>
      <c r="G407" s="35">
        <v>18.939012222222221</v>
      </c>
      <c r="H407" s="35">
        <v>0.3085703104617793</v>
      </c>
      <c r="I407" s="35">
        <v>4731</v>
      </c>
      <c r="J407" s="35">
        <v>15332</v>
      </c>
    </row>
    <row r="408" spans="1:10">
      <c r="A408" s="2" t="s">
        <v>388</v>
      </c>
      <c r="B408" s="34">
        <v>115.48471068845433</v>
      </c>
      <c r="C408" s="35">
        <v>192.73697328713536</v>
      </c>
      <c r="D408" s="35">
        <v>574.80589999999995</v>
      </c>
      <c r="E408" s="35">
        <v>3.3333333333333333E-2</v>
      </c>
      <c r="F408" s="35">
        <v>6.0273238682025179E-3</v>
      </c>
      <c r="G408" s="35">
        <v>19.160196666666668</v>
      </c>
      <c r="H408" s="35">
        <v>0.6275953984287318</v>
      </c>
      <c r="I408" s="35">
        <v>8947</v>
      </c>
      <c r="J408" s="35">
        <v>14256</v>
      </c>
    </row>
    <row r="409" spans="1:10">
      <c r="A409" s="2" t="s">
        <v>251</v>
      </c>
      <c r="B409" s="34">
        <v>23.293828766308444</v>
      </c>
      <c r="C409" s="35">
        <v>635.16487889273355</v>
      </c>
      <c r="D409" s="35">
        <v>5874.0047999999997</v>
      </c>
      <c r="E409" s="35">
        <v>1.5384615384615385E-3</v>
      </c>
      <c r="F409" s="35">
        <v>2.5776262045445531E-3</v>
      </c>
      <c r="G409" s="35">
        <v>9.0369304615384607</v>
      </c>
      <c r="H409" s="35">
        <v>0.65163472378804965</v>
      </c>
      <c r="I409" s="35">
        <v>9248</v>
      </c>
      <c r="J409" s="35">
        <v>14192</v>
      </c>
    </row>
    <row r="410" spans="1:10">
      <c r="A410" s="2" t="s">
        <v>273</v>
      </c>
      <c r="B410" s="34">
        <v>283.01842539159111</v>
      </c>
      <c r="C410" s="35">
        <v>832.75039417828987</v>
      </c>
      <c r="D410" s="35">
        <v>2746.4108000000001</v>
      </c>
      <c r="E410" s="35">
        <v>3.4482758620689655E-2</v>
      </c>
      <c r="F410" s="35">
        <v>2.9884583676834295E-3</v>
      </c>
      <c r="G410" s="35">
        <v>94.703820689655174</v>
      </c>
      <c r="H410" s="35">
        <v>0.47521613832853027</v>
      </c>
      <c r="I410" s="35">
        <v>6596</v>
      </c>
      <c r="J410" s="35">
        <v>13880</v>
      </c>
    </row>
    <row r="411" spans="1:10">
      <c r="A411" s="2" t="s">
        <v>287</v>
      </c>
      <c r="B411" s="34">
        <v>88.436131654993389</v>
      </c>
      <c r="C411" s="35">
        <v>1777.1658464566929</v>
      </c>
      <c r="D411" s="35">
        <v>361.12009999999998</v>
      </c>
      <c r="E411" s="35">
        <v>5.8139534883720929E-2</v>
      </c>
      <c r="F411" s="35">
        <v>4.2121761277366899E-3</v>
      </c>
      <c r="G411" s="35">
        <v>20.995354651162792</v>
      </c>
      <c r="H411" s="35">
        <v>7.5438075438075444E-2</v>
      </c>
      <c r="I411" s="35">
        <v>1016</v>
      </c>
      <c r="J411" s="35">
        <v>13468</v>
      </c>
    </row>
    <row r="412" spans="1:10">
      <c r="A412" s="2" t="s">
        <v>224</v>
      </c>
      <c r="B412" s="34">
        <v>104.45223542727788</v>
      </c>
      <c r="C412" s="35">
        <v>315.29720264787528</v>
      </c>
      <c r="D412" s="35">
        <v>492.17893333333336</v>
      </c>
      <c r="E412" s="35">
        <v>3.4090909090909088E-2</v>
      </c>
      <c r="F412" s="35">
        <v>6.2252405206564797E-3</v>
      </c>
      <c r="G412" s="35">
        <v>16.778827272727273</v>
      </c>
      <c r="H412" s="35">
        <v>0.35282151736608153</v>
      </c>
      <c r="I412" s="35">
        <v>4683</v>
      </c>
      <c r="J412" s="35">
        <v>13273</v>
      </c>
    </row>
    <row r="413" spans="1:10">
      <c r="A413" s="2" t="s">
        <v>406</v>
      </c>
      <c r="B413" s="34">
        <v>113.91953266295306</v>
      </c>
      <c r="C413" s="35">
        <v>147.56908443444851</v>
      </c>
      <c r="D413" s="35">
        <v>524.90323333333333</v>
      </c>
      <c r="E413" s="35">
        <v>5.1724137931034482E-2</v>
      </c>
      <c r="F413" s="35">
        <v>4.1959053750994721E-3</v>
      </c>
      <c r="G413" s="35">
        <v>27.150167241379311</v>
      </c>
      <c r="H413" s="35">
        <v>0.82484347221148646</v>
      </c>
      <c r="I413" s="35">
        <v>10671</v>
      </c>
      <c r="J413" s="35">
        <v>12937</v>
      </c>
    </row>
    <row r="414" spans="1:10">
      <c r="A414" s="2" t="s">
        <v>325</v>
      </c>
      <c r="B414" s="34">
        <v>146.37428363283146</v>
      </c>
      <c r="C414" s="35">
        <v>211.22624693376943</v>
      </c>
      <c r="D414" s="35">
        <v>361.66158000000001</v>
      </c>
      <c r="E414" s="35">
        <v>0.5</v>
      </c>
      <c r="F414" s="35">
        <v>8.0945442771571965E-4</v>
      </c>
      <c r="G414" s="35">
        <v>180.83079000000001</v>
      </c>
      <c r="H414" s="35">
        <v>0.72661687319640134</v>
      </c>
      <c r="I414" s="35">
        <v>8561</v>
      </c>
      <c r="J414" s="35">
        <v>11782</v>
      </c>
    </row>
    <row r="415" spans="1:10">
      <c r="A415" s="2" t="s">
        <v>436</v>
      </c>
      <c r="B415" s="34">
        <v>126.90747690954404</v>
      </c>
      <c r="C415" s="35">
        <v>176.12124109867753</v>
      </c>
      <c r="D415" s="35">
        <v>577.09059999999999</v>
      </c>
      <c r="E415" s="35">
        <v>7.4999999999999997E-2</v>
      </c>
      <c r="F415" s="35">
        <v>2.9321213898255388E-3</v>
      </c>
      <c r="G415" s="35">
        <v>43.281795000000002</v>
      </c>
      <c r="H415" s="35">
        <v>0.84319780408303313</v>
      </c>
      <c r="I415" s="35">
        <v>9830</v>
      </c>
      <c r="J415" s="35">
        <v>11658</v>
      </c>
    </row>
    <row r="416" spans="1:10">
      <c r="A416" s="2" t="s">
        <v>252</v>
      </c>
      <c r="B416" s="34">
        <v>170.85565818006586</v>
      </c>
      <c r="C416" s="35">
        <v>712.19410780046871</v>
      </c>
      <c r="D416" s="35">
        <v>531.83095000000003</v>
      </c>
      <c r="E416" s="35">
        <v>0.13333333333333333</v>
      </c>
      <c r="F416" s="35">
        <v>2.4094450244960242E-3</v>
      </c>
      <c r="G416" s="35">
        <v>70.910793333333331</v>
      </c>
      <c r="H416" s="35">
        <v>0.26445329791943339</v>
      </c>
      <c r="I416" s="35">
        <v>2987</v>
      </c>
      <c r="J416" s="35">
        <v>11295</v>
      </c>
    </row>
    <row r="417" spans="1:10">
      <c r="A417" s="2" t="s">
        <v>272</v>
      </c>
      <c r="B417" s="34">
        <v>192.02625407740456</v>
      </c>
      <c r="C417" s="35">
        <v>369.17861016949155</v>
      </c>
      <c r="D417" s="35">
        <v>726.05126666666672</v>
      </c>
      <c r="E417" s="35">
        <v>4.3478260869565216E-2</v>
      </c>
      <c r="F417" s="35">
        <v>6.0830468130124308E-3</v>
      </c>
      <c r="G417" s="35">
        <v>31.567446376811596</v>
      </c>
      <c r="H417" s="35">
        <v>0.57985257985257987</v>
      </c>
      <c r="I417" s="35">
        <v>5900</v>
      </c>
      <c r="J417" s="35">
        <v>10175</v>
      </c>
    </row>
    <row r="418" spans="1:10">
      <c r="A418" s="2" t="s">
        <v>234</v>
      </c>
      <c r="B418" s="34">
        <v>248.57963230339783</v>
      </c>
      <c r="C418" s="35">
        <v>316.4433035167259</v>
      </c>
      <c r="D418" s="35">
        <v>1291.2469000000001</v>
      </c>
      <c r="E418" s="35">
        <v>3.6363636363636362E-2</v>
      </c>
      <c r="F418" s="35">
        <v>5.2940610260852825E-3</v>
      </c>
      <c r="G418" s="35">
        <v>46.954432727272732</v>
      </c>
      <c r="H418" s="35">
        <v>0.82011858104713098</v>
      </c>
      <c r="I418" s="35">
        <v>8161</v>
      </c>
      <c r="J418" s="35">
        <v>9951</v>
      </c>
    </row>
    <row r="419" spans="1:10">
      <c r="A419" s="2" t="s">
        <v>437</v>
      </c>
      <c r="B419" s="34">
        <v>543.63117281247264</v>
      </c>
      <c r="C419" s="35">
        <v>4474.8645277577507</v>
      </c>
      <c r="D419" s="35">
        <v>689.62634444444438</v>
      </c>
      <c r="E419" s="35">
        <v>0.11538461538461539</v>
      </c>
      <c r="F419" s="35">
        <v>6.831917316282736E-3</v>
      </c>
      <c r="G419" s="35">
        <v>79.572270512820509</v>
      </c>
      <c r="H419" s="35">
        <v>0.13976219266424827</v>
      </c>
      <c r="I419" s="35">
        <v>1387</v>
      </c>
      <c r="J419" s="35">
        <v>9924</v>
      </c>
    </row>
    <row r="420" spans="1:10">
      <c r="A420" s="2" t="s">
        <v>238</v>
      </c>
      <c r="B420" s="34">
        <v>493.03616267839902</v>
      </c>
      <c r="C420" s="35">
        <v>741.90279347650574</v>
      </c>
      <c r="D420" s="35">
        <v>382.88366666666667</v>
      </c>
      <c r="E420" s="35">
        <v>0.4</v>
      </c>
      <c r="F420" s="35">
        <v>3.2192295310655649E-3</v>
      </c>
      <c r="G420" s="35">
        <v>153.15346666666667</v>
      </c>
      <c r="H420" s="35">
        <v>0.71331490439990786</v>
      </c>
      <c r="I420" s="35">
        <v>6193</v>
      </c>
      <c r="J420" s="35">
        <v>8682</v>
      </c>
    </row>
    <row r="421" spans="1:10">
      <c r="A421" s="2" t="s">
        <v>270</v>
      </c>
      <c r="B421" s="34">
        <v>162.96377212389382</v>
      </c>
      <c r="C421" s="35">
        <v>410.9323570432357</v>
      </c>
      <c r="D421" s="35">
        <v>491.06416666666672</v>
      </c>
      <c r="E421" s="35">
        <v>0.14285714285714285</v>
      </c>
      <c r="F421" s="35">
        <v>2.3230088495575221E-3</v>
      </c>
      <c r="G421" s="35">
        <v>70.152023809523811</v>
      </c>
      <c r="H421" s="35">
        <v>0.42426035502958581</v>
      </c>
      <c r="I421" s="35">
        <v>3585</v>
      </c>
      <c r="J421" s="35">
        <v>8450</v>
      </c>
    </row>
    <row r="422" spans="1:10">
      <c r="A422" s="2" t="s">
        <v>334</v>
      </c>
      <c r="B422" s="34">
        <v>152.3136929460581</v>
      </c>
      <c r="C422" s="35">
        <v>642.06979522184304</v>
      </c>
      <c r="D422" s="35">
        <v>1505.0116</v>
      </c>
      <c r="E422" s="35">
        <v>6.6666666666666666E-2</v>
      </c>
      <c r="F422" s="35">
        <v>1.5180649731808521E-3</v>
      </c>
      <c r="G422" s="35">
        <v>100.33410666666667</v>
      </c>
      <c r="H422" s="35">
        <v>0.32004369197160021</v>
      </c>
      <c r="I422" s="35">
        <v>2344</v>
      </c>
      <c r="J422" s="35">
        <v>7324</v>
      </c>
    </row>
    <row r="423" spans="1:10">
      <c r="A423" s="1" t="s">
        <v>43</v>
      </c>
      <c r="B423" s="35"/>
      <c r="C423" s="35"/>
      <c r="D423" s="35"/>
      <c r="E423" s="35"/>
      <c r="F423" s="35"/>
      <c r="G423" s="35"/>
      <c r="H423" s="35"/>
      <c r="I423" s="35"/>
      <c r="J423" s="35"/>
    </row>
    <row r="424" spans="1:10">
      <c r="A424" s="2" t="s">
        <v>218</v>
      </c>
      <c r="B424" s="34">
        <v>4.9623559271689626</v>
      </c>
      <c r="C424" s="35">
        <v>6.7643031346977907</v>
      </c>
      <c r="D424" s="35">
        <v>88.848276136363637</v>
      </c>
      <c r="E424" s="35">
        <v>2.2715539494062985E-2</v>
      </c>
      <c r="F424" s="35">
        <v>2.4587583587629283E-3</v>
      </c>
      <c r="G424" s="35">
        <v>2.0182365255549817</v>
      </c>
      <c r="H424" s="35">
        <v>0.79830720353615581</v>
      </c>
      <c r="I424" s="35">
        <v>1155869</v>
      </c>
      <c r="J424" s="35">
        <v>1447900</v>
      </c>
    </row>
    <row r="425" spans="1:10">
      <c r="A425" s="2" t="s">
        <v>254</v>
      </c>
      <c r="B425" s="34">
        <v>8.0888879535743889</v>
      </c>
      <c r="C425" s="35">
        <v>28.902841023023498</v>
      </c>
      <c r="D425" s="35">
        <v>352.33847777777777</v>
      </c>
      <c r="E425" s="35">
        <v>8.840864440078585E-3</v>
      </c>
      <c r="F425" s="35">
        <v>2.5967731649767234E-3</v>
      </c>
      <c r="G425" s="35">
        <v>3.1149767190569744</v>
      </c>
      <c r="H425" s="35">
        <v>0.33698429859694817</v>
      </c>
      <c r="I425" s="35">
        <v>109714</v>
      </c>
      <c r="J425" s="35">
        <v>325576</v>
      </c>
    </row>
    <row r="426" spans="1:10">
      <c r="A426" s="2" t="s">
        <v>213</v>
      </c>
      <c r="B426" s="34">
        <v>49.56696342187545</v>
      </c>
      <c r="C426" s="35">
        <v>184.48439996909048</v>
      </c>
      <c r="D426" s="35">
        <v>426.32368214285714</v>
      </c>
      <c r="E426" s="35">
        <v>3.7685060565275909E-2</v>
      </c>
      <c r="F426" s="35">
        <v>3.0852022406125559E-3</v>
      </c>
      <c r="G426" s="35">
        <v>16.066033781965007</v>
      </c>
      <c r="H426" s="35">
        <v>0.28662617886394948</v>
      </c>
      <c r="I426" s="35">
        <v>64705</v>
      </c>
      <c r="J426" s="35">
        <v>225747</v>
      </c>
    </row>
    <row r="427" spans="1:10">
      <c r="A427" s="2" t="s">
        <v>237</v>
      </c>
      <c r="B427" s="34">
        <v>56.318553517582238</v>
      </c>
      <c r="C427" s="35">
        <v>90.772445698248902</v>
      </c>
      <c r="D427" s="35">
        <v>591.43867619047614</v>
      </c>
      <c r="E427" s="35">
        <v>5.2631578947368418E-2</v>
      </c>
      <c r="F427" s="35">
        <v>1.809236629106491E-3</v>
      </c>
      <c r="G427" s="35">
        <v>31.128351378446116</v>
      </c>
      <c r="H427" s="35">
        <v>0.66936379424210557</v>
      </c>
      <c r="I427" s="35">
        <v>136828</v>
      </c>
      <c r="J427" s="35">
        <v>204415</v>
      </c>
    </row>
    <row r="428" spans="1:10">
      <c r="A428" s="2" t="s">
        <v>231</v>
      </c>
      <c r="B428" s="34">
        <v>143.207018127005</v>
      </c>
      <c r="C428" s="35">
        <v>344.66931906976743</v>
      </c>
      <c r="D428" s="35">
        <v>638.82675517241387</v>
      </c>
      <c r="E428" s="35">
        <v>8.0332409972299165E-2</v>
      </c>
      <c r="F428" s="35">
        <v>2.7905538592354964E-3</v>
      </c>
      <c r="G428" s="35">
        <v>51.318492797783939</v>
      </c>
      <c r="H428" s="35">
        <v>0.46550499714201582</v>
      </c>
      <c r="I428" s="35">
        <v>53750</v>
      </c>
      <c r="J428" s="35">
        <v>115466</v>
      </c>
    </row>
    <row r="429" spans="1:10">
      <c r="A429" s="2" t="s">
        <v>310</v>
      </c>
      <c r="B429" s="34">
        <v>42.06114123462703</v>
      </c>
      <c r="C429" s="35">
        <v>71.139862871029351</v>
      </c>
      <c r="D429" s="35">
        <v>223.54731818181818</v>
      </c>
      <c r="E429" s="35">
        <v>6.8535825545171333E-2</v>
      </c>
      <c r="F429" s="35">
        <v>2.7453261036895129E-3</v>
      </c>
      <c r="G429" s="35">
        <v>15.321</v>
      </c>
      <c r="H429" s="35">
        <v>0.61748707092901745</v>
      </c>
      <c r="I429" s="35">
        <v>69132</v>
      </c>
      <c r="J429" s="35">
        <v>111957</v>
      </c>
    </row>
    <row r="430" spans="1:10">
      <c r="A430" s="2" t="s">
        <v>217</v>
      </c>
      <c r="B430" s="34">
        <v>65.719157351980357</v>
      </c>
      <c r="C430" s="35">
        <v>77.728986445562967</v>
      </c>
      <c r="D430" s="35">
        <v>1860.8707999999999</v>
      </c>
      <c r="E430" s="35">
        <v>1.0526315789473684E-2</v>
      </c>
      <c r="F430" s="35">
        <v>3.3550528862283909E-3</v>
      </c>
      <c r="G430" s="35">
        <v>19.588113684210526</v>
      </c>
      <c r="H430" s="35">
        <v>0.91540167476006573</v>
      </c>
      <c r="I430" s="35">
        <v>95762</v>
      </c>
      <c r="J430" s="35">
        <v>104612</v>
      </c>
    </row>
    <row r="431" spans="1:10">
      <c r="A431" s="2" t="s">
        <v>371</v>
      </c>
      <c r="B431" s="34">
        <v>43.622434794636604</v>
      </c>
      <c r="C431" s="35">
        <v>96.158892806098137</v>
      </c>
      <c r="D431" s="35">
        <v>229.36081363636364</v>
      </c>
      <c r="E431" s="35">
        <v>5.3658536585365853E-2</v>
      </c>
      <c r="F431" s="35">
        <v>3.5444745100412368E-3</v>
      </c>
      <c r="G431" s="35">
        <v>12.307165609756098</v>
      </c>
      <c r="H431" s="35">
        <v>0.54005516332873638</v>
      </c>
      <c r="I431" s="35">
        <v>52475</v>
      </c>
      <c r="J431" s="35">
        <v>97166</v>
      </c>
    </row>
    <row r="432" spans="1:10">
      <c r="A432" s="2" t="s">
        <v>326</v>
      </c>
      <c r="B432" s="34">
        <v>102.86237518513209</v>
      </c>
      <c r="C432" s="35">
        <v>573.18133111480859</v>
      </c>
      <c r="D432" s="35">
        <v>307.57319642857141</v>
      </c>
      <c r="E432" s="35">
        <v>7.5471698113207544E-2</v>
      </c>
      <c r="F432" s="35">
        <v>4.4312264105871675E-3</v>
      </c>
      <c r="G432" s="35">
        <v>23.213071428571425</v>
      </c>
      <c r="H432" s="35">
        <v>0.1893963267827205</v>
      </c>
      <c r="I432" s="35">
        <v>15025</v>
      </c>
      <c r="J432" s="35">
        <v>79331</v>
      </c>
    </row>
    <row r="433" spans="1:10">
      <c r="A433" s="2" t="s">
        <v>361</v>
      </c>
      <c r="B433" s="34">
        <v>55.161327067973758</v>
      </c>
      <c r="C433" s="35">
        <v>150.31930498520776</v>
      </c>
      <c r="D433" s="35">
        <v>453.90417333333335</v>
      </c>
      <c r="E433" s="35">
        <v>4.1666666666666664E-2</v>
      </c>
      <c r="F433" s="35">
        <v>2.9166329093413272E-3</v>
      </c>
      <c r="G433" s="35">
        <v>18.912673888888889</v>
      </c>
      <c r="H433" s="35">
        <v>0.58333977281508387</v>
      </c>
      <c r="I433" s="35">
        <v>45294</v>
      </c>
      <c r="J433" s="35">
        <v>77646</v>
      </c>
    </row>
    <row r="434" spans="1:10">
      <c r="A434" s="2" t="s">
        <v>438</v>
      </c>
      <c r="B434" s="34">
        <v>109.24626414358174</v>
      </c>
      <c r="C434" s="35">
        <v>169.42632176083504</v>
      </c>
      <c r="D434" s="35">
        <v>479.99687142857141</v>
      </c>
      <c r="E434" s="35">
        <v>6.0869565217391307E-2</v>
      </c>
      <c r="F434" s="35">
        <v>3.7391078163610354E-3</v>
      </c>
      <c r="G434" s="35">
        <v>29.217200869565215</v>
      </c>
      <c r="H434" s="35">
        <v>0.67329270569861988</v>
      </c>
      <c r="I434" s="35">
        <v>39663</v>
      </c>
      <c r="J434" s="35">
        <v>58909</v>
      </c>
    </row>
    <row r="435" spans="1:10">
      <c r="A435" s="2" t="s">
        <v>365</v>
      </c>
      <c r="B435" s="34">
        <v>31.351425024907314</v>
      </c>
      <c r="C435" s="35">
        <v>183.9710274103891</v>
      </c>
      <c r="D435" s="35">
        <v>239.94421249999999</v>
      </c>
      <c r="E435" s="35">
        <v>4.5977011494252873E-2</v>
      </c>
      <c r="F435" s="35">
        <v>2.8418834827772061E-3</v>
      </c>
      <c r="G435" s="35">
        <v>11.031917816091953</v>
      </c>
      <c r="H435" s="35">
        <v>0.19648237420909911</v>
      </c>
      <c r="I435" s="35">
        <v>10434</v>
      </c>
      <c r="J435" s="35">
        <v>53104</v>
      </c>
    </row>
    <row r="436" spans="1:10">
      <c r="A436" s="2" t="s">
        <v>260</v>
      </c>
      <c r="B436" s="34">
        <v>114.98050793520439</v>
      </c>
      <c r="C436" s="35">
        <v>222.39518703836072</v>
      </c>
      <c r="D436" s="35">
        <v>430.79658461538463</v>
      </c>
      <c r="E436" s="35">
        <v>7.0270270270270274E-2</v>
      </c>
      <c r="F436" s="35">
        <v>3.7982220214753527E-3</v>
      </c>
      <c r="G436" s="35">
        <v>30.272192432432433</v>
      </c>
      <c r="H436" s="35">
        <v>0.56340612135314128</v>
      </c>
      <c r="I436" s="35">
        <v>25182</v>
      </c>
      <c r="J436" s="35">
        <v>44696</v>
      </c>
    </row>
    <row r="437" spans="1:10">
      <c r="A437" s="2" t="s">
        <v>286</v>
      </c>
      <c r="B437" s="34">
        <v>90.193365540336529</v>
      </c>
      <c r="C437" s="35">
        <v>105.10634316422492</v>
      </c>
      <c r="D437" s="35">
        <v>298.71222727272726</v>
      </c>
      <c r="E437" s="35">
        <v>0.10185185185185185</v>
      </c>
      <c r="F437" s="35">
        <v>2.9645082484697099E-3</v>
      </c>
      <c r="G437" s="35">
        <v>30.424393518518517</v>
      </c>
      <c r="H437" s="35">
        <v>0.89210398653083356</v>
      </c>
      <c r="I437" s="35">
        <v>31262</v>
      </c>
      <c r="J437" s="35">
        <v>35043</v>
      </c>
    </row>
    <row r="438" spans="1:10">
      <c r="A438" s="2" t="s">
        <v>273</v>
      </c>
      <c r="B438" s="34">
        <v>137.29465582770271</v>
      </c>
      <c r="C438" s="35">
        <v>808.03714427737054</v>
      </c>
      <c r="D438" s="35">
        <v>722.4749888888889</v>
      </c>
      <c r="E438" s="35">
        <v>7.1428571428571425E-2</v>
      </c>
      <c r="F438" s="35">
        <v>2.6604729729729731E-3</v>
      </c>
      <c r="G438" s="35">
        <v>51.605356349206353</v>
      </c>
      <c r="H438" s="35">
        <v>0.23920216402603967</v>
      </c>
      <c r="I438" s="35">
        <v>8047</v>
      </c>
      <c r="J438" s="35">
        <v>33641</v>
      </c>
    </row>
    <row r="439" spans="1:10">
      <c r="A439" s="2" t="s">
        <v>433</v>
      </c>
      <c r="B439" s="34">
        <v>240.8196747629099</v>
      </c>
      <c r="C439" s="35">
        <v>293.79266647323374</v>
      </c>
      <c r="D439" s="35">
        <v>900.05015555555553</v>
      </c>
      <c r="E439" s="35">
        <v>4.4554455445544552E-2</v>
      </c>
      <c r="F439" s="35">
        <v>6.0052917917769125E-3</v>
      </c>
      <c r="G439" s="35">
        <v>40.101244554455448</v>
      </c>
      <c r="H439" s="35">
        <v>0.87452423242831767</v>
      </c>
      <c r="I439" s="35">
        <v>27572</v>
      </c>
      <c r="J439" s="35">
        <v>31528</v>
      </c>
    </row>
    <row r="440" spans="1:10">
      <c r="A440" s="2" t="s">
        <v>257</v>
      </c>
      <c r="B440" s="34">
        <v>161.9790772689507</v>
      </c>
      <c r="C440" s="35">
        <v>277.61057921849482</v>
      </c>
      <c r="D440" s="35">
        <v>368.25043333333338</v>
      </c>
      <c r="E440" s="35">
        <v>9.6774193548387094E-2</v>
      </c>
      <c r="F440" s="35">
        <v>4.5452323933336588E-3</v>
      </c>
      <c r="G440" s="35">
        <v>35.637138709677423</v>
      </c>
      <c r="H440" s="35">
        <v>0.78599644479557573</v>
      </c>
      <c r="I440" s="35">
        <v>23877</v>
      </c>
      <c r="J440" s="35">
        <v>30378</v>
      </c>
    </row>
    <row r="441" spans="1:10">
      <c r="A441" s="2" t="s">
        <v>346</v>
      </c>
      <c r="B441" s="34">
        <v>51.775082113587807</v>
      </c>
      <c r="C441" s="35">
        <v>88.490015260518859</v>
      </c>
      <c r="D441" s="35">
        <v>67.650616666666664</v>
      </c>
      <c r="E441" s="35">
        <v>0.36363636363636365</v>
      </c>
      <c r="F441" s="35">
        <v>2.1046589495838514E-3</v>
      </c>
      <c r="G441" s="35">
        <v>24.600224242424243</v>
      </c>
      <c r="H441" s="35">
        <v>0.70705202312138726</v>
      </c>
      <c r="I441" s="35">
        <v>18348</v>
      </c>
      <c r="J441" s="35">
        <v>25950</v>
      </c>
    </row>
    <row r="442" spans="1:10">
      <c r="A442" s="2" t="s">
        <v>236</v>
      </c>
      <c r="B442" s="34">
        <v>246.18247367617889</v>
      </c>
      <c r="C442" s="35">
        <v>507.06702813138457</v>
      </c>
      <c r="D442" s="35">
        <v>430.19566666666668</v>
      </c>
      <c r="E442" s="35">
        <v>0.19480519480519481</v>
      </c>
      <c r="F442" s="35">
        <v>2.9375858385472303E-3</v>
      </c>
      <c r="G442" s="35">
        <v>83.804350649350653</v>
      </c>
      <c r="H442" s="35">
        <v>0.52066115702479343</v>
      </c>
      <c r="I442" s="35">
        <v>12726</v>
      </c>
      <c r="J442" s="35">
        <v>24442</v>
      </c>
    </row>
    <row r="443" spans="1:10">
      <c r="A443" s="2" t="s">
        <v>211</v>
      </c>
      <c r="B443" s="34">
        <v>79.144543773119608</v>
      </c>
      <c r="C443" s="35">
        <v>130.39355002539361</v>
      </c>
      <c r="D443" s="35">
        <v>171.16326666666666</v>
      </c>
      <c r="E443" s="35">
        <v>0.13235294117647059</v>
      </c>
      <c r="F443" s="35">
        <v>3.4936292642827787E-3</v>
      </c>
      <c r="G443" s="35">
        <v>22.653961764705883</v>
      </c>
      <c r="H443" s="35">
        <v>0.6933098591549296</v>
      </c>
      <c r="I443" s="35">
        <v>11814</v>
      </c>
      <c r="J443" s="35">
        <v>17040</v>
      </c>
    </row>
    <row r="444" spans="1:10">
      <c r="A444" s="2" t="s">
        <v>308</v>
      </c>
      <c r="B444" s="34">
        <v>100.19039571806591</v>
      </c>
      <c r="C444" s="35">
        <v>208.92474291447203</v>
      </c>
      <c r="D444" s="35">
        <v>128.15122307692306</v>
      </c>
      <c r="E444" s="35">
        <v>0.18571428571428572</v>
      </c>
      <c r="F444" s="35">
        <v>4.2097666586480634E-3</v>
      </c>
      <c r="G444" s="35">
        <v>23.799512857142854</v>
      </c>
      <c r="H444" s="35">
        <v>0.49934247604734172</v>
      </c>
      <c r="I444" s="35">
        <v>7974</v>
      </c>
      <c r="J444" s="35">
        <v>15969</v>
      </c>
    </row>
    <row r="445" spans="1:10">
      <c r="A445" s="2" t="s">
        <v>439</v>
      </c>
      <c r="B445" s="34">
        <v>141.39004452714826</v>
      </c>
      <c r="C445" s="35">
        <v>376.34813373430035</v>
      </c>
      <c r="D445" s="35">
        <v>531.87400000000002</v>
      </c>
      <c r="E445" s="35">
        <v>4.7619047619047616E-2</v>
      </c>
      <c r="F445" s="35">
        <v>5.5825081411577061E-3</v>
      </c>
      <c r="G445" s="35">
        <v>25.327333333333335</v>
      </c>
      <c r="H445" s="35">
        <v>0.39096756345528738</v>
      </c>
      <c r="I445" s="35">
        <v>5653</v>
      </c>
      <c r="J445" s="35">
        <v>14459</v>
      </c>
    </row>
    <row r="446" spans="1:10">
      <c r="A446" s="2" t="s">
        <v>440</v>
      </c>
      <c r="B446" s="34">
        <v>358.01115432698981</v>
      </c>
      <c r="C446" s="35">
        <v>1836.3536159600997</v>
      </c>
      <c r="D446" s="35">
        <v>736.37779999999998</v>
      </c>
      <c r="E446" s="35">
        <v>0.23333333333333334</v>
      </c>
      <c r="F446" s="35">
        <v>2.0836227253785249E-3</v>
      </c>
      <c r="G446" s="35">
        <v>171.82148666666666</v>
      </c>
      <c r="H446" s="35">
        <v>0.20958709773762413</v>
      </c>
      <c r="I446" s="35">
        <v>2807</v>
      </c>
      <c r="J446" s="35">
        <v>13393</v>
      </c>
    </row>
    <row r="447" spans="1:10">
      <c r="A447" s="2" t="s">
        <v>321</v>
      </c>
      <c r="B447" s="34">
        <v>218.25092153765138</v>
      </c>
      <c r="C447" s="35">
        <v>320.43400706869892</v>
      </c>
      <c r="D447" s="35">
        <v>580.24189999999999</v>
      </c>
      <c r="E447" s="35">
        <v>6.7567567567567571E-2</v>
      </c>
      <c r="F447" s="35">
        <v>5.5668396900624391E-3</v>
      </c>
      <c r="G447" s="35">
        <v>39.205533783783785</v>
      </c>
      <c r="H447" s="35">
        <v>0.71426317450299781</v>
      </c>
      <c r="I447" s="35">
        <v>9054</v>
      </c>
      <c r="J447" s="35">
        <v>12676</v>
      </c>
    </row>
    <row r="448" spans="1:10">
      <c r="A448" s="2" t="s">
        <v>354</v>
      </c>
      <c r="B448" s="34">
        <v>121.47176173967853</v>
      </c>
      <c r="C448" s="35">
        <v>170.39341290893015</v>
      </c>
      <c r="D448" s="35">
        <v>110.12282857142857</v>
      </c>
      <c r="E448" s="35">
        <v>0.13333333333333333</v>
      </c>
      <c r="F448" s="35">
        <v>8.2729278285534197E-3</v>
      </c>
      <c r="G448" s="35">
        <v>14.683043809523809</v>
      </c>
      <c r="H448" s="35">
        <v>0.73405808859321764</v>
      </c>
      <c r="I448" s="35">
        <v>9048</v>
      </c>
      <c r="J448" s="35">
        <v>12326</v>
      </c>
    </row>
    <row r="449" spans="1:10">
      <c r="A449" s="2" t="s">
        <v>241</v>
      </c>
      <c r="B449" s="34">
        <v>148.07883747609944</v>
      </c>
      <c r="C449" s="35">
        <v>323.7676923076923</v>
      </c>
      <c r="D449" s="35">
        <v>129.07538666666667</v>
      </c>
      <c r="E449" s="35">
        <v>0.20270270270270271</v>
      </c>
      <c r="F449" s="35">
        <v>5.659655831739962E-3</v>
      </c>
      <c r="G449" s="35">
        <v>26.163929729729727</v>
      </c>
      <c r="H449" s="35">
        <v>0.49364371801221729</v>
      </c>
      <c r="I449" s="35">
        <v>5980</v>
      </c>
      <c r="J449" s="35">
        <v>12114</v>
      </c>
    </row>
    <row r="450" spans="1:10">
      <c r="A450" s="2" t="s">
        <v>300</v>
      </c>
      <c r="B450" s="34">
        <v>617.73387096774195</v>
      </c>
      <c r="C450" s="35">
        <v>962.2989949748744</v>
      </c>
      <c r="D450" s="35">
        <v>713.76340909090914</v>
      </c>
      <c r="E450" s="35">
        <v>1.1000000000000001</v>
      </c>
      <c r="F450" s="35">
        <v>7.8678206136900079E-4</v>
      </c>
      <c r="G450" s="35">
        <v>785.13975000000005</v>
      </c>
      <c r="H450" s="35">
        <v>0.68082443257676906</v>
      </c>
      <c r="I450" s="35">
        <v>8159</v>
      </c>
      <c r="J450" s="35">
        <v>11984</v>
      </c>
    </row>
    <row r="451" spans="1:10">
      <c r="A451" s="2" t="s">
        <v>441</v>
      </c>
      <c r="B451" s="34">
        <v>297.86764275256223</v>
      </c>
      <c r="C451" s="35">
        <v>923.40050835148884</v>
      </c>
      <c r="D451" s="35">
        <v>508.60900000000004</v>
      </c>
      <c r="E451" s="35">
        <v>0.22727272727272727</v>
      </c>
      <c r="F451" s="35">
        <v>2.5768667642752561E-3</v>
      </c>
      <c r="G451" s="35">
        <v>115.59295454545455</v>
      </c>
      <c r="H451" s="35">
        <v>0.47733772423953547</v>
      </c>
      <c r="I451" s="35">
        <v>5508</v>
      </c>
      <c r="J451" s="35">
        <v>11539</v>
      </c>
    </row>
    <row r="452" spans="1:10">
      <c r="A452" s="2" t="s">
        <v>368</v>
      </c>
      <c r="B452" s="34">
        <v>138.93909337828978</v>
      </c>
      <c r="C452" s="35">
        <v>204.69886849730923</v>
      </c>
      <c r="D452" s="35">
        <v>494.48423333333335</v>
      </c>
      <c r="E452" s="35">
        <v>3.4090909090909088E-2</v>
      </c>
      <c r="F452" s="35">
        <v>8.2420155474384194E-3</v>
      </c>
      <c r="G452" s="35">
        <v>16.857417045454547</v>
      </c>
      <c r="H452" s="35">
        <v>0.70100599729154578</v>
      </c>
      <c r="I452" s="35">
        <v>7247</v>
      </c>
      <c r="J452" s="35">
        <v>10338</v>
      </c>
    </row>
    <row r="453" spans="1:10">
      <c r="A453" s="2" t="s">
        <v>442</v>
      </c>
      <c r="B453" s="34">
        <v>147.50291434139427</v>
      </c>
      <c r="C453" s="35">
        <v>1238.0374721189592</v>
      </c>
      <c r="D453" s="35">
        <v>555.05346666666662</v>
      </c>
      <c r="E453" s="35">
        <v>3.0927835051546393E-2</v>
      </c>
      <c r="F453" s="35">
        <v>8.5924351138276199E-3</v>
      </c>
      <c r="G453" s="35">
        <v>17.16660206185567</v>
      </c>
      <c r="H453" s="35">
        <v>0.16428484182240136</v>
      </c>
      <c r="I453" s="35">
        <v>1345</v>
      </c>
      <c r="J453" s="35">
        <v>8187</v>
      </c>
    </row>
    <row r="454" spans="1:10">
      <c r="A454" s="2" t="s">
        <v>443</v>
      </c>
      <c r="B454" s="34">
        <v>158.25901496123186</v>
      </c>
      <c r="C454" s="35">
        <v>320.61455752212385</v>
      </c>
      <c r="D454" s="35">
        <v>724.58889999999997</v>
      </c>
      <c r="E454" s="35">
        <v>3.3333333333333333E-2</v>
      </c>
      <c r="F454" s="35">
        <v>6.5523643114557169E-3</v>
      </c>
      <c r="G454" s="35">
        <v>24.152963333333332</v>
      </c>
      <c r="H454" s="35">
        <v>0.56239890506407864</v>
      </c>
      <c r="I454" s="35">
        <v>4520</v>
      </c>
      <c r="J454" s="35">
        <v>8037</v>
      </c>
    </row>
    <row r="455" spans="1:10">
      <c r="A455" s="2" t="s">
        <v>276</v>
      </c>
      <c r="B455" s="34">
        <v>566.84648857729962</v>
      </c>
      <c r="C455" s="35">
        <v>2431.0632452047694</v>
      </c>
      <c r="D455" s="35">
        <v>1563.1736666666666</v>
      </c>
      <c r="E455" s="35">
        <v>0.125</v>
      </c>
      <c r="F455" s="35">
        <v>2.9010032636286715E-3</v>
      </c>
      <c r="G455" s="35">
        <v>195.39670833333332</v>
      </c>
      <c r="H455" s="35">
        <v>0.25923934954979172</v>
      </c>
      <c r="I455" s="35">
        <v>1929</v>
      </c>
      <c r="J455" s="35">
        <v>7441</v>
      </c>
    </row>
    <row r="456" spans="1:10">
      <c r="A456" s="2" t="s">
        <v>444</v>
      </c>
      <c r="B456" s="34">
        <v>671.57093096234314</v>
      </c>
      <c r="C456" s="35">
        <v>2087.1970416124841</v>
      </c>
      <c r="D456" s="35">
        <v>377.65988823529415</v>
      </c>
      <c r="E456" s="35">
        <v>0.17346938775510204</v>
      </c>
      <c r="F456" s="35">
        <v>1.0251046025104602E-2</v>
      </c>
      <c r="G456" s="35">
        <v>65.512429591836735</v>
      </c>
      <c r="H456" s="35">
        <v>0.49200255918106206</v>
      </c>
      <c r="I456" s="35">
        <v>3076</v>
      </c>
      <c r="J456" s="35">
        <v>6252</v>
      </c>
    </row>
    <row r="457" spans="1:10">
      <c r="A457" s="1" t="s">
        <v>445</v>
      </c>
      <c r="B457" s="35"/>
      <c r="C457" s="35"/>
      <c r="D457" s="35"/>
      <c r="E457" s="35"/>
      <c r="F457" s="35"/>
      <c r="G457" s="35"/>
      <c r="H457" s="35"/>
      <c r="I457" s="35"/>
      <c r="J457" s="35"/>
    </row>
    <row r="458" spans="1:10">
      <c r="A458" s="2" t="s">
        <v>215</v>
      </c>
      <c r="B458" s="34">
        <v>4.2488185119404509</v>
      </c>
      <c r="C458" s="35">
        <v>8.5212060917160599</v>
      </c>
      <c r="D458" s="35">
        <v>96.303284615384626</v>
      </c>
      <c r="E458" s="35">
        <v>1.6075845012366034E-2</v>
      </c>
      <c r="F458" s="35">
        <v>2.7444370284059414E-3</v>
      </c>
      <c r="G458" s="35">
        <v>1.5481566776586975</v>
      </c>
      <c r="H458" s="35">
        <v>0.5684082312720764</v>
      </c>
      <c r="I458" s="35">
        <v>881525</v>
      </c>
      <c r="J458" s="35">
        <v>1550866</v>
      </c>
    </row>
    <row r="459" spans="1:10">
      <c r="A459" s="2" t="s">
        <v>213</v>
      </c>
      <c r="B459" s="34">
        <v>8.3891816504889132</v>
      </c>
      <c r="C459" s="35">
        <v>14.113168792471532</v>
      </c>
      <c r="D459" s="35">
        <v>173.49449074074073</v>
      </c>
      <c r="E459" s="35">
        <v>1.7658600392413341E-2</v>
      </c>
      <c r="F459" s="35">
        <v>2.7382785916401017E-3</v>
      </c>
      <c r="G459" s="35">
        <v>3.0636698822759971</v>
      </c>
      <c r="H459" s="35">
        <v>0.62382426876541763</v>
      </c>
      <c r="I459" s="35">
        <v>663827</v>
      </c>
      <c r="J459" s="35">
        <v>1064125</v>
      </c>
    </row>
    <row r="460" spans="1:10">
      <c r="A460" s="2" t="s">
        <v>211</v>
      </c>
      <c r="B460" s="34">
        <v>8.116094174578091</v>
      </c>
      <c r="C460" s="35">
        <v>13.923731085600442</v>
      </c>
      <c r="D460" s="35">
        <v>547.67477272727274</v>
      </c>
      <c r="E460" s="35">
        <v>5.5027513756878439E-3</v>
      </c>
      <c r="F460" s="35">
        <v>2.6930502060540417E-3</v>
      </c>
      <c r="G460" s="35">
        <v>3.0137181090545271</v>
      </c>
      <c r="H460" s="35">
        <v>0.67352164681415438</v>
      </c>
      <c r="I460" s="35">
        <v>432673</v>
      </c>
      <c r="J460" s="35">
        <v>642404</v>
      </c>
    </row>
    <row r="461" spans="1:10">
      <c r="A461" s="2" t="s">
        <v>231</v>
      </c>
      <c r="B461" s="34">
        <v>67.141325597329697</v>
      </c>
      <c r="C461" s="35">
        <v>156.15560672514619</v>
      </c>
      <c r="D461" s="35">
        <v>395.59420370370367</v>
      </c>
      <c r="E461" s="35">
        <v>5.3465346534653464E-2</v>
      </c>
      <c r="F461" s="35">
        <v>3.1744435294783226E-3</v>
      </c>
      <c r="G461" s="35">
        <v>21.15058118811881</v>
      </c>
      <c r="H461" s="35">
        <v>0.47934405550299591</v>
      </c>
      <c r="I461" s="35">
        <v>68400</v>
      </c>
      <c r="J461" s="35">
        <v>142695</v>
      </c>
    </row>
    <row r="462" spans="1:10">
      <c r="A462" s="2" t="s">
        <v>446</v>
      </c>
      <c r="B462" s="34">
        <v>43.287665317825898</v>
      </c>
      <c r="C462" s="35">
        <v>97.944387500479863</v>
      </c>
      <c r="D462" s="35">
        <v>5102.7066999999997</v>
      </c>
      <c r="E462" s="35">
        <v>2.5641025641025641E-3</v>
      </c>
      <c r="F462" s="35">
        <v>3.3084773369302422E-3</v>
      </c>
      <c r="G462" s="35">
        <v>13.083863333333333</v>
      </c>
      <c r="H462" s="35">
        <v>0.60489741892786231</v>
      </c>
      <c r="I462" s="35">
        <v>52098</v>
      </c>
      <c r="J462" s="35">
        <v>86127</v>
      </c>
    </row>
    <row r="463" spans="1:10">
      <c r="A463" s="2" t="s">
        <v>398</v>
      </c>
      <c r="B463" s="34">
        <v>113.81286715808932</v>
      </c>
      <c r="C463" s="35">
        <v>140.09024972253053</v>
      </c>
      <c r="D463" s="35">
        <v>296.9913294117647</v>
      </c>
      <c r="E463" s="35">
        <v>0.10240963855421686</v>
      </c>
      <c r="F463" s="35">
        <v>3.7420256531638151E-3</v>
      </c>
      <c r="G463" s="35">
        <v>30.414774698795181</v>
      </c>
      <c r="H463" s="35">
        <v>0.88585193196342538</v>
      </c>
      <c r="I463" s="35">
        <v>36040</v>
      </c>
      <c r="J463" s="35">
        <v>40684</v>
      </c>
    </row>
    <row r="464" spans="1:10">
      <c r="A464" s="2" t="s">
        <v>217</v>
      </c>
      <c r="B464" s="34">
        <v>153.20554321132033</v>
      </c>
      <c r="C464" s="35">
        <v>179.44560721036626</v>
      </c>
      <c r="D464" s="35">
        <v>545.85858333333329</v>
      </c>
      <c r="E464" s="35">
        <v>0.10256410256410256</v>
      </c>
      <c r="F464" s="35">
        <v>2.7365220442053563E-3</v>
      </c>
      <c r="G464" s="35">
        <v>55.985495726495728</v>
      </c>
      <c r="H464" s="35">
        <v>0.91141294849067434</v>
      </c>
      <c r="I464" s="35">
        <v>36503</v>
      </c>
      <c r="J464" s="35">
        <v>40051</v>
      </c>
    </row>
    <row r="465" spans="1:10">
      <c r="A465" s="2" t="s">
        <v>310</v>
      </c>
      <c r="B465" s="34">
        <v>47.646916435399326</v>
      </c>
      <c r="C465" s="35">
        <v>125.15999190002314</v>
      </c>
      <c r="D465" s="35">
        <v>432.65305999999998</v>
      </c>
      <c r="E465" s="35">
        <v>4.0983606557377046E-2</v>
      </c>
      <c r="F465" s="35">
        <v>2.6871062948768776E-3</v>
      </c>
      <c r="G465" s="35">
        <v>17.731682786885248</v>
      </c>
      <c r="H465" s="35">
        <v>0.62755064991649123</v>
      </c>
      <c r="I465" s="35">
        <v>17284</v>
      </c>
      <c r="J465" s="35">
        <v>27542</v>
      </c>
    </row>
    <row r="466" spans="1:10">
      <c r="A466" s="2" t="s">
        <v>438</v>
      </c>
      <c r="B466" s="34">
        <v>383.70969718817594</v>
      </c>
      <c r="C466" s="35">
        <v>1263.3954896142434</v>
      </c>
      <c r="D466" s="35">
        <v>1277.2928400000001</v>
      </c>
      <c r="E466" s="35">
        <v>0.5</v>
      </c>
      <c r="F466" s="35">
        <v>6.0081711127132897E-4</v>
      </c>
      <c r="G466" s="35">
        <v>638.64642000000003</v>
      </c>
      <c r="H466" s="35">
        <v>0.31931021413682015</v>
      </c>
      <c r="I466" s="35">
        <v>5055</v>
      </c>
      <c r="J466" s="35">
        <v>15831</v>
      </c>
    </row>
    <row r="467" spans="1:10">
      <c r="A467" s="2" t="s">
        <v>249</v>
      </c>
      <c r="B467" s="34">
        <v>378.27302602558444</v>
      </c>
      <c r="C467" s="35">
        <v>632.75775687142584</v>
      </c>
      <c r="D467" s="35">
        <v>762.26217777777777</v>
      </c>
      <c r="E467" s="35">
        <v>0.13043478260869565</v>
      </c>
      <c r="F467" s="35">
        <v>3.8045875606528452E-3</v>
      </c>
      <c r="G467" s="35">
        <v>99.425501449275359</v>
      </c>
      <c r="H467" s="35">
        <v>0.72507189192804122</v>
      </c>
      <c r="I467" s="35">
        <v>10842</v>
      </c>
      <c r="J467" s="35">
        <v>14953</v>
      </c>
    </row>
    <row r="468" spans="1:10">
      <c r="A468" s="2" t="s">
        <v>389</v>
      </c>
      <c r="B468" s="34">
        <v>348.82931707651204</v>
      </c>
      <c r="C468" s="35">
        <v>2862.596514896009</v>
      </c>
      <c r="D468" s="35">
        <v>1273.1397999999999</v>
      </c>
      <c r="E468" s="35">
        <v>0.12121212121212122</v>
      </c>
      <c r="F468" s="35">
        <v>2.2604287964929103E-3</v>
      </c>
      <c r="G468" s="35">
        <v>154.31997575757575</v>
      </c>
      <c r="H468" s="35">
        <v>0.14279980735270509</v>
      </c>
      <c r="I468" s="35">
        <v>1779</v>
      </c>
      <c r="J468" s="35">
        <v>12458</v>
      </c>
    </row>
    <row r="469" spans="1:10">
      <c r="A469" s="2" t="s">
        <v>228</v>
      </c>
      <c r="B469" s="34">
        <v>129.62876973684209</v>
      </c>
      <c r="C469" s="35">
        <v>366.57810232558137</v>
      </c>
      <c r="D469" s="35">
        <v>492.58932499999997</v>
      </c>
      <c r="E469" s="35">
        <v>6.6666666666666666E-2</v>
      </c>
      <c r="F469" s="35">
        <v>3.9473684210526317E-3</v>
      </c>
      <c r="G469" s="35">
        <v>32.839288333333329</v>
      </c>
      <c r="H469" s="35">
        <v>0.44642857142857145</v>
      </c>
      <c r="I469" s="35">
        <v>5375</v>
      </c>
      <c r="J469" s="35">
        <v>12040</v>
      </c>
    </row>
    <row r="470" spans="1:10">
      <c r="A470" s="2" t="s">
        <v>330</v>
      </c>
      <c r="B470" s="34">
        <v>396.32336192350959</v>
      </c>
      <c r="C470" s="35">
        <v>2211.5745390349157</v>
      </c>
      <c r="D470" s="35">
        <v>805.32907142857141</v>
      </c>
      <c r="E470" s="35">
        <v>0.23333333333333334</v>
      </c>
      <c r="F470" s="35">
        <v>2.1091113610798651E-3</v>
      </c>
      <c r="G470" s="35">
        <v>187.91011666666665</v>
      </c>
      <c r="H470" s="35">
        <v>0.21287790212126273</v>
      </c>
      <c r="I470" s="35">
        <v>2549</v>
      </c>
      <c r="J470" s="35">
        <v>11974</v>
      </c>
    </row>
    <row r="471" spans="1:10">
      <c r="A471" s="2" t="s">
        <v>447</v>
      </c>
      <c r="B471" s="34">
        <v>108.19961141832313</v>
      </c>
      <c r="C471" s="35">
        <v>433.51113772455091</v>
      </c>
      <c r="D471" s="35">
        <v>1447.9272000000001</v>
      </c>
      <c r="E471" s="35">
        <v>1.4705882352941176E-2</v>
      </c>
      <c r="F471" s="35">
        <v>5.0814526976535645E-3</v>
      </c>
      <c r="G471" s="35">
        <v>21.293047058823532</v>
      </c>
      <c r="H471" s="35">
        <v>0.2864002743954725</v>
      </c>
      <c r="I471" s="35">
        <v>3340</v>
      </c>
      <c r="J471" s="35">
        <v>11662</v>
      </c>
    </row>
    <row r="472" spans="1:10">
      <c r="A472" s="2" t="s">
        <v>259</v>
      </c>
      <c r="B472" s="34">
        <v>769.9208625</v>
      </c>
      <c r="C472" s="35">
        <v>1399.8561136363637</v>
      </c>
      <c r="D472" s="35">
        <v>6159.3669</v>
      </c>
      <c r="E472" s="35">
        <v>0.1</v>
      </c>
      <c r="F472" s="35">
        <v>1.25E-3</v>
      </c>
      <c r="G472" s="35">
        <v>615.93669</v>
      </c>
      <c r="H472" s="35">
        <v>0.6897632857814705</v>
      </c>
      <c r="I472" s="35">
        <v>4400</v>
      </c>
      <c r="J472" s="35">
        <v>6379</v>
      </c>
    </row>
    <row r="473" spans="1:10">
      <c r="A473" s="1" t="s">
        <v>448</v>
      </c>
      <c r="B473" s="35"/>
      <c r="C473" s="35"/>
      <c r="D473" s="35"/>
      <c r="E473" s="35"/>
      <c r="F473" s="35"/>
      <c r="G473" s="35"/>
      <c r="H473" s="35"/>
      <c r="I473" s="35"/>
      <c r="J473" s="35"/>
    </row>
    <row r="474" spans="1:10">
      <c r="A474" s="2" t="s">
        <v>215</v>
      </c>
      <c r="B474" s="34">
        <v>6.8100300853909657</v>
      </c>
      <c r="C474" s="35">
        <v>15.85157213647118</v>
      </c>
      <c r="D474" s="35">
        <v>304.64949999999999</v>
      </c>
      <c r="E474" s="35">
        <v>7.9439252336448597E-3</v>
      </c>
      <c r="F474" s="35">
        <v>2.8139307983410956E-3</v>
      </c>
      <c r="G474" s="35">
        <v>2.42011285046729</v>
      </c>
      <c r="H474" s="35">
        <v>0.46620215920344055</v>
      </c>
      <c r="I474" s="35">
        <v>326721</v>
      </c>
      <c r="J474" s="35">
        <v>700814</v>
      </c>
    </row>
    <row r="475" spans="1:10">
      <c r="A475" s="2" t="s">
        <v>213</v>
      </c>
      <c r="B475" s="34">
        <v>6.3692820606503471</v>
      </c>
      <c r="C475" s="35">
        <v>14.902949348151314</v>
      </c>
      <c r="D475" s="35">
        <v>366.08722499999999</v>
      </c>
      <c r="E475" s="35">
        <v>8.1799591002044997E-3</v>
      </c>
      <c r="F475" s="35">
        <v>2.1269377316143847E-3</v>
      </c>
      <c r="G475" s="35">
        <v>2.994578527607362</v>
      </c>
      <c r="H475" s="35">
        <v>0.46332630745073633</v>
      </c>
      <c r="I475" s="35">
        <v>98259</v>
      </c>
      <c r="J475" s="35">
        <v>212073</v>
      </c>
    </row>
    <row r="476" spans="1:10">
      <c r="A476" s="2" t="s">
        <v>449</v>
      </c>
      <c r="B476" s="34">
        <v>43.280374866056526</v>
      </c>
      <c r="C476" s="35">
        <v>117.4366968541468</v>
      </c>
      <c r="D476" s="35">
        <v>492.76437999999996</v>
      </c>
      <c r="E476" s="35">
        <v>3.0303030303030304E-2</v>
      </c>
      <c r="F476" s="35">
        <v>2.8984488906845609E-3</v>
      </c>
      <c r="G476" s="35">
        <v>14.93225393939394</v>
      </c>
      <c r="H476" s="35">
        <v>0.38110808356039966</v>
      </c>
      <c r="I476" s="35">
        <v>20980</v>
      </c>
      <c r="J476" s="35">
        <v>55050</v>
      </c>
    </row>
    <row r="477" spans="1:10">
      <c r="A477" s="2" t="s">
        <v>450</v>
      </c>
      <c r="B477" s="34">
        <v>88.62232248171739</v>
      </c>
      <c r="C477" s="35">
        <v>198.95142327551969</v>
      </c>
      <c r="D477" s="35">
        <v>500.89336666666668</v>
      </c>
      <c r="E477" s="35">
        <v>4.6153846153846156E-2</v>
      </c>
      <c r="F477" s="35">
        <v>3.833451285680585E-3</v>
      </c>
      <c r="G477" s="35">
        <v>23.118155384615385</v>
      </c>
      <c r="H477" s="35">
        <v>0.49687520557858034</v>
      </c>
      <c r="I477" s="35">
        <v>7553</v>
      </c>
      <c r="J477" s="35">
        <v>15201</v>
      </c>
    </row>
    <row r="478" spans="1:10">
      <c r="A478" s="1" t="s">
        <v>451</v>
      </c>
      <c r="B478" s="35"/>
      <c r="C478" s="35"/>
      <c r="D478" s="35"/>
      <c r="E478" s="35"/>
      <c r="F478" s="35"/>
      <c r="G478" s="35"/>
      <c r="H478" s="35"/>
      <c r="I478" s="35"/>
      <c r="J478" s="35"/>
    </row>
    <row r="479" spans="1:10">
      <c r="A479" s="2" t="s">
        <v>452</v>
      </c>
      <c r="B479" s="34">
        <v>108.03699011351155</v>
      </c>
      <c r="C479" s="35">
        <v>154.97899989494695</v>
      </c>
      <c r="D479" s="35">
        <v>491.7483666666667</v>
      </c>
      <c r="E479" s="35">
        <v>4.5454545454545456E-2</v>
      </c>
      <c r="F479" s="35">
        <v>4.8333943610399119E-3</v>
      </c>
      <c r="G479" s="35">
        <v>22.352198484848486</v>
      </c>
      <c r="H479" s="35">
        <v>0.72992868645042563</v>
      </c>
      <c r="I479" s="35">
        <v>9519</v>
      </c>
      <c r="J479" s="35">
        <v>13041</v>
      </c>
    </row>
    <row r="480" spans="1:10">
      <c r="A480" s="2" t="s">
        <v>254</v>
      </c>
      <c r="B480" s="34">
        <v>118.2579315960912</v>
      </c>
      <c r="C480" s="35">
        <v>190.25381894405868</v>
      </c>
      <c r="D480" s="35">
        <v>290.44148000000001</v>
      </c>
      <c r="E480" s="35">
        <v>5.5555555555555552E-2</v>
      </c>
      <c r="F480" s="35">
        <v>7.3289902280130291E-3</v>
      </c>
      <c r="G480" s="35">
        <v>16.135637777777777</v>
      </c>
      <c r="H480" s="35">
        <v>0.69058174251334481</v>
      </c>
      <c r="I480" s="35">
        <v>7633</v>
      </c>
      <c r="J480" s="35">
        <v>11053</v>
      </c>
    </row>
    <row r="481" spans="1:10">
      <c r="A481" s="2" t="s">
        <v>369</v>
      </c>
      <c r="B481" s="34">
        <v>508.20401028277627</v>
      </c>
      <c r="C481" s="35">
        <v>747.01995163240622</v>
      </c>
      <c r="D481" s="35">
        <v>4942.2839999999997</v>
      </c>
      <c r="E481" s="35">
        <v>1.2500000000000001E-2</v>
      </c>
      <c r="F481" s="35">
        <v>8.2262210796915161E-3</v>
      </c>
      <c r="G481" s="35">
        <v>61.778549999999996</v>
      </c>
      <c r="H481" s="35">
        <v>0.75370243791296421</v>
      </c>
      <c r="I481" s="35">
        <v>6616</v>
      </c>
      <c r="J481" s="35">
        <v>8778</v>
      </c>
    </row>
    <row r="482" spans="1:10">
      <c r="A482" s="2" t="s">
        <v>438</v>
      </c>
      <c r="B482" s="34">
        <v>198.69214468889191</v>
      </c>
      <c r="C482" s="35">
        <v>293.89301257736076</v>
      </c>
      <c r="D482" s="35">
        <v>122.67584166666667</v>
      </c>
      <c r="E482" s="35">
        <v>1.2</v>
      </c>
      <c r="F482" s="35">
        <v>1.3497098123903361E-3</v>
      </c>
      <c r="G482" s="35">
        <v>147.21101000000002</v>
      </c>
      <c r="H482" s="35">
        <v>0.6995810055865922</v>
      </c>
      <c r="I482" s="35">
        <v>5009</v>
      </c>
      <c r="J482" s="35">
        <v>7160</v>
      </c>
    </row>
    <row r="483" spans="1:10">
      <c r="A483" s="1" t="s">
        <v>202</v>
      </c>
      <c r="B483" s="34">
        <v>32.365239398107803</v>
      </c>
      <c r="C483" s="35">
        <v>66.207448347173766</v>
      </c>
      <c r="D483" s="35">
        <v>327.33927369601133</v>
      </c>
      <c r="E483" s="35">
        <v>3.6353652310820724E-2</v>
      </c>
      <c r="F483" s="35">
        <v>2.7197730119744969E-3</v>
      </c>
      <c r="G483" s="35">
        <v>11.899978143621379</v>
      </c>
      <c r="H483" s="35">
        <v>0.56485321655722276</v>
      </c>
      <c r="I483" s="35">
        <v>41896691</v>
      </c>
      <c r="J483" s="35">
        <v>74172705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953B-332B-4783-BA40-22ABA31F8187}">
  <dimension ref="A1:X728"/>
  <sheetViews>
    <sheetView workbookViewId="0">
      <selection activeCell="A35" sqref="A35"/>
    </sheetView>
  </sheetViews>
  <sheetFormatPr defaultRowHeight="14.45"/>
  <cols>
    <col min="1" max="1" width="36" bestFit="1" customWidth="1"/>
    <col min="2" max="2" width="44.140625" bestFit="1" customWidth="1"/>
    <col min="3" max="3" width="81.140625" bestFit="1" customWidth="1"/>
    <col min="4" max="4" width="14.7109375" bestFit="1" customWidth="1"/>
    <col min="5" max="5" width="29.140625" bestFit="1" customWidth="1"/>
    <col min="6" max="6" width="31.140625" bestFit="1" customWidth="1"/>
    <col min="7" max="7" width="14.42578125" bestFit="1" customWidth="1"/>
    <col min="8" max="8" width="31.85546875" bestFit="1" customWidth="1"/>
    <col min="9" max="9" width="31.42578125" bestFit="1" customWidth="1"/>
    <col min="10" max="10" width="14.7109375" bestFit="1" customWidth="1"/>
    <col min="11" max="11" width="15.5703125" bestFit="1" customWidth="1"/>
    <col min="12" max="12" width="9.7109375" bestFit="1" customWidth="1"/>
    <col min="13" max="13" width="24.7109375" bestFit="1" customWidth="1"/>
    <col min="14" max="14" width="26.85546875" bestFit="1" customWidth="1"/>
    <col min="15" max="15" width="20.7109375" bestFit="1" customWidth="1"/>
    <col min="16" max="16" width="14" bestFit="1" customWidth="1"/>
    <col min="17" max="17" width="26.85546875" style="4" bestFit="1" customWidth="1"/>
    <col min="18" max="18" width="20.7109375" style="4" bestFit="1" customWidth="1"/>
    <col min="19" max="20" width="14" style="4" bestFit="1" customWidth="1"/>
    <col min="21" max="21" width="20.7109375" style="4" bestFit="1" customWidth="1"/>
    <col min="22" max="22" width="14" style="4" bestFit="1" customWidth="1"/>
    <col min="23" max="23" width="20.7109375" style="4" bestFit="1" customWidth="1"/>
    <col min="24" max="24" width="14" style="4" bestFit="1" customWidth="1"/>
    <col min="25" max="25" width="19.140625" bestFit="1" customWidth="1"/>
    <col min="26" max="26" width="12.5703125" bestFit="1" customWidth="1"/>
  </cols>
  <sheetData>
    <row r="1" spans="1:24">
      <c r="A1" t="s">
        <v>4</v>
      </c>
      <c r="B1" t="s">
        <v>453</v>
      </c>
      <c r="C1" t="s">
        <v>454</v>
      </c>
      <c r="D1" t="s">
        <v>52</v>
      </c>
      <c r="E1" t="s">
        <v>53</v>
      </c>
      <c r="F1" t="s">
        <v>455</v>
      </c>
      <c r="G1" t="s">
        <v>22</v>
      </c>
      <c r="H1" t="s">
        <v>456</v>
      </c>
      <c r="I1" t="s">
        <v>34</v>
      </c>
      <c r="J1" t="s">
        <v>46</v>
      </c>
      <c r="K1" s="4" t="s">
        <v>5</v>
      </c>
      <c r="L1" s="4" t="s">
        <v>6</v>
      </c>
      <c r="M1" s="4" t="s">
        <v>457</v>
      </c>
      <c r="N1" s="4" t="s">
        <v>458</v>
      </c>
      <c r="O1" s="4" t="s">
        <v>13</v>
      </c>
      <c r="P1" s="3" t="s">
        <v>8</v>
      </c>
      <c r="Q1"/>
      <c r="R1"/>
      <c r="S1"/>
      <c r="T1"/>
      <c r="U1"/>
      <c r="V1"/>
      <c r="W1"/>
      <c r="X1"/>
    </row>
    <row r="2" spans="1:24">
      <c r="A2" t="s">
        <v>18</v>
      </c>
      <c r="B2" t="s">
        <v>18</v>
      </c>
      <c r="D2" t="s">
        <v>54</v>
      </c>
      <c r="E2" t="s">
        <v>55</v>
      </c>
      <c r="F2" t="s">
        <v>459</v>
      </c>
      <c r="G2" t="s">
        <v>460</v>
      </c>
      <c r="H2" t="s">
        <v>366</v>
      </c>
      <c r="I2" t="s">
        <v>36</v>
      </c>
      <c r="J2" t="s">
        <v>47</v>
      </c>
      <c r="K2" s="4">
        <v>7248</v>
      </c>
      <c r="L2" s="4">
        <v>10</v>
      </c>
      <c r="M2" s="4">
        <v>3988</v>
      </c>
      <c r="N2" s="4">
        <v>6863</v>
      </c>
      <c r="O2" s="4">
        <v>7</v>
      </c>
      <c r="P2" s="3">
        <v>1247</v>
      </c>
      <c r="Q2"/>
      <c r="R2"/>
      <c r="S2"/>
      <c r="T2"/>
      <c r="U2"/>
      <c r="V2"/>
      <c r="W2"/>
      <c r="X2"/>
    </row>
    <row r="3" spans="1:24">
      <c r="A3" t="s">
        <v>18</v>
      </c>
      <c r="B3" t="s">
        <v>461</v>
      </c>
      <c r="D3" t="s">
        <v>54</v>
      </c>
      <c r="E3" t="s">
        <v>60</v>
      </c>
      <c r="F3" t="s">
        <v>459</v>
      </c>
      <c r="G3" t="s">
        <v>460</v>
      </c>
      <c r="H3" t="s">
        <v>294</v>
      </c>
      <c r="I3" t="s">
        <v>36</v>
      </c>
      <c r="J3" t="s">
        <v>47</v>
      </c>
      <c r="K3" s="4">
        <v>9261</v>
      </c>
      <c r="L3" s="4">
        <v>66</v>
      </c>
      <c r="M3" s="4">
        <v>3852</v>
      </c>
      <c r="N3" s="4">
        <v>8526</v>
      </c>
      <c r="O3" s="4">
        <v>9</v>
      </c>
      <c r="P3" s="3">
        <v>6511.0295999999998</v>
      </c>
      <c r="Q3"/>
      <c r="R3"/>
      <c r="S3"/>
      <c r="T3"/>
      <c r="U3"/>
      <c r="V3"/>
      <c r="W3"/>
      <c r="X3"/>
    </row>
    <row r="4" spans="1:24">
      <c r="A4" t="s">
        <v>18</v>
      </c>
      <c r="B4" t="s">
        <v>462</v>
      </c>
      <c r="D4" t="s">
        <v>56</v>
      </c>
      <c r="E4" t="s">
        <v>55</v>
      </c>
      <c r="F4" t="s">
        <v>463</v>
      </c>
      <c r="G4" t="s">
        <v>464</v>
      </c>
      <c r="H4" t="s">
        <v>430</v>
      </c>
      <c r="I4" t="s">
        <v>36</v>
      </c>
      <c r="J4" t="s">
        <v>47</v>
      </c>
      <c r="K4" s="4">
        <v>7583</v>
      </c>
      <c r="L4" s="4">
        <v>45</v>
      </c>
      <c r="M4" s="4">
        <v>4608</v>
      </c>
      <c r="N4" s="4">
        <v>5881</v>
      </c>
      <c r="O4" s="4">
        <v>1</v>
      </c>
      <c r="P4" s="3">
        <v>5033.4826000000003</v>
      </c>
      <c r="Q4"/>
      <c r="R4"/>
      <c r="S4"/>
      <c r="T4"/>
      <c r="U4"/>
      <c r="V4"/>
      <c r="W4"/>
      <c r="X4"/>
    </row>
    <row r="5" spans="1:24">
      <c r="A5" t="s">
        <v>18</v>
      </c>
      <c r="B5" t="s">
        <v>465</v>
      </c>
      <c r="C5" t="s">
        <v>466</v>
      </c>
      <c r="D5" t="s">
        <v>56</v>
      </c>
      <c r="E5" t="s">
        <v>60</v>
      </c>
      <c r="F5" t="s">
        <v>467</v>
      </c>
      <c r="G5" t="s">
        <v>468</v>
      </c>
      <c r="H5" t="s">
        <v>323</v>
      </c>
      <c r="I5" t="s">
        <v>42</v>
      </c>
      <c r="J5" t="s">
        <v>48</v>
      </c>
      <c r="K5" s="4">
        <v>81905</v>
      </c>
      <c r="L5" s="4">
        <v>220</v>
      </c>
      <c r="M5" s="4">
        <v>61995</v>
      </c>
      <c r="N5" s="4">
        <v>71110</v>
      </c>
      <c r="O5" s="4">
        <v>24</v>
      </c>
      <c r="P5" s="3">
        <v>7065.6692999999996</v>
      </c>
      <c r="Q5"/>
      <c r="R5"/>
      <c r="S5"/>
      <c r="T5"/>
      <c r="U5"/>
      <c r="V5"/>
      <c r="W5"/>
      <c r="X5"/>
    </row>
    <row r="6" spans="1:24">
      <c r="A6" t="s">
        <v>18</v>
      </c>
      <c r="B6" t="s">
        <v>465</v>
      </c>
      <c r="C6" t="s">
        <v>469</v>
      </c>
      <c r="D6" t="s">
        <v>58</v>
      </c>
      <c r="E6" t="s">
        <v>57</v>
      </c>
      <c r="F6" t="s">
        <v>467</v>
      </c>
      <c r="G6" t="s">
        <v>468</v>
      </c>
      <c r="H6" t="s">
        <v>360</v>
      </c>
      <c r="I6" t="s">
        <v>36</v>
      </c>
      <c r="J6" t="s">
        <v>47</v>
      </c>
      <c r="K6" s="4">
        <v>446774</v>
      </c>
      <c r="L6" s="4">
        <v>951</v>
      </c>
      <c r="M6" s="4">
        <v>196581</v>
      </c>
      <c r="N6" s="4">
        <v>379758</v>
      </c>
      <c r="O6" s="4">
        <v>33</v>
      </c>
      <c r="P6" s="3">
        <v>6956.6274000000003</v>
      </c>
      <c r="Q6"/>
      <c r="R6"/>
      <c r="S6"/>
      <c r="T6"/>
      <c r="U6"/>
      <c r="V6"/>
      <c r="W6"/>
      <c r="X6"/>
    </row>
    <row r="7" spans="1:24">
      <c r="A7" t="s">
        <v>18</v>
      </c>
      <c r="B7" t="s">
        <v>465</v>
      </c>
      <c r="C7" t="s">
        <v>470</v>
      </c>
      <c r="D7" t="s">
        <v>58</v>
      </c>
      <c r="E7" t="s">
        <v>57</v>
      </c>
      <c r="F7" t="s">
        <v>471</v>
      </c>
      <c r="G7" t="s">
        <v>464</v>
      </c>
      <c r="H7" t="s">
        <v>305</v>
      </c>
      <c r="I7" t="s">
        <v>42</v>
      </c>
      <c r="J7" t="s">
        <v>47</v>
      </c>
      <c r="K7" s="4">
        <v>23488</v>
      </c>
      <c r="L7" s="4">
        <v>75</v>
      </c>
      <c r="M7" s="4">
        <v>4620</v>
      </c>
      <c r="N7" s="4">
        <v>22254</v>
      </c>
      <c r="O7" s="4">
        <v>9</v>
      </c>
      <c r="P7" s="3">
        <v>6667.7277000000004</v>
      </c>
      <c r="Q7"/>
      <c r="R7"/>
      <c r="S7"/>
      <c r="T7"/>
      <c r="U7"/>
      <c r="V7"/>
      <c r="W7"/>
      <c r="X7"/>
    </row>
    <row r="8" spans="1:24">
      <c r="A8" t="s">
        <v>18</v>
      </c>
      <c r="B8" t="s">
        <v>465</v>
      </c>
      <c r="C8" t="s">
        <v>472</v>
      </c>
      <c r="D8" t="s">
        <v>56</v>
      </c>
      <c r="E8" t="s">
        <v>55</v>
      </c>
      <c r="F8" t="s">
        <v>473</v>
      </c>
      <c r="G8" t="s">
        <v>474</v>
      </c>
      <c r="H8" t="s">
        <v>236</v>
      </c>
      <c r="I8" t="s">
        <v>36</v>
      </c>
      <c r="J8" t="s">
        <v>49</v>
      </c>
      <c r="K8" s="4">
        <v>20833</v>
      </c>
      <c r="L8" s="4">
        <v>87</v>
      </c>
      <c r="M8" s="4">
        <v>1777</v>
      </c>
      <c r="N8" s="4">
        <v>17211</v>
      </c>
      <c r="O8" s="4">
        <v>9</v>
      </c>
      <c r="P8" s="3">
        <v>5542.5122000000001</v>
      </c>
      <c r="Q8"/>
      <c r="R8"/>
      <c r="S8"/>
      <c r="T8"/>
      <c r="U8"/>
      <c r="V8"/>
      <c r="W8"/>
      <c r="X8"/>
    </row>
    <row r="9" spans="1:24">
      <c r="A9" t="s">
        <v>18</v>
      </c>
      <c r="B9" t="s">
        <v>465</v>
      </c>
      <c r="C9" t="s">
        <v>475</v>
      </c>
      <c r="D9" t="s">
        <v>54</v>
      </c>
      <c r="E9" t="s">
        <v>59</v>
      </c>
      <c r="F9" t="s">
        <v>473</v>
      </c>
      <c r="G9" t="s">
        <v>474</v>
      </c>
      <c r="H9" t="s">
        <v>213</v>
      </c>
      <c r="I9" t="s">
        <v>36</v>
      </c>
      <c r="J9" t="s">
        <v>47</v>
      </c>
      <c r="K9" s="4">
        <v>405957</v>
      </c>
      <c r="L9" s="4">
        <v>874</v>
      </c>
      <c r="M9" s="4">
        <v>204189</v>
      </c>
      <c r="N9" s="4">
        <v>385654</v>
      </c>
      <c r="O9" s="4">
        <v>16</v>
      </c>
      <c r="P9" s="3">
        <v>5864.1265000000003</v>
      </c>
      <c r="Q9"/>
      <c r="R9"/>
      <c r="S9"/>
      <c r="T9"/>
      <c r="U9"/>
      <c r="V9"/>
      <c r="W9"/>
      <c r="X9"/>
    </row>
    <row r="10" spans="1:24">
      <c r="A10" t="s">
        <v>18</v>
      </c>
      <c r="B10" t="s">
        <v>465</v>
      </c>
      <c r="C10" t="s">
        <v>476</v>
      </c>
      <c r="D10" t="s">
        <v>56</v>
      </c>
      <c r="E10" t="s">
        <v>57</v>
      </c>
      <c r="F10" t="s">
        <v>473</v>
      </c>
      <c r="G10" t="s">
        <v>474</v>
      </c>
      <c r="H10" t="s">
        <v>257</v>
      </c>
      <c r="I10" t="s">
        <v>36</v>
      </c>
      <c r="J10" t="s">
        <v>47</v>
      </c>
      <c r="K10" s="4">
        <v>224359</v>
      </c>
      <c r="L10" s="4">
        <v>480</v>
      </c>
      <c r="M10" s="4">
        <v>163149</v>
      </c>
      <c r="N10" s="4">
        <v>200859</v>
      </c>
      <c r="O10" s="4">
        <v>5</v>
      </c>
      <c r="P10" s="3">
        <v>4196.9368000000004</v>
      </c>
      <c r="Q10"/>
      <c r="R10"/>
      <c r="S10"/>
      <c r="T10"/>
      <c r="U10"/>
      <c r="V10"/>
      <c r="W10"/>
      <c r="X10"/>
    </row>
    <row r="11" spans="1:24">
      <c r="A11" t="s">
        <v>18</v>
      </c>
      <c r="B11" t="s">
        <v>465</v>
      </c>
      <c r="C11" t="s">
        <v>477</v>
      </c>
      <c r="D11" t="s">
        <v>54</v>
      </c>
      <c r="E11" t="s">
        <v>55</v>
      </c>
      <c r="F11" t="s">
        <v>467</v>
      </c>
      <c r="G11" t="s">
        <v>468</v>
      </c>
      <c r="H11" t="s">
        <v>327</v>
      </c>
      <c r="I11" t="s">
        <v>36</v>
      </c>
      <c r="J11" t="s">
        <v>47</v>
      </c>
      <c r="K11" s="4">
        <v>21028</v>
      </c>
      <c r="L11" s="4">
        <v>10</v>
      </c>
      <c r="M11" s="4">
        <v>5781</v>
      </c>
      <c r="N11" s="4">
        <v>16134</v>
      </c>
      <c r="O11" s="4">
        <v>11</v>
      </c>
      <c r="P11" s="3">
        <v>5101.3217000000004</v>
      </c>
      <c r="Q11"/>
      <c r="R11"/>
      <c r="S11"/>
      <c r="T11"/>
      <c r="U11"/>
      <c r="V11"/>
      <c r="W11"/>
      <c r="X11"/>
    </row>
    <row r="12" spans="1:24">
      <c r="A12" t="s">
        <v>18</v>
      </c>
      <c r="B12" t="s">
        <v>478</v>
      </c>
      <c r="D12" t="s">
        <v>56</v>
      </c>
      <c r="E12" t="s">
        <v>60</v>
      </c>
      <c r="F12" t="s">
        <v>471</v>
      </c>
      <c r="G12" t="s">
        <v>464</v>
      </c>
      <c r="H12" t="s">
        <v>415</v>
      </c>
      <c r="I12" t="s">
        <v>36</v>
      </c>
      <c r="J12" t="s">
        <v>47</v>
      </c>
      <c r="K12" s="4">
        <v>9273</v>
      </c>
      <c r="L12" s="4">
        <v>70</v>
      </c>
      <c r="M12" s="4">
        <v>4648</v>
      </c>
      <c r="N12" s="4">
        <v>8751</v>
      </c>
      <c r="O12" s="4">
        <v>5</v>
      </c>
      <c r="P12" s="3">
        <v>4986.5194000000001</v>
      </c>
      <c r="Q12"/>
      <c r="R12"/>
      <c r="S12"/>
      <c r="T12"/>
      <c r="U12"/>
      <c r="V12"/>
      <c r="W12"/>
      <c r="X12"/>
    </row>
    <row r="13" spans="1:24">
      <c r="A13" t="s">
        <v>18</v>
      </c>
      <c r="B13" t="s">
        <v>479</v>
      </c>
      <c r="D13" t="s">
        <v>56</v>
      </c>
      <c r="E13" t="s">
        <v>57</v>
      </c>
      <c r="F13" t="s">
        <v>480</v>
      </c>
      <c r="G13" t="s">
        <v>460</v>
      </c>
      <c r="H13" t="s">
        <v>425</v>
      </c>
      <c r="I13" t="s">
        <v>36</v>
      </c>
      <c r="J13" t="s">
        <v>47</v>
      </c>
      <c r="K13" s="4">
        <v>7628</v>
      </c>
      <c r="L13" s="4">
        <v>19</v>
      </c>
      <c r="M13" s="4">
        <v>5048</v>
      </c>
      <c r="N13" s="4">
        <v>7154</v>
      </c>
      <c r="O13" s="4">
        <v>5</v>
      </c>
      <c r="P13" s="3">
        <v>6684.0627999999997</v>
      </c>
      <c r="Q13"/>
      <c r="R13"/>
      <c r="S13"/>
      <c r="T13"/>
      <c r="U13"/>
      <c r="V13"/>
      <c r="W13"/>
      <c r="X13"/>
    </row>
    <row r="14" spans="1:24">
      <c r="A14" t="s">
        <v>18</v>
      </c>
      <c r="B14" t="s">
        <v>481</v>
      </c>
      <c r="D14" t="s">
        <v>58</v>
      </c>
      <c r="E14" t="s">
        <v>55</v>
      </c>
      <c r="F14" t="s">
        <v>482</v>
      </c>
      <c r="G14" t="s">
        <v>483</v>
      </c>
      <c r="H14" t="s">
        <v>218</v>
      </c>
      <c r="I14" t="s">
        <v>38</v>
      </c>
      <c r="J14" t="s">
        <v>47</v>
      </c>
      <c r="K14" s="4">
        <v>13946</v>
      </c>
      <c r="L14" s="4">
        <v>40</v>
      </c>
      <c r="M14" s="4">
        <v>3142</v>
      </c>
      <c r="N14" s="4">
        <v>8823</v>
      </c>
      <c r="O14" s="4">
        <v>8</v>
      </c>
      <c r="P14" s="3">
        <v>4920.2345999999998</v>
      </c>
      <c r="Q14"/>
      <c r="R14"/>
      <c r="S14"/>
      <c r="T14"/>
      <c r="U14"/>
      <c r="V14"/>
      <c r="W14"/>
      <c r="X14"/>
    </row>
    <row r="15" spans="1:24">
      <c r="A15" t="s">
        <v>10</v>
      </c>
      <c r="B15" t="s">
        <v>484</v>
      </c>
      <c r="C15" t="s">
        <v>485</v>
      </c>
      <c r="D15" t="s">
        <v>56</v>
      </c>
      <c r="E15" t="s">
        <v>59</v>
      </c>
      <c r="F15" t="s">
        <v>486</v>
      </c>
      <c r="G15" t="s">
        <v>487</v>
      </c>
      <c r="H15" t="s">
        <v>228</v>
      </c>
      <c r="I15" t="s">
        <v>209</v>
      </c>
      <c r="J15" t="s">
        <v>47</v>
      </c>
      <c r="K15" s="4">
        <v>10501</v>
      </c>
      <c r="L15" s="4">
        <v>90</v>
      </c>
      <c r="M15" s="4">
        <v>4126</v>
      </c>
      <c r="N15" s="4">
        <v>7654</v>
      </c>
      <c r="O15" s="4">
        <v>8</v>
      </c>
      <c r="P15" s="3">
        <v>6244.5178999999998</v>
      </c>
      <c r="Q15"/>
      <c r="R15"/>
      <c r="S15"/>
      <c r="T15"/>
      <c r="U15"/>
      <c r="V15"/>
      <c r="W15"/>
      <c r="X15"/>
    </row>
    <row r="16" spans="1:24">
      <c r="A16" t="s">
        <v>10</v>
      </c>
      <c r="B16" t="s">
        <v>484</v>
      </c>
      <c r="C16" t="s">
        <v>488</v>
      </c>
      <c r="D16" t="s">
        <v>56</v>
      </c>
      <c r="E16" t="s">
        <v>57</v>
      </c>
      <c r="F16" t="s">
        <v>489</v>
      </c>
      <c r="G16" t="s">
        <v>460</v>
      </c>
      <c r="H16" t="s">
        <v>345</v>
      </c>
      <c r="I16" t="s">
        <v>38</v>
      </c>
      <c r="J16" t="s">
        <v>47</v>
      </c>
      <c r="K16" s="4">
        <v>12092</v>
      </c>
      <c r="L16" s="4">
        <v>30</v>
      </c>
      <c r="M16" s="4">
        <v>2042</v>
      </c>
      <c r="N16" s="4">
        <v>10315</v>
      </c>
      <c r="O16" s="4">
        <v>8</v>
      </c>
      <c r="P16" s="3">
        <v>6245.1347999999998</v>
      </c>
      <c r="Q16"/>
      <c r="R16"/>
      <c r="S16"/>
      <c r="T16"/>
      <c r="U16"/>
      <c r="V16"/>
      <c r="W16"/>
      <c r="X16"/>
    </row>
    <row r="17" spans="1:24">
      <c r="A17" t="s">
        <v>10</v>
      </c>
      <c r="B17" t="s">
        <v>484</v>
      </c>
      <c r="C17" t="s">
        <v>490</v>
      </c>
      <c r="D17" t="s">
        <v>54</v>
      </c>
      <c r="E17" t="s">
        <v>55</v>
      </c>
      <c r="F17" t="s">
        <v>491</v>
      </c>
      <c r="G17" t="s">
        <v>29</v>
      </c>
      <c r="H17" t="s">
        <v>363</v>
      </c>
      <c r="I17" t="s">
        <v>36</v>
      </c>
      <c r="J17" t="s">
        <v>47</v>
      </c>
      <c r="K17" s="4">
        <v>138904</v>
      </c>
      <c r="L17" s="4">
        <v>399</v>
      </c>
      <c r="M17" s="4">
        <v>98952</v>
      </c>
      <c r="N17" s="4">
        <v>120688</v>
      </c>
      <c r="O17" s="4">
        <v>25</v>
      </c>
      <c r="P17" s="3">
        <v>5038.6446999999998</v>
      </c>
      <c r="Q17"/>
      <c r="R17"/>
      <c r="S17"/>
      <c r="T17"/>
      <c r="U17"/>
      <c r="V17"/>
      <c r="W17"/>
      <c r="X17"/>
    </row>
    <row r="18" spans="1:24">
      <c r="A18" t="s">
        <v>10</v>
      </c>
      <c r="B18" t="s">
        <v>484</v>
      </c>
      <c r="C18" t="s">
        <v>492</v>
      </c>
      <c r="D18" t="s">
        <v>56</v>
      </c>
      <c r="E18" t="s">
        <v>60</v>
      </c>
      <c r="F18" t="s">
        <v>471</v>
      </c>
      <c r="G18" t="s">
        <v>464</v>
      </c>
      <c r="H18" t="s">
        <v>250</v>
      </c>
      <c r="I18" t="s">
        <v>38</v>
      </c>
      <c r="J18" t="s">
        <v>49</v>
      </c>
      <c r="K18" s="4">
        <v>29323</v>
      </c>
      <c r="L18" s="4">
        <v>88</v>
      </c>
      <c r="M18" s="4">
        <v>13822</v>
      </c>
      <c r="N18" s="4">
        <v>26934</v>
      </c>
      <c r="O18" s="4">
        <v>9</v>
      </c>
      <c r="P18" s="3">
        <v>6096.0455000000002</v>
      </c>
      <c r="Q18"/>
      <c r="R18"/>
      <c r="S18"/>
      <c r="T18"/>
      <c r="U18"/>
      <c r="V18"/>
      <c r="W18"/>
      <c r="X18"/>
    </row>
    <row r="19" spans="1:24">
      <c r="A19" t="s">
        <v>10</v>
      </c>
      <c r="B19" t="s">
        <v>484</v>
      </c>
      <c r="C19" t="s">
        <v>493</v>
      </c>
      <c r="D19" t="s">
        <v>56</v>
      </c>
      <c r="E19" t="s">
        <v>55</v>
      </c>
      <c r="F19" t="s">
        <v>471</v>
      </c>
      <c r="G19" t="s">
        <v>464</v>
      </c>
      <c r="H19" t="s">
        <v>259</v>
      </c>
      <c r="I19" t="s">
        <v>445</v>
      </c>
      <c r="J19" t="s">
        <v>47</v>
      </c>
      <c r="K19" s="4">
        <v>8000</v>
      </c>
      <c r="L19" s="4">
        <v>10</v>
      </c>
      <c r="M19" s="4">
        <v>4400</v>
      </c>
      <c r="N19" s="4">
        <v>6379</v>
      </c>
      <c r="O19" s="4">
        <v>1</v>
      </c>
      <c r="P19" s="3">
        <v>6159.3669</v>
      </c>
      <c r="Q19"/>
      <c r="R19"/>
      <c r="S19"/>
      <c r="T19"/>
      <c r="U19"/>
      <c r="V19"/>
      <c r="W19"/>
      <c r="X19"/>
    </row>
    <row r="20" spans="1:24">
      <c r="A20" t="s">
        <v>10</v>
      </c>
      <c r="B20" t="s">
        <v>484</v>
      </c>
      <c r="C20" t="s">
        <v>494</v>
      </c>
      <c r="D20" t="s">
        <v>54</v>
      </c>
      <c r="E20" t="s">
        <v>60</v>
      </c>
      <c r="F20" t="s">
        <v>482</v>
      </c>
      <c r="G20" t="s">
        <v>483</v>
      </c>
      <c r="H20" t="s">
        <v>268</v>
      </c>
      <c r="I20" t="s">
        <v>44</v>
      </c>
      <c r="J20" t="s">
        <v>47</v>
      </c>
      <c r="K20" s="4">
        <v>25532</v>
      </c>
      <c r="L20" s="4">
        <v>140</v>
      </c>
      <c r="M20" s="4">
        <v>15219</v>
      </c>
      <c r="N20" s="4">
        <v>21497</v>
      </c>
      <c r="O20" s="4">
        <v>9</v>
      </c>
      <c r="P20" s="3">
        <v>6047.1741000000002</v>
      </c>
      <c r="Q20"/>
      <c r="R20"/>
      <c r="S20"/>
      <c r="T20"/>
      <c r="U20"/>
      <c r="V20"/>
      <c r="W20"/>
      <c r="X20"/>
    </row>
    <row r="21" spans="1:24">
      <c r="A21" t="s">
        <v>10</v>
      </c>
      <c r="B21" t="s">
        <v>484</v>
      </c>
      <c r="C21" t="s">
        <v>495</v>
      </c>
      <c r="D21" t="s">
        <v>56</v>
      </c>
      <c r="E21" t="s">
        <v>57</v>
      </c>
      <c r="F21" t="s">
        <v>482</v>
      </c>
      <c r="G21" t="s">
        <v>483</v>
      </c>
      <c r="H21" t="s">
        <v>254</v>
      </c>
      <c r="I21" t="s">
        <v>253</v>
      </c>
      <c r="J21" t="s">
        <v>48</v>
      </c>
      <c r="K21" s="4">
        <v>96779</v>
      </c>
      <c r="L21" s="4">
        <v>299</v>
      </c>
      <c r="M21" s="4">
        <v>9831</v>
      </c>
      <c r="N21" s="4">
        <v>63640</v>
      </c>
      <c r="O21" s="4">
        <v>12</v>
      </c>
      <c r="P21" s="3">
        <v>6317.5108</v>
      </c>
      <c r="Q21"/>
      <c r="R21"/>
      <c r="S21"/>
      <c r="T21"/>
      <c r="U21"/>
      <c r="V21"/>
      <c r="W21"/>
      <c r="X21"/>
    </row>
    <row r="22" spans="1:24">
      <c r="A22" t="s">
        <v>10</v>
      </c>
      <c r="B22" t="s">
        <v>484</v>
      </c>
      <c r="C22" t="s">
        <v>496</v>
      </c>
      <c r="D22" t="s">
        <v>56</v>
      </c>
      <c r="E22" t="s">
        <v>60</v>
      </c>
      <c r="F22" t="s">
        <v>497</v>
      </c>
      <c r="G22" t="s">
        <v>460</v>
      </c>
      <c r="H22" t="s">
        <v>408</v>
      </c>
      <c r="I22" t="s">
        <v>36</v>
      </c>
      <c r="J22" t="s">
        <v>47</v>
      </c>
      <c r="K22" s="4">
        <v>11672</v>
      </c>
      <c r="L22" s="4">
        <v>84</v>
      </c>
      <c r="M22" s="4">
        <v>7619</v>
      </c>
      <c r="N22" s="4">
        <v>9999</v>
      </c>
      <c r="O22" s="4">
        <v>7</v>
      </c>
      <c r="P22" s="3">
        <v>5284.277</v>
      </c>
      <c r="Q22"/>
      <c r="R22"/>
      <c r="S22"/>
      <c r="T22"/>
      <c r="U22"/>
      <c r="V22"/>
      <c r="W22"/>
      <c r="X22"/>
    </row>
    <row r="23" spans="1:24">
      <c r="A23" t="s">
        <v>10</v>
      </c>
      <c r="B23" t="s">
        <v>484</v>
      </c>
      <c r="C23" t="s">
        <v>498</v>
      </c>
      <c r="D23" t="s">
        <v>54</v>
      </c>
      <c r="E23" t="s">
        <v>55</v>
      </c>
      <c r="F23" t="s">
        <v>499</v>
      </c>
      <c r="G23" t="s">
        <v>487</v>
      </c>
      <c r="H23" t="s">
        <v>231</v>
      </c>
      <c r="I23" t="s">
        <v>43</v>
      </c>
      <c r="J23" t="s">
        <v>47</v>
      </c>
      <c r="K23" s="4">
        <v>42459</v>
      </c>
      <c r="L23" s="4">
        <v>121</v>
      </c>
      <c r="M23" s="4">
        <v>15187</v>
      </c>
      <c r="N23" s="4">
        <v>37408</v>
      </c>
      <c r="O23" s="4">
        <v>11</v>
      </c>
      <c r="P23" s="3">
        <v>6321.4916999999996</v>
      </c>
      <c r="Q23"/>
      <c r="R23"/>
      <c r="S23"/>
      <c r="T23"/>
      <c r="U23"/>
      <c r="V23"/>
      <c r="W23"/>
      <c r="X23"/>
    </row>
    <row r="24" spans="1:24">
      <c r="A24" t="s">
        <v>10</v>
      </c>
      <c r="B24" t="s">
        <v>484</v>
      </c>
      <c r="C24" t="s">
        <v>500</v>
      </c>
      <c r="D24" t="s">
        <v>54</v>
      </c>
      <c r="E24" t="s">
        <v>55</v>
      </c>
      <c r="F24" t="s">
        <v>497</v>
      </c>
      <c r="G24" t="s">
        <v>460</v>
      </c>
      <c r="H24" t="s">
        <v>420</v>
      </c>
      <c r="I24" t="s">
        <v>36</v>
      </c>
      <c r="J24" t="s">
        <v>47</v>
      </c>
      <c r="K24" s="4">
        <v>8068</v>
      </c>
      <c r="L24" s="4">
        <v>10</v>
      </c>
      <c r="M24" s="4">
        <v>5545</v>
      </c>
      <c r="N24" s="4">
        <v>7554</v>
      </c>
      <c r="O24" s="4">
        <v>1</v>
      </c>
      <c r="P24" s="3">
        <v>5995.0410000000002</v>
      </c>
      <c r="Q24"/>
      <c r="R24"/>
      <c r="S24"/>
      <c r="T24"/>
      <c r="U24"/>
      <c r="V24"/>
      <c r="W24"/>
      <c r="X24"/>
    </row>
    <row r="25" spans="1:24">
      <c r="A25" t="s">
        <v>10</v>
      </c>
      <c r="B25" t="s">
        <v>484</v>
      </c>
      <c r="C25" t="s">
        <v>501</v>
      </c>
      <c r="D25" t="s">
        <v>56</v>
      </c>
      <c r="E25" t="s">
        <v>55</v>
      </c>
      <c r="F25" t="s">
        <v>482</v>
      </c>
      <c r="G25" t="s">
        <v>483</v>
      </c>
      <c r="H25" t="s">
        <v>233</v>
      </c>
      <c r="I25" t="s">
        <v>36</v>
      </c>
      <c r="J25" t="s">
        <v>47</v>
      </c>
      <c r="K25" s="4">
        <v>286998</v>
      </c>
      <c r="L25" s="4">
        <v>815</v>
      </c>
      <c r="M25" s="4">
        <v>61586</v>
      </c>
      <c r="N25" s="4">
        <v>247500</v>
      </c>
      <c r="O25" s="4">
        <v>13</v>
      </c>
      <c r="P25" s="3">
        <v>6395.5505999999996</v>
      </c>
      <c r="Q25"/>
      <c r="R25"/>
      <c r="S25"/>
      <c r="T25"/>
      <c r="U25"/>
      <c r="V25"/>
      <c r="W25"/>
      <c r="X25"/>
    </row>
    <row r="26" spans="1:24">
      <c r="A26" t="s">
        <v>10</v>
      </c>
      <c r="B26" t="s">
        <v>484</v>
      </c>
      <c r="C26" t="s">
        <v>502</v>
      </c>
      <c r="D26" t="s">
        <v>56</v>
      </c>
      <c r="E26" t="s">
        <v>57</v>
      </c>
      <c r="F26" t="s">
        <v>482</v>
      </c>
      <c r="G26" t="s">
        <v>483</v>
      </c>
      <c r="H26" t="s">
        <v>265</v>
      </c>
      <c r="I26" t="s">
        <v>36</v>
      </c>
      <c r="J26" t="s">
        <v>47</v>
      </c>
      <c r="K26" s="4">
        <v>186404</v>
      </c>
      <c r="L26" s="4">
        <v>940</v>
      </c>
      <c r="M26" s="4">
        <v>30885</v>
      </c>
      <c r="N26" s="4">
        <v>151358</v>
      </c>
      <c r="O26" s="4">
        <v>3</v>
      </c>
      <c r="P26" s="3">
        <v>4702.0275000000001</v>
      </c>
      <c r="Q26"/>
      <c r="R26"/>
      <c r="S26"/>
      <c r="T26"/>
      <c r="U26"/>
      <c r="V26"/>
      <c r="W26"/>
      <c r="X26"/>
    </row>
    <row r="27" spans="1:24">
      <c r="A27" t="s">
        <v>10</v>
      </c>
      <c r="B27" t="s">
        <v>484</v>
      </c>
      <c r="C27" t="s">
        <v>503</v>
      </c>
      <c r="D27" t="s">
        <v>56</v>
      </c>
      <c r="E27" t="s">
        <v>57</v>
      </c>
      <c r="F27" t="s">
        <v>473</v>
      </c>
      <c r="G27" t="s">
        <v>474</v>
      </c>
      <c r="H27" t="s">
        <v>293</v>
      </c>
      <c r="I27" t="s">
        <v>42</v>
      </c>
      <c r="J27" t="s">
        <v>49</v>
      </c>
      <c r="K27" s="4">
        <v>7965</v>
      </c>
      <c r="L27" s="4">
        <v>50</v>
      </c>
      <c r="M27" s="4">
        <v>5230</v>
      </c>
      <c r="N27" s="4">
        <v>6923</v>
      </c>
      <c r="O27" s="4">
        <v>10</v>
      </c>
      <c r="P27" s="3">
        <v>6298.5138999999999</v>
      </c>
      <c r="Q27"/>
      <c r="R27"/>
      <c r="S27"/>
      <c r="T27"/>
      <c r="U27"/>
      <c r="V27"/>
      <c r="W27"/>
      <c r="X27"/>
    </row>
    <row r="28" spans="1:24">
      <c r="A28" t="s">
        <v>10</v>
      </c>
      <c r="B28" t="s">
        <v>484</v>
      </c>
      <c r="C28" t="s">
        <v>504</v>
      </c>
      <c r="D28" t="s">
        <v>54</v>
      </c>
      <c r="E28" t="s">
        <v>59</v>
      </c>
      <c r="F28" t="s">
        <v>473</v>
      </c>
      <c r="G28" t="s">
        <v>474</v>
      </c>
      <c r="H28" t="s">
        <v>310</v>
      </c>
      <c r="I28" t="s">
        <v>40</v>
      </c>
      <c r="J28" t="s">
        <v>47</v>
      </c>
      <c r="K28" s="4">
        <v>9060</v>
      </c>
      <c r="L28" s="4">
        <v>30</v>
      </c>
      <c r="M28" s="4">
        <v>5190</v>
      </c>
      <c r="N28" s="4">
        <v>8621</v>
      </c>
      <c r="O28" s="4">
        <v>14</v>
      </c>
      <c r="P28" s="3">
        <v>4934.8516</v>
      </c>
      <c r="Q28"/>
      <c r="R28"/>
      <c r="S28"/>
      <c r="T28"/>
      <c r="U28"/>
      <c r="V28"/>
      <c r="W28"/>
      <c r="X28"/>
    </row>
    <row r="29" spans="1:24">
      <c r="A29" t="s">
        <v>10</v>
      </c>
      <c r="B29" t="s">
        <v>484</v>
      </c>
      <c r="C29" t="s">
        <v>505</v>
      </c>
      <c r="D29" t="s">
        <v>54</v>
      </c>
      <c r="E29" t="s">
        <v>59</v>
      </c>
      <c r="F29" t="s">
        <v>506</v>
      </c>
      <c r="G29" t="s">
        <v>474</v>
      </c>
      <c r="H29" t="s">
        <v>219</v>
      </c>
      <c r="I29" t="s">
        <v>36</v>
      </c>
      <c r="J29" t="s">
        <v>47</v>
      </c>
      <c r="K29" s="4">
        <v>14038</v>
      </c>
      <c r="L29" s="4">
        <v>63</v>
      </c>
      <c r="M29" s="4">
        <v>1600</v>
      </c>
      <c r="N29" s="4">
        <v>11345</v>
      </c>
      <c r="O29" s="4">
        <v>8</v>
      </c>
      <c r="P29" s="3">
        <v>6368.8629000000001</v>
      </c>
      <c r="Q29"/>
      <c r="R29"/>
      <c r="S29"/>
      <c r="T29"/>
      <c r="U29"/>
      <c r="V29"/>
      <c r="W29"/>
      <c r="X29"/>
    </row>
    <row r="30" spans="1:24">
      <c r="A30" t="s">
        <v>10</v>
      </c>
      <c r="B30" t="s">
        <v>484</v>
      </c>
      <c r="C30" t="s">
        <v>507</v>
      </c>
      <c r="D30" t="s">
        <v>56</v>
      </c>
      <c r="E30" t="s">
        <v>57</v>
      </c>
      <c r="F30" t="s">
        <v>467</v>
      </c>
      <c r="G30" t="s">
        <v>468</v>
      </c>
      <c r="H30" t="s">
        <v>299</v>
      </c>
      <c r="I30" t="s">
        <v>40</v>
      </c>
      <c r="J30" t="s">
        <v>47</v>
      </c>
      <c r="K30" s="4">
        <v>14451</v>
      </c>
      <c r="L30" s="4">
        <v>50</v>
      </c>
      <c r="M30" s="4">
        <v>5606</v>
      </c>
      <c r="N30" s="4">
        <v>13461</v>
      </c>
      <c r="O30" s="4">
        <v>8</v>
      </c>
      <c r="P30" s="3">
        <v>6397.6025</v>
      </c>
      <c r="Q30"/>
      <c r="R30"/>
      <c r="S30"/>
      <c r="T30"/>
      <c r="U30"/>
      <c r="V30"/>
      <c r="W30"/>
      <c r="X30"/>
    </row>
    <row r="31" spans="1:24">
      <c r="A31" t="s">
        <v>10</v>
      </c>
      <c r="B31" t="s">
        <v>484</v>
      </c>
      <c r="C31" t="s">
        <v>508</v>
      </c>
      <c r="D31" t="s">
        <v>56</v>
      </c>
      <c r="E31" t="s">
        <v>60</v>
      </c>
      <c r="F31" t="s">
        <v>497</v>
      </c>
      <c r="G31" t="s">
        <v>460</v>
      </c>
      <c r="H31" t="s">
        <v>324</v>
      </c>
      <c r="I31" t="s">
        <v>36</v>
      </c>
      <c r="J31" t="s">
        <v>47</v>
      </c>
      <c r="K31" s="4">
        <v>8097</v>
      </c>
      <c r="L31" s="4">
        <v>20</v>
      </c>
      <c r="M31" s="4">
        <v>4942</v>
      </c>
      <c r="N31" s="4">
        <v>6868</v>
      </c>
      <c r="O31" s="4">
        <v>1</v>
      </c>
      <c r="P31" s="3">
        <v>6177.4645</v>
      </c>
      <c r="Q31"/>
      <c r="R31"/>
      <c r="S31"/>
      <c r="T31"/>
      <c r="U31"/>
      <c r="V31"/>
      <c r="W31"/>
      <c r="X31"/>
    </row>
    <row r="32" spans="1:24">
      <c r="A32" t="s">
        <v>10</v>
      </c>
      <c r="B32" t="s">
        <v>484</v>
      </c>
      <c r="C32" t="s">
        <v>509</v>
      </c>
      <c r="D32" t="s">
        <v>54</v>
      </c>
      <c r="E32" t="s">
        <v>60</v>
      </c>
      <c r="F32" t="s">
        <v>473</v>
      </c>
      <c r="G32" t="s">
        <v>474</v>
      </c>
      <c r="H32" t="s">
        <v>230</v>
      </c>
      <c r="I32" t="s">
        <v>209</v>
      </c>
      <c r="J32" t="s">
        <v>47</v>
      </c>
      <c r="K32" s="4">
        <v>15252</v>
      </c>
      <c r="L32" s="4">
        <v>55</v>
      </c>
      <c r="M32" s="4">
        <v>2152</v>
      </c>
      <c r="N32" s="4">
        <v>3482</v>
      </c>
      <c r="O32" s="4">
        <v>7</v>
      </c>
      <c r="P32" s="3">
        <v>6211.2001</v>
      </c>
      <c r="Q32"/>
      <c r="R32"/>
      <c r="S32"/>
      <c r="T32"/>
      <c r="U32"/>
      <c r="V32"/>
      <c r="W32"/>
      <c r="X32"/>
    </row>
    <row r="33" spans="1:24">
      <c r="A33" t="s">
        <v>10</v>
      </c>
      <c r="B33" t="s">
        <v>484</v>
      </c>
      <c r="C33" t="s">
        <v>510</v>
      </c>
      <c r="D33" t="s">
        <v>54</v>
      </c>
      <c r="E33" t="s">
        <v>57</v>
      </c>
      <c r="F33" t="s">
        <v>511</v>
      </c>
      <c r="G33" t="s">
        <v>512</v>
      </c>
      <c r="H33" t="s">
        <v>281</v>
      </c>
      <c r="I33" t="s">
        <v>36</v>
      </c>
      <c r="J33" t="s">
        <v>47</v>
      </c>
      <c r="K33" s="4">
        <v>81567</v>
      </c>
      <c r="L33" s="4">
        <v>440</v>
      </c>
      <c r="M33" s="4">
        <v>53264</v>
      </c>
      <c r="N33" s="4">
        <v>68123</v>
      </c>
      <c r="O33" s="4">
        <v>4</v>
      </c>
      <c r="P33" s="3">
        <v>6392.4719999999998</v>
      </c>
      <c r="Q33"/>
      <c r="R33"/>
      <c r="S33"/>
      <c r="T33"/>
      <c r="U33"/>
      <c r="V33"/>
      <c r="W33"/>
      <c r="X33"/>
    </row>
    <row r="34" spans="1:24">
      <c r="A34" t="s">
        <v>10</v>
      </c>
      <c r="B34" t="s">
        <v>484</v>
      </c>
      <c r="C34" t="s">
        <v>513</v>
      </c>
      <c r="D34" t="s">
        <v>54</v>
      </c>
      <c r="E34" t="s">
        <v>57</v>
      </c>
      <c r="F34" t="s">
        <v>467</v>
      </c>
      <c r="G34" t="s">
        <v>468</v>
      </c>
      <c r="H34" t="s">
        <v>416</v>
      </c>
      <c r="I34" t="s">
        <v>36</v>
      </c>
      <c r="J34" t="s">
        <v>47</v>
      </c>
      <c r="K34" s="4">
        <v>9153</v>
      </c>
      <c r="L34" s="4">
        <v>23</v>
      </c>
      <c r="M34" s="4">
        <v>4345</v>
      </c>
      <c r="N34" s="4">
        <v>8376</v>
      </c>
      <c r="O34" s="4">
        <v>14</v>
      </c>
      <c r="P34" s="3">
        <v>5007.5258000000003</v>
      </c>
      <c r="Q34"/>
      <c r="R34"/>
      <c r="S34"/>
      <c r="T34"/>
      <c r="U34"/>
      <c r="V34"/>
      <c r="W34"/>
      <c r="X34"/>
    </row>
    <row r="35" spans="1:24">
      <c r="A35" t="s">
        <v>10</v>
      </c>
      <c r="B35" t="s">
        <v>484</v>
      </c>
      <c r="D35" t="s">
        <v>54</v>
      </c>
      <c r="E35" t="s">
        <v>59</v>
      </c>
      <c r="F35" t="s">
        <v>473</v>
      </c>
      <c r="G35" t="s">
        <v>474</v>
      </c>
      <c r="H35" t="s">
        <v>346</v>
      </c>
      <c r="I35" t="s">
        <v>36</v>
      </c>
      <c r="J35" t="s">
        <v>47</v>
      </c>
      <c r="K35" s="4">
        <v>42830</v>
      </c>
      <c r="L35" s="4">
        <v>160</v>
      </c>
      <c r="M35" s="4">
        <v>24499</v>
      </c>
      <c r="N35" s="4">
        <v>34496</v>
      </c>
      <c r="O35" s="4">
        <v>5</v>
      </c>
      <c r="P35" s="3">
        <v>6261.5757000000003</v>
      </c>
      <c r="Q35"/>
      <c r="R35"/>
      <c r="S35"/>
      <c r="T35"/>
      <c r="U35"/>
      <c r="V35"/>
      <c r="W35"/>
      <c r="X35"/>
    </row>
    <row r="36" spans="1:24">
      <c r="A36" t="s">
        <v>10</v>
      </c>
      <c r="B36" t="s">
        <v>484</v>
      </c>
      <c r="C36" t="s">
        <v>514</v>
      </c>
      <c r="D36" t="s">
        <v>54</v>
      </c>
      <c r="E36" t="s">
        <v>59</v>
      </c>
      <c r="F36" t="s">
        <v>467</v>
      </c>
      <c r="G36" t="s">
        <v>468</v>
      </c>
      <c r="H36" t="s">
        <v>265</v>
      </c>
      <c r="I36" t="s">
        <v>36</v>
      </c>
      <c r="J36" t="s">
        <v>47</v>
      </c>
      <c r="K36" s="4">
        <v>25539</v>
      </c>
      <c r="L36" s="4">
        <v>78</v>
      </c>
      <c r="M36" s="4">
        <v>12130</v>
      </c>
      <c r="N36" s="4">
        <v>24129</v>
      </c>
      <c r="O36" s="4">
        <v>15</v>
      </c>
      <c r="P36" s="3">
        <v>4804.4931999999999</v>
      </c>
      <c r="Q36"/>
      <c r="R36"/>
      <c r="S36"/>
      <c r="T36"/>
      <c r="U36"/>
      <c r="V36"/>
      <c r="W36"/>
      <c r="X36"/>
    </row>
    <row r="37" spans="1:24">
      <c r="A37" t="s">
        <v>10</v>
      </c>
      <c r="B37" t="s">
        <v>484</v>
      </c>
      <c r="C37" t="s">
        <v>515</v>
      </c>
      <c r="D37" t="s">
        <v>54</v>
      </c>
      <c r="E37" t="s">
        <v>59</v>
      </c>
      <c r="F37" t="s">
        <v>473</v>
      </c>
      <c r="G37" t="s">
        <v>474</v>
      </c>
      <c r="H37" t="s">
        <v>298</v>
      </c>
      <c r="I37" t="s">
        <v>40</v>
      </c>
      <c r="J37" t="s">
        <v>47</v>
      </c>
      <c r="K37" s="4">
        <v>14489</v>
      </c>
      <c r="L37" s="4">
        <v>37</v>
      </c>
      <c r="M37" s="4">
        <v>12453</v>
      </c>
      <c r="N37" s="4">
        <v>13873</v>
      </c>
      <c r="O37" s="4">
        <v>10</v>
      </c>
      <c r="P37" s="3">
        <v>6195.8406999999997</v>
      </c>
      <c r="Q37"/>
      <c r="R37"/>
      <c r="S37"/>
      <c r="T37"/>
      <c r="U37"/>
      <c r="V37"/>
      <c r="W37"/>
      <c r="X37"/>
    </row>
    <row r="38" spans="1:24">
      <c r="A38" t="s">
        <v>10</v>
      </c>
      <c r="B38" t="s">
        <v>484</v>
      </c>
      <c r="C38" t="s">
        <v>516</v>
      </c>
      <c r="D38" t="s">
        <v>56</v>
      </c>
      <c r="E38" t="s">
        <v>57</v>
      </c>
      <c r="F38" t="s">
        <v>482</v>
      </c>
      <c r="G38" t="s">
        <v>483</v>
      </c>
      <c r="H38" t="s">
        <v>322</v>
      </c>
      <c r="I38" t="s">
        <v>38</v>
      </c>
      <c r="J38" t="s">
        <v>48</v>
      </c>
      <c r="K38" s="4">
        <v>99205</v>
      </c>
      <c r="L38" s="4">
        <v>230</v>
      </c>
      <c r="M38" s="4">
        <v>49240</v>
      </c>
      <c r="N38" s="4">
        <v>72687</v>
      </c>
      <c r="O38" s="4">
        <v>21</v>
      </c>
      <c r="P38" s="3">
        <v>6185.0024999999996</v>
      </c>
      <c r="Q38"/>
      <c r="R38"/>
      <c r="S38"/>
      <c r="T38"/>
      <c r="U38"/>
      <c r="V38"/>
      <c r="W38"/>
      <c r="X38"/>
    </row>
    <row r="39" spans="1:24">
      <c r="A39" t="s">
        <v>10</v>
      </c>
      <c r="B39" t="s">
        <v>484</v>
      </c>
      <c r="C39" t="s">
        <v>517</v>
      </c>
      <c r="D39" t="s">
        <v>56</v>
      </c>
      <c r="E39" t="s">
        <v>57</v>
      </c>
      <c r="F39" t="s">
        <v>467</v>
      </c>
      <c r="G39" t="s">
        <v>468</v>
      </c>
      <c r="H39" t="s">
        <v>257</v>
      </c>
      <c r="I39" t="s">
        <v>43</v>
      </c>
      <c r="J39" t="s">
        <v>48</v>
      </c>
      <c r="K39" s="4">
        <v>25889</v>
      </c>
      <c r="L39" s="4">
        <v>110</v>
      </c>
      <c r="M39" s="4">
        <v>18382</v>
      </c>
      <c r="N39" s="4">
        <v>23328</v>
      </c>
      <c r="O39" s="4">
        <v>15</v>
      </c>
      <c r="P39" s="3">
        <v>4977.7848000000004</v>
      </c>
      <c r="Q39"/>
      <c r="R39"/>
      <c r="S39"/>
      <c r="T39"/>
      <c r="U39"/>
      <c r="V39"/>
      <c r="W39"/>
      <c r="X39"/>
    </row>
    <row r="40" spans="1:24">
      <c r="A40" t="s">
        <v>10</v>
      </c>
      <c r="B40" t="s">
        <v>484</v>
      </c>
      <c r="C40" t="s">
        <v>518</v>
      </c>
      <c r="D40" t="s">
        <v>56</v>
      </c>
      <c r="E40" t="s">
        <v>59</v>
      </c>
      <c r="F40" t="s">
        <v>519</v>
      </c>
      <c r="G40" t="s">
        <v>460</v>
      </c>
      <c r="H40" t="s">
        <v>218</v>
      </c>
      <c r="I40" t="s">
        <v>38</v>
      </c>
      <c r="J40" t="s">
        <v>47</v>
      </c>
      <c r="K40" s="4">
        <v>12974</v>
      </c>
      <c r="L40" s="4">
        <v>84</v>
      </c>
      <c r="M40" s="4">
        <v>7521</v>
      </c>
      <c r="N40" s="4">
        <v>10959</v>
      </c>
      <c r="O40" s="4">
        <v>7</v>
      </c>
      <c r="P40" s="3">
        <v>6301.8688000000002</v>
      </c>
      <c r="Q40"/>
      <c r="R40"/>
      <c r="S40"/>
      <c r="T40"/>
      <c r="U40"/>
      <c r="V40"/>
      <c r="W40"/>
      <c r="X40"/>
    </row>
    <row r="41" spans="1:24">
      <c r="A41" t="s">
        <v>10</v>
      </c>
      <c r="B41" t="s">
        <v>520</v>
      </c>
      <c r="C41" t="s">
        <v>521</v>
      </c>
      <c r="D41" t="s">
        <v>54</v>
      </c>
      <c r="E41" t="s">
        <v>55</v>
      </c>
      <c r="F41" t="s">
        <v>486</v>
      </c>
      <c r="G41" t="s">
        <v>487</v>
      </c>
      <c r="H41" t="s">
        <v>346</v>
      </c>
      <c r="I41" t="s">
        <v>43</v>
      </c>
      <c r="J41" t="s">
        <v>47</v>
      </c>
      <c r="K41" s="4">
        <v>31359</v>
      </c>
      <c r="L41" s="4">
        <v>66</v>
      </c>
      <c r="M41" s="4">
        <v>18348</v>
      </c>
      <c r="N41" s="4">
        <v>25950</v>
      </c>
      <c r="O41" s="4">
        <v>24</v>
      </c>
      <c r="P41" s="3">
        <v>1623.6148000000001</v>
      </c>
      <c r="Q41"/>
      <c r="R41"/>
      <c r="S41"/>
      <c r="T41"/>
      <c r="U41"/>
      <c r="V41"/>
      <c r="W41"/>
      <c r="X41"/>
    </row>
    <row r="42" spans="1:24">
      <c r="A42" t="s">
        <v>10</v>
      </c>
      <c r="B42" t="s">
        <v>522</v>
      </c>
      <c r="C42" t="s">
        <v>523</v>
      </c>
      <c r="D42" t="s">
        <v>54</v>
      </c>
      <c r="E42" t="s">
        <v>55</v>
      </c>
      <c r="F42" t="s">
        <v>473</v>
      </c>
      <c r="G42" t="s">
        <v>474</v>
      </c>
      <c r="H42" t="s">
        <v>246</v>
      </c>
      <c r="I42" t="s">
        <v>214</v>
      </c>
      <c r="J42" t="s">
        <v>47</v>
      </c>
      <c r="K42" s="4">
        <v>11561</v>
      </c>
      <c r="L42" s="4">
        <v>87</v>
      </c>
      <c r="M42" s="4">
        <v>4063</v>
      </c>
      <c r="N42" s="4">
        <v>9941</v>
      </c>
      <c r="O42" s="4">
        <v>5</v>
      </c>
      <c r="P42" s="3">
        <v>1911.932</v>
      </c>
      <c r="Q42"/>
      <c r="R42"/>
      <c r="S42"/>
      <c r="T42"/>
      <c r="U42"/>
      <c r="V42"/>
      <c r="W42"/>
      <c r="X42"/>
    </row>
    <row r="43" spans="1:24">
      <c r="A43" t="s">
        <v>10</v>
      </c>
      <c r="B43" t="s">
        <v>524</v>
      </c>
      <c r="D43" t="s">
        <v>54</v>
      </c>
      <c r="E43" t="s">
        <v>55</v>
      </c>
      <c r="F43" t="s">
        <v>467</v>
      </c>
      <c r="G43" t="s">
        <v>468</v>
      </c>
      <c r="H43" t="s">
        <v>262</v>
      </c>
      <c r="I43" t="s">
        <v>44</v>
      </c>
      <c r="J43" t="s">
        <v>47</v>
      </c>
      <c r="K43" s="4">
        <v>111624</v>
      </c>
      <c r="L43" s="4">
        <v>590</v>
      </c>
      <c r="M43" s="4">
        <v>40343</v>
      </c>
      <c r="N43" s="4">
        <v>101306</v>
      </c>
      <c r="O43" s="4">
        <v>21</v>
      </c>
      <c r="P43" s="3">
        <v>6510.4467000000004</v>
      </c>
      <c r="Q43"/>
      <c r="R43"/>
      <c r="S43"/>
      <c r="T43"/>
      <c r="U43"/>
      <c r="V43"/>
      <c r="W43"/>
      <c r="X43"/>
    </row>
    <row r="44" spans="1:24">
      <c r="A44" t="s">
        <v>10</v>
      </c>
      <c r="B44" t="s">
        <v>525</v>
      </c>
      <c r="C44" t="s">
        <v>526</v>
      </c>
      <c r="D44" t="s">
        <v>56</v>
      </c>
      <c r="E44" t="s">
        <v>55</v>
      </c>
      <c r="F44" t="s">
        <v>482</v>
      </c>
      <c r="G44" t="s">
        <v>483</v>
      </c>
      <c r="H44" t="s">
        <v>257</v>
      </c>
      <c r="I44" t="s">
        <v>36</v>
      </c>
      <c r="J44" t="s">
        <v>48</v>
      </c>
      <c r="K44" s="4">
        <v>83854</v>
      </c>
      <c r="L44" s="4">
        <v>197</v>
      </c>
      <c r="M44" s="4">
        <v>60626</v>
      </c>
      <c r="N44" s="4">
        <v>76071</v>
      </c>
      <c r="O44" s="4">
        <v>15</v>
      </c>
      <c r="P44" s="3">
        <v>5783.8437999999996</v>
      </c>
      <c r="Q44"/>
      <c r="R44"/>
      <c r="S44"/>
      <c r="T44"/>
      <c r="U44"/>
      <c r="V44"/>
      <c r="W44"/>
      <c r="X44"/>
    </row>
    <row r="45" spans="1:24">
      <c r="A45" t="s">
        <v>10</v>
      </c>
      <c r="B45" t="s">
        <v>525</v>
      </c>
      <c r="C45" t="s">
        <v>527</v>
      </c>
      <c r="D45" t="s">
        <v>56</v>
      </c>
      <c r="E45" t="s">
        <v>55</v>
      </c>
      <c r="F45" t="s">
        <v>459</v>
      </c>
      <c r="G45" t="s">
        <v>460</v>
      </c>
      <c r="H45" t="s">
        <v>215</v>
      </c>
      <c r="I45" t="s">
        <v>36</v>
      </c>
      <c r="J45" t="s">
        <v>48</v>
      </c>
      <c r="K45" s="4">
        <v>84460</v>
      </c>
      <c r="L45" s="4">
        <v>209</v>
      </c>
      <c r="M45" s="4">
        <v>13169</v>
      </c>
      <c r="N45" s="4">
        <v>26688</v>
      </c>
      <c r="O45" s="4">
        <v>1</v>
      </c>
      <c r="P45" s="3">
        <v>4279.2309999999998</v>
      </c>
      <c r="Q45"/>
      <c r="R45"/>
      <c r="S45"/>
      <c r="T45"/>
      <c r="U45"/>
      <c r="V45"/>
      <c r="W45"/>
      <c r="X45"/>
    </row>
    <row r="46" spans="1:24">
      <c r="A46" t="s">
        <v>10</v>
      </c>
      <c r="B46" t="s">
        <v>525</v>
      </c>
      <c r="C46" t="s">
        <v>488</v>
      </c>
      <c r="D46" t="s">
        <v>58</v>
      </c>
      <c r="E46" t="s">
        <v>59</v>
      </c>
      <c r="F46" t="s">
        <v>489</v>
      </c>
      <c r="G46" t="s">
        <v>460</v>
      </c>
      <c r="H46" t="s">
        <v>242</v>
      </c>
      <c r="I46" t="s">
        <v>214</v>
      </c>
      <c r="J46" t="s">
        <v>47</v>
      </c>
      <c r="K46" s="4">
        <v>88022</v>
      </c>
      <c r="L46" s="4">
        <v>370</v>
      </c>
      <c r="M46" s="4">
        <v>45972</v>
      </c>
      <c r="N46" s="4">
        <v>83922</v>
      </c>
      <c r="O46" s="4">
        <v>11</v>
      </c>
      <c r="P46" s="3">
        <v>5669.1448</v>
      </c>
      <c r="Q46"/>
      <c r="R46"/>
      <c r="S46"/>
      <c r="T46"/>
      <c r="U46"/>
      <c r="V46"/>
      <c r="W46"/>
      <c r="X46"/>
    </row>
    <row r="47" spans="1:24">
      <c r="A47" t="s">
        <v>10</v>
      </c>
      <c r="B47" t="s">
        <v>525</v>
      </c>
      <c r="C47" t="s">
        <v>528</v>
      </c>
      <c r="D47" t="s">
        <v>54</v>
      </c>
      <c r="E47" t="s">
        <v>57</v>
      </c>
      <c r="F47" t="s">
        <v>480</v>
      </c>
      <c r="G47" t="s">
        <v>460</v>
      </c>
      <c r="H47" t="s">
        <v>364</v>
      </c>
      <c r="I47" t="s">
        <v>36</v>
      </c>
      <c r="J47" t="s">
        <v>47</v>
      </c>
      <c r="K47" s="4">
        <v>98509</v>
      </c>
      <c r="L47" s="4">
        <v>299</v>
      </c>
      <c r="M47" s="4">
        <v>30688</v>
      </c>
      <c r="N47" s="4">
        <v>109518</v>
      </c>
      <c r="O47" s="4">
        <v>15</v>
      </c>
      <c r="P47" s="3">
        <v>2059.2703000000001</v>
      </c>
      <c r="Q47"/>
      <c r="R47"/>
      <c r="S47"/>
      <c r="T47"/>
      <c r="U47"/>
      <c r="V47"/>
      <c r="W47"/>
      <c r="X47"/>
    </row>
    <row r="48" spans="1:24">
      <c r="A48" t="s">
        <v>10</v>
      </c>
      <c r="B48" t="s">
        <v>525</v>
      </c>
      <c r="C48" t="s">
        <v>529</v>
      </c>
      <c r="D48" t="s">
        <v>56</v>
      </c>
      <c r="E48" t="s">
        <v>55</v>
      </c>
      <c r="F48" t="s">
        <v>530</v>
      </c>
      <c r="G48" t="s">
        <v>531</v>
      </c>
      <c r="H48" t="s">
        <v>293</v>
      </c>
      <c r="I48" t="s">
        <v>36</v>
      </c>
      <c r="J48" t="s">
        <v>49</v>
      </c>
      <c r="K48" s="4">
        <v>21599</v>
      </c>
      <c r="L48" s="4">
        <v>66</v>
      </c>
      <c r="M48" s="4">
        <v>13600</v>
      </c>
      <c r="N48" s="4">
        <v>20256</v>
      </c>
      <c r="O48" s="4">
        <v>9</v>
      </c>
      <c r="P48" s="3">
        <v>5551.3873999999996</v>
      </c>
      <c r="Q48"/>
      <c r="R48"/>
      <c r="S48"/>
      <c r="T48"/>
      <c r="U48"/>
      <c r="V48"/>
      <c r="W48"/>
      <c r="X48"/>
    </row>
    <row r="49" spans="1:24">
      <c r="A49" t="s">
        <v>10</v>
      </c>
      <c r="B49" t="s">
        <v>525</v>
      </c>
      <c r="C49" t="s">
        <v>532</v>
      </c>
      <c r="D49" t="s">
        <v>54</v>
      </c>
      <c r="E49" t="s">
        <v>55</v>
      </c>
      <c r="F49" t="s">
        <v>530</v>
      </c>
      <c r="G49" t="s">
        <v>531</v>
      </c>
      <c r="H49" t="s">
        <v>395</v>
      </c>
      <c r="I49" t="s">
        <v>36</v>
      </c>
      <c r="J49" t="s">
        <v>47</v>
      </c>
      <c r="K49" s="4">
        <v>14011</v>
      </c>
      <c r="L49" s="4">
        <v>40</v>
      </c>
      <c r="M49" s="4">
        <v>5060</v>
      </c>
      <c r="N49" s="4">
        <v>12459</v>
      </c>
      <c r="O49" s="4">
        <v>5</v>
      </c>
      <c r="P49" s="3">
        <v>5632.0879999999997</v>
      </c>
      <c r="Q49"/>
      <c r="R49"/>
      <c r="S49"/>
      <c r="T49"/>
      <c r="U49"/>
      <c r="V49"/>
      <c r="W49"/>
      <c r="X49"/>
    </row>
    <row r="50" spans="1:24">
      <c r="A50" t="s">
        <v>10</v>
      </c>
      <c r="B50" t="s">
        <v>525</v>
      </c>
      <c r="C50" t="s">
        <v>533</v>
      </c>
      <c r="D50" t="s">
        <v>54</v>
      </c>
      <c r="E50" t="s">
        <v>57</v>
      </c>
      <c r="F50" t="s">
        <v>534</v>
      </c>
      <c r="G50" t="s">
        <v>535</v>
      </c>
      <c r="H50" t="s">
        <v>238</v>
      </c>
      <c r="I50" t="s">
        <v>42</v>
      </c>
      <c r="J50" t="s">
        <v>47</v>
      </c>
      <c r="K50" s="4">
        <v>9319</v>
      </c>
      <c r="L50" s="4">
        <v>30</v>
      </c>
      <c r="M50" s="4">
        <v>6193</v>
      </c>
      <c r="N50" s="4">
        <v>8682</v>
      </c>
      <c r="O50" s="4">
        <v>12</v>
      </c>
      <c r="P50" s="3">
        <v>4594.6040000000003</v>
      </c>
      <c r="Q50"/>
      <c r="R50"/>
      <c r="S50"/>
      <c r="T50"/>
      <c r="U50"/>
      <c r="V50"/>
      <c r="W50"/>
      <c r="X50"/>
    </row>
    <row r="51" spans="1:24">
      <c r="A51" t="s">
        <v>10</v>
      </c>
      <c r="B51" t="s">
        <v>525</v>
      </c>
      <c r="C51" t="s">
        <v>490</v>
      </c>
      <c r="D51" t="s">
        <v>56</v>
      </c>
      <c r="E51" t="s">
        <v>60</v>
      </c>
      <c r="F51" t="s">
        <v>489</v>
      </c>
      <c r="G51" t="s">
        <v>460</v>
      </c>
      <c r="H51" t="s">
        <v>285</v>
      </c>
      <c r="I51" t="s">
        <v>38</v>
      </c>
      <c r="J51" t="s">
        <v>47</v>
      </c>
      <c r="K51" s="4">
        <v>43057</v>
      </c>
      <c r="L51" s="4">
        <v>122</v>
      </c>
      <c r="M51" s="4">
        <v>23767</v>
      </c>
      <c r="N51" s="4">
        <v>41484</v>
      </c>
      <c r="O51" s="4">
        <v>7</v>
      </c>
      <c r="P51" s="3">
        <v>5884.9314000000004</v>
      </c>
      <c r="Q51"/>
      <c r="R51"/>
      <c r="S51"/>
      <c r="T51"/>
      <c r="U51"/>
      <c r="V51"/>
      <c r="W51"/>
      <c r="X51"/>
    </row>
    <row r="52" spans="1:24">
      <c r="A52" t="s">
        <v>10</v>
      </c>
      <c r="B52" t="s">
        <v>525</v>
      </c>
      <c r="C52" t="s">
        <v>536</v>
      </c>
      <c r="D52" t="s">
        <v>56</v>
      </c>
      <c r="E52" t="s">
        <v>57</v>
      </c>
      <c r="F52" t="s">
        <v>497</v>
      </c>
      <c r="G52" t="s">
        <v>460</v>
      </c>
      <c r="H52" t="s">
        <v>237</v>
      </c>
      <c r="I52" t="s">
        <v>36</v>
      </c>
      <c r="J52" t="s">
        <v>48</v>
      </c>
      <c r="K52" s="4">
        <v>88293</v>
      </c>
      <c r="L52" s="4">
        <v>255</v>
      </c>
      <c r="M52" s="4">
        <v>24101</v>
      </c>
      <c r="N52" s="4">
        <v>75557</v>
      </c>
      <c r="O52" s="4">
        <v>19</v>
      </c>
      <c r="P52" s="3">
        <v>5054.4816000000001</v>
      </c>
      <c r="Q52"/>
      <c r="R52"/>
      <c r="S52"/>
      <c r="T52"/>
      <c r="U52"/>
      <c r="V52"/>
      <c r="W52"/>
      <c r="X52"/>
    </row>
    <row r="53" spans="1:24">
      <c r="A53" t="s">
        <v>10</v>
      </c>
      <c r="B53" t="s">
        <v>525</v>
      </c>
      <c r="C53" t="s">
        <v>537</v>
      </c>
      <c r="D53" t="s">
        <v>56</v>
      </c>
      <c r="E53" t="s">
        <v>60</v>
      </c>
      <c r="F53" t="s">
        <v>467</v>
      </c>
      <c r="G53" t="s">
        <v>468</v>
      </c>
      <c r="H53" t="s">
        <v>437</v>
      </c>
      <c r="I53" t="s">
        <v>42</v>
      </c>
      <c r="J53" t="s">
        <v>47</v>
      </c>
      <c r="K53" s="4">
        <v>11417</v>
      </c>
      <c r="L53" s="4">
        <v>78</v>
      </c>
      <c r="M53" s="4">
        <v>1387</v>
      </c>
      <c r="N53" s="4">
        <v>9924</v>
      </c>
      <c r="O53" s="4">
        <v>9</v>
      </c>
      <c r="P53" s="3">
        <v>6206.6370999999999</v>
      </c>
      <c r="Q53"/>
      <c r="R53"/>
      <c r="S53"/>
      <c r="T53"/>
      <c r="U53"/>
      <c r="V53"/>
      <c r="W53"/>
      <c r="X53"/>
    </row>
    <row r="54" spans="1:24">
      <c r="A54" t="s">
        <v>10</v>
      </c>
      <c r="B54" t="s">
        <v>525</v>
      </c>
      <c r="C54" t="s">
        <v>492</v>
      </c>
      <c r="D54" t="s">
        <v>58</v>
      </c>
      <c r="E54" t="s">
        <v>57</v>
      </c>
      <c r="F54" t="s">
        <v>482</v>
      </c>
      <c r="G54" t="s">
        <v>483</v>
      </c>
      <c r="H54" t="s">
        <v>289</v>
      </c>
      <c r="I54" t="s">
        <v>36</v>
      </c>
      <c r="J54" t="s">
        <v>47</v>
      </c>
      <c r="K54" s="4">
        <v>89744</v>
      </c>
      <c r="L54" s="4">
        <v>311</v>
      </c>
      <c r="M54" s="4">
        <v>48786</v>
      </c>
      <c r="N54" s="4">
        <v>85900</v>
      </c>
      <c r="O54" s="4">
        <v>3</v>
      </c>
      <c r="P54" s="3">
        <v>6369.8112000000001</v>
      </c>
      <c r="Q54"/>
      <c r="R54"/>
      <c r="S54"/>
      <c r="T54"/>
      <c r="U54"/>
      <c r="V54"/>
      <c r="W54"/>
      <c r="X54"/>
    </row>
    <row r="55" spans="1:24">
      <c r="A55" t="s">
        <v>10</v>
      </c>
      <c r="B55" t="s">
        <v>525</v>
      </c>
      <c r="C55" t="s">
        <v>538</v>
      </c>
      <c r="D55" t="s">
        <v>54</v>
      </c>
      <c r="E55" t="s">
        <v>59</v>
      </c>
      <c r="F55" t="s">
        <v>539</v>
      </c>
      <c r="G55" t="s">
        <v>468</v>
      </c>
      <c r="H55" t="s">
        <v>218</v>
      </c>
      <c r="I55" t="s">
        <v>36</v>
      </c>
      <c r="J55" t="s">
        <v>47</v>
      </c>
      <c r="K55" s="4">
        <v>48436</v>
      </c>
      <c r="L55" s="4">
        <v>171</v>
      </c>
      <c r="M55" s="4">
        <v>16543</v>
      </c>
      <c r="N55" s="4">
        <v>42427</v>
      </c>
      <c r="O55" s="4">
        <v>6</v>
      </c>
      <c r="P55" s="3">
        <v>4386.6481999999996</v>
      </c>
      <c r="Q55"/>
      <c r="R55"/>
      <c r="S55"/>
      <c r="T55"/>
      <c r="U55"/>
      <c r="V55"/>
      <c r="W55"/>
      <c r="X55"/>
    </row>
    <row r="56" spans="1:24">
      <c r="A56" t="s">
        <v>10</v>
      </c>
      <c r="B56" t="s">
        <v>525</v>
      </c>
      <c r="C56" t="s">
        <v>493</v>
      </c>
      <c r="D56" t="s">
        <v>54</v>
      </c>
      <c r="E56" t="s">
        <v>60</v>
      </c>
      <c r="F56" t="s">
        <v>540</v>
      </c>
      <c r="G56" t="s">
        <v>468</v>
      </c>
      <c r="H56" t="s">
        <v>251</v>
      </c>
      <c r="I56" t="s">
        <v>40</v>
      </c>
      <c r="J56" t="s">
        <v>47</v>
      </c>
      <c r="K56" s="4">
        <v>90463</v>
      </c>
      <c r="L56" s="4">
        <v>204</v>
      </c>
      <c r="M56" s="4">
        <v>803</v>
      </c>
      <c r="N56" s="4">
        <v>2465</v>
      </c>
      <c r="O56" s="4">
        <v>9</v>
      </c>
      <c r="P56" s="3">
        <v>6120.6025</v>
      </c>
      <c r="Q56"/>
      <c r="R56"/>
      <c r="S56"/>
      <c r="T56"/>
      <c r="U56"/>
      <c r="V56"/>
      <c r="W56"/>
      <c r="X56"/>
    </row>
    <row r="57" spans="1:24">
      <c r="A57" t="s">
        <v>10</v>
      </c>
      <c r="B57" t="s">
        <v>525</v>
      </c>
      <c r="C57" t="s">
        <v>541</v>
      </c>
      <c r="D57" t="s">
        <v>56</v>
      </c>
      <c r="E57" t="s">
        <v>60</v>
      </c>
      <c r="F57" t="s">
        <v>467</v>
      </c>
      <c r="G57" t="s">
        <v>468</v>
      </c>
      <c r="H57" t="s">
        <v>231</v>
      </c>
      <c r="I57" t="s">
        <v>43</v>
      </c>
      <c r="J57" t="s">
        <v>48</v>
      </c>
      <c r="K57" s="4">
        <v>16978</v>
      </c>
      <c r="L57" s="4">
        <v>30</v>
      </c>
      <c r="M57" s="4">
        <v>8367</v>
      </c>
      <c r="N57" s="4">
        <v>15731</v>
      </c>
      <c r="O57" s="4">
        <v>9</v>
      </c>
      <c r="P57" s="3">
        <v>5886.0711000000001</v>
      </c>
      <c r="Q57"/>
      <c r="R57"/>
      <c r="S57"/>
      <c r="T57"/>
      <c r="U57"/>
      <c r="V57"/>
      <c r="W57"/>
      <c r="X57"/>
    </row>
    <row r="58" spans="1:24">
      <c r="A58" t="s">
        <v>10</v>
      </c>
      <c r="B58" t="s">
        <v>525</v>
      </c>
      <c r="C58" t="s">
        <v>542</v>
      </c>
      <c r="D58" t="s">
        <v>54</v>
      </c>
      <c r="E58" t="s">
        <v>59</v>
      </c>
      <c r="F58" t="s">
        <v>467</v>
      </c>
      <c r="G58" t="s">
        <v>468</v>
      </c>
      <c r="H58" t="s">
        <v>208</v>
      </c>
      <c r="I58" t="s">
        <v>36</v>
      </c>
      <c r="J58" t="s">
        <v>47</v>
      </c>
      <c r="K58" s="4">
        <v>38396</v>
      </c>
      <c r="L58" s="4">
        <v>87</v>
      </c>
      <c r="M58" s="4">
        <v>6305</v>
      </c>
      <c r="N58" s="4">
        <v>35118</v>
      </c>
      <c r="O58" s="4">
        <v>9</v>
      </c>
      <c r="P58" s="3">
        <v>5740.1644999999999</v>
      </c>
      <c r="Q58"/>
      <c r="R58"/>
      <c r="S58"/>
      <c r="T58"/>
      <c r="U58"/>
      <c r="V58"/>
      <c r="W58"/>
      <c r="X58"/>
    </row>
    <row r="59" spans="1:24">
      <c r="A59" t="s">
        <v>10</v>
      </c>
      <c r="B59" t="s">
        <v>525</v>
      </c>
      <c r="C59" t="s">
        <v>495</v>
      </c>
      <c r="D59" t="s">
        <v>54</v>
      </c>
      <c r="E59" t="s">
        <v>59</v>
      </c>
      <c r="F59" t="s">
        <v>473</v>
      </c>
      <c r="G59" t="s">
        <v>474</v>
      </c>
      <c r="H59" t="s">
        <v>228</v>
      </c>
      <c r="I59" t="s">
        <v>36</v>
      </c>
      <c r="J59" t="s">
        <v>47</v>
      </c>
      <c r="K59" s="4">
        <v>23711</v>
      </c>
      <c r="L59" s="4">
        <v>69</v>
      </c>
      <c r="M59" s="4">
        <v>4337</v>
      </c>
      <c r="N59" s="4">
        <v>17211</v>
      </c>
      <c r="O59" s="4">
        <v>8</v>
      </c>
      <c r="P59" s="3">
        <v>5740.9521999999997</v>
      </c>
      <c r="Q59"/>
      <c r="R59"/>
      <c r="S59"/>
      <c r="T59"/>
      <c r="U59"/>
      <c r="V59"/>
      <c r="W59"/>
      <c r="X59"/>
    </row>
    <row r="60" spans="1:24">
      <c r="A60" t="s">
        <v>10</v>
      </c>
      <c r="B60" t="s">
        <v>525</v>
      </c>
      <c r="C60" t="s">
        <v>543</v>
      </c>
      <c r="D60" t="s">
        <v>58</v>
      </c>
      <c r="E60" t="s">
        <v>55</v>
      </c>
      <c r="F60" t="s">
        <v>506</v>
      </c>
      <c r="G60" t="s">
        <v>474</v>
      </c>
      <c r="H60" t="s">
        <v>254</v>
      </c>
      <c r="I60" t="s">
        <v>36</v>
      </c>
      <c r="J60" t="s">
        <v>47</v>
      </c>
      <c r="K60" s="4">
        <v>257862</v>
      </c>
      <c r="L60" s="4">
        <v>700</v>
      </c>
      <c r="M60" s="4">
        <v>105048</v>
      </c>
      <c r="N60" s="4">
        <v>238629</v>
      </c>
      <c r="O60" s="4">
        <v>21</v>
      </c>
      <c r="P60" s="3">
        <v>5899.4295000000002</v>
      </c>
      <c r="Q60"/>
      <c r="R60"/>
      <c r="S60"/>
      <c r="T60"/>
      <c r="U60"/>
      <c r="V60"/>
      <c r="W60"/>
      <c r="X60"/>
    </row>
    <row r="61" spans="1:24">
      <c r="A61" t="s">
        <v>10</v>
      </c>
      <c r="B61" t="s">
        <v>525</v>
      </c>
      <c r="C61" t="s">
        <v>544</v>
      </c>
      <c r="D61" t="s">
        <v>56</v>
      </c>
      <c r="E61" t="s">
        <v>59</v>
      </c>
      <c r="F61" t="s">
        <v>480</v>
      </c>
      <c r="G61" t="s">
        <v>460</v>
      </c>
      <c r="H61" t="s">
        <v>213</v>
      </c>
      <c r="I61" t="s">
        <v>36</v>
      </c>
      <c r="J61" t="s">
        <v>49</v>
      </c>
      <c r="K61" s="4">
        <v>104538</v>
      </c>
      <c r="L61" s="4">
        <v>347</v>
      </c>
      <c r="M61" s="4">
        <v>49049</v>
      </c>
      <c r="N61" s="4">
        <v>97093</v>
      </c>
      <c r="O61" s="4">
        <v>2</v>
      </c>
      <c r="P61" s="3">
        <v>5266.4242000000004</v>
      </c>
      <c r="Q61"/>
      <c r="R61"/>
      <c r="S61"/>
      <c r="T61"/>
      <c r="U61"/>
      <c r="V61"/>
      <c r="W61"/>
      <c r="X61"/>
    </row>
    <row r="62" spans="1:24">
      <c r="A62" t="s">
        <v>10</v>
      </c>
      <c r="B62" t="s">
        <v>525</v>
      </c>
      <c r="C62" t="s">
        <v>545</v>
      </c>
      <c r="D62" t="s">
        <v>56</v>
      </c>
      <c r="E62" t="s">
        <v>55</v>
      </c>
      <c r="F62" t="s">
        <v>467</v>
      </c>
      <c r="G62" t="s">
        <v>468</v>
      </c>
      <c r="H62" t="s">
        <v>441</v>
      </c>
      <c r="I62" t="s">
        <v>43</v>
      </c>
      <c r="J62" t="s">
        <v>48</v>
      </c>
      <c r="K62" s="4">
        <v>17075</v>
      </c>
      <c r="L62" s="4">
        <v>44</v>
      </c>
      <c r="M62" s="4">
        <v>5508</v>
      </c>
      <c r="N62" s="4">
        <v>11539</v>
      </c>
      <c r="O62" s="4">
        <v>10</v>
      </c>
      <c r="P62" s="3">
        <v>5086.09</v>
      </c>
      <c r="Q62"/>
      <c r="R62"/>
      <c r="S62"/>
      <c r="T62"/>
      <c r="U62"/>
      <c r="V62"/>
      <c r="W62"/>
      <c r="X62"/>
    </row>
    <row r="63" spans="1:24">
      <c r="A63" t="s">
        <v>10</v>
      </c>
      <c r="B63" t="s">
        <v>525</v>
      </c>
      <c r="C63" t="s">
        <v>546</v>
      </c>
      <c r="D63" t="s">
        <v>54</v>
      </c>
      <c r="E63" t="s">
        <v>57</v>
      </c>
      <c r="F63" t="s">
        <v>547</v>
      </c>
      <c r="G63" t="s">
        <v>460</v>
      </c>
      <c r="H63" t="s">
        <v>250</v>
      </c>
      <c r="I63" t="s">
        <v>38</v>
      </c>
      <c r="J63" t="s">
        <v>47</v>
      </c>
      <c r="K63" s="4">
        <v>38408</v>
      </c>
      <c r="L63" s="4">
        <v>101</v>
      </c>
      <c r="M63" s="4">
        <v>23557</v>
      </c>
      <c r="N63" s="4">
        <v>35247</v>
      </c>
      <c r="O63" s="4">
        <v>7</v>
      </c>
      <c r="P63" s="3">
        <v>5343.4593999999997</v>
      </c>
      <c r="Q63"/>
      <c r="R63"/>
      <c r="S63"/>
      <c r="T63"/>
      <c r="U63"/>
      <c r="V63"/>
      <c r="W63"/>
      <c r="X63"/>
    </row>
    <row r="64" spans="1:24">
      <c r="A64" t="s">
        <v>10</v>
      </c>
      <c r="B64" t="s">
        <v>525</v>
      </c>
      <c r="C64" t="s">
        <v>548</v>
      </c>
      <c r="D64" t="s">
        <v>54</v>
      </c>
      <c r="E64" t="s">
        <v>57</v>
      </c>
      <c r="F64" t="s">
        <v>497</v>
      </c>
      <c r="G64" t="s">
        <v>460</v>
      </c>
      <c r="H64" t="s">
        <v>434</v>
      </c>
      <c r="I64" t="s">
        <v>42</v>
      </c>
      <c r="J64" t="s">
        <v>47</v>
      </c>
      <c r="K64" s="4">
        <v>23941</v>
      </c>
      <c r="L64" s="4">
        <v>150</v>
      </c>
      <c r="M64" s="4">
        <v>13054</v>
      </c>
      <c r="N64" s="4">
        <v>22276</v>
      </c>
      <c r="O64" s="4">
        <v>6</v>
      </c>
      <c r="P64" s="3">
        <v>2856.1653999999999</v>
      </c>
      <c r="Q64"/>
      <c r="R64"/>
      <c r="S64"/>
      <c r="T64"/>
      <c r="U64"/>
      <c r="V64"/>
      <c r="W64"/>
      <c r="X64"/>
    </row>
    <row r="65" spans="1:24">
      <c r="A65" t="s">
        <v>10</v>
      </c>
      <c r="B65" t="s">
        <v>525</v>
      </c>
      <c r="C65" t="s">
        <v>496</v>
      </c>
      <c r="D65" t="s">
        <v>54</v>
      </c>
      <c r="E65" t="s">
        <v>55</v>
      </c>
      <c r="F65" t="s">
        <v>482</v>
      </c>
      <c r="G65" t="s">
        <v>483</v>
      </c>
      <c r="H65" t="s">
        <v>241</v>
      </c>
      <c r="I65" t="s">
        <v>214</v>
      </c>
      <c r="J65" t="s">
        <v>47</v>
      </c>
      <c r="K65" s="4">
        <v>134847</v>
      </c>
      <c r="L65" s="4">
        <v>450</v>
      </c>
      <c r="M65" s="4">
        <v>104268</v>
      </c>
      <c r="N65" s="4">
        <v>128470</v>
      </c>
      <c r="O65" s="4">
        <v>125</v>
      </c>
      <c r="P65" s="3">
        <v>6040.5955999999996</v>
      </c>
      <c r="Q65"/>
      <c r="R65"/>
      <c r="S65"/>
      <c r="T65"/>
      <c r="U65"/>
      <c r="V65"/>
      <c r="W65"/>
      <c r="X65"/>
    </row>
    <row r="66" spans="1:24">
      <c r="A66" t="s">
        <v>10</v>
      </c>
      <c r="B66" t="s">
        <v>525</v>
      </c>
      <c r="C66" t="s">
        <v>549</v>
      </c>
      <c r="D66" t="s">
        <v>54</v>
      </c>
      <c r="E66" t="s">
        <v>55</v>
      </c>
      <c r="F66" t="s">
        <v>471</v>
      </c>
      <c r="G66" t="s">
        <v>464</v>
      </c>
      <c r="H66" t="s">
        <v>228</v>
      </c>
      <c r="I66" t="s">
        <v>40</v>
      </c>
      <c r="J66" t="s">
        <v>47</v>
      </c>
      <c r="K66" s="4">
        <v>23965</v>
      </c>
      <c r="L66" s="4">
        <v>270</v>
      </c>
      <c r="M66" s="4">
        <v>13608</v>
      </c>
      <c r="N66" s="4">
        <v>21704</v>
      </c>
      <c r="O66" s="4">
        <v>12</v>
      </c>
      <c r="P66" s="3">
        <v>5706.8644000000004</v>
      </c>
      <c r="Q66"/>
      <c r="R66"/>
      <c r="S66"/>
      <c r="T66"/>
      <c r="U66"/>
      <c r="V66"/>
      <c r="W66"/>
      <c r="X66"/>
    </row>
    <row r="67" spans="1:24">
      <c r="A67" t="s">
        <v>10</v>
      </c>
      <c r="B67" t="s">
        <v>525</v>
      </c>
      <c r="C67" t="s">
        <v>550</v>
      </c>
      <c r="D67" t="s">
        <v>54</v>
      </c>
      <c r="E67" t="s">
        <v>55</v>
      </c>
      <c r="F67" t="s">
        <v>551</v>
      </c>
      <c r="G67" t="s">
        <v>487</v>
      </c>
      <c r="H67" t="s">
        <v>293</v>
      </c>
      <c r="I67" t="s">
        <v>40</v>
      </c>
      <c r="J67" t="s">
        <v>47</v>
      </c>
      <c r="K67" s="4">
        <v>24100</v>
      </c>
      <c r="L67" s="4">
        <v>110</v>
      </c>
      <c r="M67" s="4">
        <v>11355</v>
      </c>
      <c r="N67" s="4">
        <v>21740</v>
      </c>
      <c r="O67" s="4">
        <v>5</v>
      </c>
      <c r="P67" s="3">
        <v>5912.2610000000004</v>
      </c>
      <c r="Q67"/>
      <c r="R67"/>
      <c r="S67"/>
      <c r="T67"/>
      <c r="U67"/>
      <c r="V67"/>
      <c r="W67"/>
      <c r="X67"/>
    </row>
    <row r="68" spans="1:24">
      <c r="A68" t="s">
        <v>10</v>
      </c>
      <c r="B68" t="s">
        <v>525</v>
      </c>
      <c r="C68" t="s">
        <v>552</v>
      </c>
      <c r="D68" t="s">
        <v>56</v>
      </c>
      <c r="E68" t="s">
        <v>57</v>
      </c>
      <c r="F68" t="s">
        <v>506</v>
      </c>
      <c r="G68" t="s">
        <v>474</v>
      </c>
      <c r="H68" t="s">
        <v>218</v>
      </c>
      <c r="I68" t="s">
        <v>253</v>
      </c>
      <c r="J68" t="s">
        <v>47</v>
      </c>
      <c r="K68" s="4">
        <v>335461</v>
      </c>
      <c r="L68" s="4">
        <v>963</v>
      </c>
      <c r="M68" s="4">
        <v>171464</v>
      </c>
      <c r="N68" s="4">
        <v>247450</v>
      </c>
      <c r="O68" s="4">
        <v>5</v>
      </c>
      <c r="P68" s="3">
        <v>4445.8746000000001</v>
      </c>
      <c r="Q68"/>
      <c r="R68"/>
      <c r="S68"/>
      <c r="T68"/>
      <c r="U68"/>
      <c r="V68"/>
      <c r="W68"/>
      <c r="X68"/>
    </row>
    <row r="69" spans="1:24">
      <c r="A69" t="s">
        <v>10</v>
      </c>
      <c r="B69" t="s">
        <v>525</v>
      </c>
      <c r="C69" t="s">
        <v>500</v>
      </c>
      <c r="D69" t="s">
        <v>56</v>
      </c>
      <c r="E69" t="s">
        <v>57</v>
      </c>
      <c r="F69" t="s">
        <v>467</v>
      </c>
      <c r="G69" t="s">
        <v>468</v>
      </c>
      <c r="H69" t="s">
        <v>358</v>
      </c>
      <c r="I69" t="s">
        <v>38</v>
      </c>
      <c r="J69" t="s">
        <v>47</v>
      </c>
      <c r="K69" s="4">
        <v>7691</v>
      </c>
      <c r="L69" s="4">
        <v>0</v>
      </c>
      <c r="M69" s="4">
        <v>3890</v>
      </c>
      <c r="N69" s="4">
        <v>5905</v>
      </c>
      <c r="O69" s="4">
        <v>1</v>
      </c>
      <c r="P69" s="3">
        <v>5927.8068000000003</v>
      </c>
      <c r="Q69"/>
      <c r="R69"/>
      <c r="S69"/>
      <c r="T69"/>
      <c r="U69"/>
      <c r="V69"/>
      <c r="W69"/>
      <c r="X69"/>
    </row>
    <row r="70" spans="1:24">
      <c r="A70" t="s">
        <v>10</v>
      </c>
      <c r="B70" t="s">
        <v>525</v>
      </c>
      <c r="C70" t="s">
        <v>502</v>
      </c>
      <c r="D70" t="s">
        <v>54</v>
      </c>
      <c r="E70" t="s">
        <v>60</v>
      </c>
      <c r="F70" t="s">
        <v>467</v>
      </c>
      <c r="G70" t="s">
        <v>468</v>
      </c>
      <c r="H70" t="s">
        <v>393</v>
      </c>
      <c r="I70" t="s">
        <v>36</v>
      </c>
      <c r="J70" t="s">
        <v>47</v>
      </c>
      <c r="K70" s="4">
        <v>17317</v>
      </c>
      <c r="L70" s="4">
        <v>68</v>
      </c>
      <c r="M70" s="4">
        <v>8055</v>
      </c>
      <c r="N70" s="4">
        <v>12724</v>
      </c>
      <c r="O70" s="4">
        <v>12</v>
      </c>
      <c r="P70" s="3">
        <v>5668.8571000000002</v>
      </c>
      <c r="Q70"/>
      <c r="R70"/>
      <c r="S70"/>
      <c r="T70"/>
      <c r="U70"/>
      <c r="V70"/>
      <c r="W70"/>
      <c r="X70"/>
    </row>
    <row r="71" spans="1:24">
      <c r="A71" t="s">
        <v>10</v>
      </c>
      <c r="B71" t="s">
        <v>525</v>
      </c>
      <c r="C71" t="s">
        <v>553</v>
      </c>
      <c r="D71" t="s">
        <v>54</v>
      </c>
      <c r="E71" t="s">
        <v>55</v>
      </c>
      <c r="F71" t="s">
        <v>506</v>
      </c>
      <c r="G71" t="s">
        <v>474</v>
      </c>
      <c r="H71" t="s">
        <v>356</v>
      </c>
      <c r="I71" t="s">
        <v>38</v>
      </c>
      <c r="J71" t="s">
        <v>47</v>
      </c>
      <c r="K71" s="4">
        <v>7769</v>
      </c>
      <c r="L71" s="4">
        <v>10</v>
      </c>
      <c r="M71" s="4">
        <v>3152</v>
      </c>
      <c r="N71" s="4">
        <v>6464</v>
      </c>
      <c r="O71" s="4">
        <v>1</v>
      </c>
      <c r="P71" s="3">
        <v>5603.0481</v>
      </c>
      <c r="Q71"/>
      <c r="R71"/>
      <c r="S71"/>
      <c r="T71"/>
      <c r="U71"/>
      <c r="V71"/>
      <c r="W71"/>
      <c r="X71"/>
    </row>
    <row r="72" spans="1:24">
      <c r="A72" t="s">
        <v>10</v>
      </c>
      <c r="B72" t="s">
        <v>525</v>
      </c>
      <c r="C72" t="s">
        <v>554</v>
      </c>
      <c r="D72" t="s">
        <v>54</v>
      </c>
      <c r="E72" t="s">
        <v>57</v>
      </c>
      <c r="F72" t="s">
        <v>467</v>
      </c>
      <c r="G72" t="s">
        <v>468</v>
      </c>
      <c r="H72" t="s">
        <v>218</v>
      </c>
      <c r="I72" t="s">
        <v>44</v>
      </c>
      <c r="J72" t="s">
        <v>47</v>
      </c>
      <c r="K72" s="4">
        <v>3196231</v>
      </c>
      <c r="L72" s="4">
        <v>8745</v>
      </c>
      <c r="M72" s="4">
        <v>2013324</v>
      </c>
      <c r="N72" s="4">
        <v>2669103</v>
      </c>
      <c r="O72" s="4">
        <v>70</v>
      </c>
      <c r="P72" s="3">
        <v>5756.2712000000001</v>
      </c>
      <c r="Q72"/>
      <c r="R72"/>
      <c r="S72"/>
      <c r="T72"/>
      <c r="U72"/>
      <c r="V72"/>
      <c r="W72"/>
      <c r="X72"/>
    </row>
    <row r="73" spans="1:24">
      <c r="A73" t="s">
        <v>10</v>
      </c>
      <c r="B73" t="s">
        <v>525</v>
      </c>
      <c r="C73" t="s">
        <v>555</v>
      </c>
      <c r="D73" t="s">
        <v>54</v>
      </c>
      <c r="E73" t="s">
        <v>57</v>
      </c>
      <c r="F73" t="s">
        <v>556</v>
      </c>
      <c r="G73" t="s">
        <v>464</v>
      </c>
      <c r="H73" t="s">
        <v>325</v>
      </c>
      <c r="I73" t="s">
        <v>38</v>
      </c>
      <c r="J73" t="s">
        <v>47</v>
      </c>
      <c r="K73" s="4">
        <v>14047</v>
      </c>
      <c r="L73" s="4">
        <v>44</v>
      </c>
      <c r="M73" s="4">
        <v>9934</v>
      </c>
      <c r="N73" s="4">
        <v>13377</v>
      </c>
      <c r="O73" s="4">
        <v>7</v>
      </c>
      <c r="P73" s="3">
        <v>5729.6508000000003</v>
      </c>
      <c r="Q73"/>
      <c r="R73"/>
      <c r="S73"/>
      <c r="T73"/>
      <c r="U73"/>
      <c r="V73"/>
      <c r="W73"/>
      <c r="X73"/>
    </row>
    <row r="74" spans="1:24">
      <c r="A74" t="s">
        <v>10</v>
      </c>
      <c r="B74" t="s">
        <v>525</v>
      </c>
      <c r="C74" t="s">
        <v>557</v>
      </c>
      <c r="D74" t="s">
        <v>56</v>
      </c>
      <c r="E74" t="s">
        <v>59</v>
      </c>
      <c r="F74" t="s">
        <v>467</v>
      </c>
      <c r="G74" t="s">
        <v>468</v>
      </c>
      <c r="H74" t="s">
        <v>257</v>
      </c>
      <c r="I74" t="s">
        <v>38</v>
      </c>
      <c r="J74" t="s">
        <v>47</v>
      </c>
      <c r="K74" s="4">
        <v>14083</v>
      </c>
      <c r="L74" s="4">
        <v>97</v>
      </c>
      <c r="M74" s="4">
        <v>9945</v>
      </c>
      <c r="N74" s="4">
        <v>12878</v>
      </c>
      <c r="O74" s="4">
        <v>11</v>
      </c>
      <c r="P74" s="3">
        <v>5979.67</v>
      </c>
      <c r="Q74"/>
      <c r="R74"/>
      <c r="S74"/>
      <c r="T74"/>
      <c r="U74"/>
      <c r="V74"/>
      <c r="W74"/>
      <c r="X74"/>
    </row>
    <row r="75" spans="1:24">
      <c r="A75" t="s">
        <v>10</v>
      </c>
      <c r="B75" t="s">
        <v>525</v>
      </c>
      <c r="C75" t="s">
        <v>558</v>
      </c>
      <c r="D75" t="s">
        <v>54</v>
      </c>
      <c r="E75" t="s">
        <v>60</v>
      </c>
      <c r="F75" t="s">
        <v>559</v>
      </c>
      <c r="G75" t="s">
        <v>560</v>
      </c>
      <c r="H75" t="s">
        <v>321</v>
      </c>
      <c r="I75" t="s">
        <v>36</v>
      </c>
      <c r="J75" t="s">
        <v>47</v>
      </c>
      <c r="K75" s="4">
        <v>109709</v>
      </c>
      <c r="L75" s="4">
        <v>278</v>
      </c>
      <c r="M75" s="4">
        <v>3064</v>
      </c>
      <c r="N75" s="4">
        <v>15428</v>
      </c>
      <c r="O75" s="4">
        <v>20</v>
      </c>
      <c r="P75" s="3">
        <v>5409.0839999999998</v>
      </c>
      <c r="Q75"/>
      <c r="R75"/>
      <c r="S75"/>
      <c r="T75"/>
      <c r="U75"/>
      <c r="V75"/>
      <c r="W75"/>
      <c r="X75"/>
    </row>
    <row r="76" spans="1:24">
      <c r="A76" t="s">
        <v>10</v>
      </c>
      <c r="B76" t="s">
        <v>525</v>
      </c>
      <c r="C76" t="s">
        <v>561</v>
      </c>
      <c r="D76" t="s">
        <v>58</v>
      </c>
      <c r="E76" t="s">
        <v>57</v>
      </c>
      <c r="F76" t="s">
        <v>473</v>
      </c>
      <c r="G76" t="s">
        <v>474</v>
      </c>
      <c r="H76" t="s">
        <v>385</v>
      </c>
      <c r="I76" t="s">
        <v>36</v>
      </c>
      <c r="J76" t="s">
        <v>47</v>
      </c>
      <c r="K76" s="4">
        <v>17382</v>
      </c>
      <c r="L76" s="4">
        <v>100</v>
      </c>
      <c r="M76" s="4">
        <v>7411</v>
      </c>
      <c r="N76" s="4">
        <v>16576</v>
      </c>
      <c r="O76" s="4">
        <v>8</v>
      </c>
      <c r="P76" s="3">
        <v>5797.22</v>
      </c>
      <c r="Q76"/>
      <c r="R76"/>
      <c r="S76"/>
      <c r="T76"/>
      <c r="U76"/>
      <c r="V76"/>
      <c r="W76"/>
      <c r="X76"/>
    </row>
    <row r="77" spans="1:24">
      <c r="A77" t="s">
        <v>10</v>
      </c>
      <c r="B77" t="s">
        <v>525</v>
      </c>
      <c r="C77" t="s">
        <v>507</v>
      </c>
      <c r="D77" t="s">
        <v>56</v>
      </c>
      <c r="E77" t="s">
        <v>55</v>
      </c>
      <c r="F77" t="s">
        <v>547</v>
      </c>
      <c r="G77" t="s">
        <v>460</v>
      </c>
      <c r="H77" t="s">
        <v>208</v>
      </c>
      <c r="I77" t="s">
        <v>36</v>
      </c>
      <c r="J77" t="s">
        <v>47</v>
      </c>
      <c r="K77" s="4">
        <v>7789</v>
      </c>
      <c r="L77" s="4">
        <v>30</v>
      </c>
      <c r="M77" s="4">
        <v>4655</v>
      </c>
      <c r="N77" s="4">
        <v>7434</v>
      </c>
      <c r="O77" s="4">
        <v>1</v>
      </c>
      <c r="P77" s="3">
        <v>6396.8688000000002</v>
      </c>
      <c r="Q77"/>
      <c r="R77"/>
      <c r="S77"/>
      <c r="T77"/>
      <c r="U77"/>
      <c r="V77"/>
      <c r="W77"/>
      <c r="X77"/>
    </row>
    <row r="78" spans="1:24">
      <c r="A78" t="s">
        <v>10</v>
      </c>
      <c r="B78" t="s">
        <v>525</v>
      </c>
      <c r="C78" t="s">
        <v>562</v>
      </c>
      <c r="D78" t="s">
        <v>54</v>
      </c>
      <c r="E78" t="s">
        <v>55</v>
      </c>
      <c r="F78" t="s">
        <v>482</v>
      </c>
      <c r="G78" t="s">
        <v>483</v>
      </c>
      <c r="H78" t="s">
        <v>423</v>
      </c>
      <c r="I78" t="s">
        <v>36</v>
      </c>
      <c r="J78" t="s">
        <v>47</v>
      </c>
      <c r="K78" s="4">
        <v>7806</v>
      </c>
      <c r="L78" s="4">
        <v>20</v>
      </c>
      <c r="M78" s="4">
        <v>3150</v>
      </c>
      <c r="N78" s="4">
        <v>7247</v>
      </c>
      <c r="O78" s="4">
        <v>1</v>
      </c>
      <c r="P78" s="3">
        <v>6162.3208000000004</v>
      </c>
      <c r="Q78"/>
      <c r="R78"/>
      <c r="S78"/>
      <c r="T78"/>
      <c r="U78"/>
      <c r="V78"/>
      <c r="W78"/>
      <c r="X78"/>
    </row>
    <row r="79" spans="1:24">
      <c r="A79" t="s">
        <v>10</v>
      </c>
      <c r="B79" t="s">
        <v>563</v>
      </c>
      <c r="C79" t="s">
        <v>564</v>
      </c>
      <c r="D79" t="s">
        <v>54</v>
      </c>
      <c r="E79" t="s">
        <v>57</v>
      </c>
      <c r="F79" t="s">
        <v>467</v>
      </c>
      <c r="G79" t="s">
        <v>468</v>
      </c>
      <c r="H79" t="s">
        <v>213</v>
      </c>
      <c r="I79" t="s">
        <v>36</v>
      </c>
      <c r="J79" t="s">
        <v>47</v>
      </c>
      <c r="K79" s="4">
        <v>102884</v>
      </c>
      <c r="L79" s="4">
        <v>299</v>
      </c>
      <c r="M79" s="4">
        <v>42841</v>
      </c>
      <c r="N79" s="4">
        <v>96539</v>
      </c>
      <c r="O79" s="4">
        <v>6</v>
      </c>
      <c r="P79" s="3">
        <v>2015.4483</v>
      </c>
      <c r="Q79"/>
      <c r="R79"/>
      <c r="S79"/>
      <c r="T79"/>
      <c r="U79"/>
      <c r="V79"/>
      <c r="W79"/>
      <c r="X79"/>
    </row>
    <row r="80" spans="1:24">
      <c r="A80" t="s">
        <v>10</v>
      </c>
      <c r="B80" t="s">
        <v>563</v>
      </c>
      <c r="C80" t="s">
        <v>565</v>
      </c>
      <c r="D80" t="s">
        <v>56</v>
      </c>
      <c r="E80" t="s">
        <v>55</v>
      </c>
      <c r="F80" t="s">
        <v>482</v>
      </c>
      <c r="G80" t="s">
        <v>483</v>
      </c>
      <c r="H80" t="s">
        <v>215</v>
      </c>
      <c r="I80" t="s">
        <v>36</v>
      </c>
      <c r="J80" t="s">
        <v>47</v>
      </c>
      <c r="K80" s="4">
        <v>1116343</v>
      </c>
      <c r="L80" s="4">
        <v>3104</v>
      </c>
      <c r="M80" s="4">
        <v>550519</v>
      </c>
      <c r="N80" s="4">
        <v>977978</v>
      </c>
      <c r="O80" s="4">
        <v>9</v>
      </c>
      <c r="P80" s="3">
        <v>2494.2175999999999</v>
      </c>
      <c r="Q80"/>
      <c r="R80"/>
      <c r="S80"/>
      <c r="T80"/>
      <c r="U80"/>
      <c r="V80"/>
      <c r="W80"/>
      <c r="X80"/>
    </row>
    <row r="81" spans="1:24">
      <c r="A81" t="s">
        <v>10</v>
      </c>
      <c r="B81" t="s">
        <v>566</v>
      </c>
      <c r="D81" t="s">
        <v>54</v>
      </c>
      <c r="E81" t="s">
        <v>60</v>
      </c>
      <c r="F81" t="s">
        <v>506</v>
      </c>
      <c r="G81" t="s">
        <v>474</v>
      </c>
      <c r="H81" t="s">
        <v>218</v>
      </c>
      <c r="I81" t="s">
        <v>40</v>
      </c>
      <c r="J81" t="s">
        <v>47</v>
      </c>
      <c r="K81" s="4">
        <v>1601933</v>
      </c>
      <c r="L81" s="4">
        <v>4265</v>
      </c>
      <c r="M81" s="4">
        <v>1135085</v>
      </c>
      <c r="N81" s="4">
        <v>1487426</v>
      </c>
      <c r="O81" s="4">
        <v>29</v>
      </c>
      <c r="P81" s="3">
        <v>6785.7097999999996</v>
      </c>
      <c r="Q81"/>
      <c r="R81"/>
      <c r="S81"/>
      <c r="T81"/>
      <c r="U81"/>
      <c r="V81"/>
      <c r="W81"/>
      <c r="X81"/>
    </row>
    <row r="82" spans="1:24">
      <c r="A82" t="s">
        <v>10</v>
      </c>
      <c r="B82" t="s">
        <v>567</v>
      </c>
      <c r="C82" t="s">
        <v>568</v>
      </c>
      <c r="D82" t="s">
        <v>58</v>
      </c>
      <c r="E82" t="s">
        <v>55</v>
      </c>
      <c r="F82" t="s">
        <v>506</v>
      </c>
      <c r="G82" t="s">
        <v>474</v>
      </c>
      <c r="H82" t="s">
        <v>418</v>
      </c>
      <c r="I82" t="s">
        <v>36</v>
      </c>
      <c r="J82" t="s">
        <v>47</v>
      </c>
      <c r="K82" s="4">
        <v>9238</v>
      </c>
      <c r="L82" s="4">
        <v>84</v>
      </c>
      <c r="M82" s="4">
        <v>4626</v>
      </c>
      <c r="N82" s="4">
        <v>8264</v>
      </c>
      <c r="O82" s="4">
        <v>15</v>
      </c>
      <c r="P82" s="3">
        <v>6683.2254999999996</v>
      </c>
      <c r="Q82"/>
      <c r="R82"/>
      <c r="S82"/>
      <c r="T82"/>
      <c r="U82"/>
      <c r="V82"/>
      <c r="W82"/>
      <c r="X82"/>
    </row>
    <row r="83" spans="1:24">
      <c r="A83" t="s">
        <v>10</v>
      </c>
      <c r="B83" t="s">
        <v>567</v>
      </c>
      <c r="C83" t="s">
        <v>569</v>
      </c>
      <c r="D83" t="s">
        <v>54</v>
      </c>
      <c r="E83" t="s">
        <v>57</v>
      </c>
      <c r="F83" t="s">
        <v>570</v>
      </c>
      <c r="G83" t="s">
        <v>460</v>
      </c>
      <c r="H83" t="s">
        <v>254</v>
      </c>
      <c r="I83" t="s">
        <v>40</v>
      </c>
      <c r="J83" t="s">
        <v>47</v>
      </c>
      <c r="K83" s="4">
        <v>42884</v>
      </c>
      <c r="L83" s="4">
        <v>104</v>
      </c>
      <c r="M83" s="4">
        <v>4345</v>
      </c>
      <c r="N83" s="4">
        <v>25153</v>
      </c>
      <c r="O83" s="4">
        <v>9</v>
      </c>
      <c r="P83" s="3">
        <v>6322.1526999999996</v>
      </c>
      <c r="Q83"/>
      <c r="R83"/>
      <c r="S83"/>
      <c r="T83"/>
      <c r="U83"/>
      <c r="V83"/>
      <c r="W83"/>
      <c r="X83"/>
    </row>
    <row r="84" spans="1:24">
      <c r="A84" t="s">
        <v>10</v>
      </c>
      <c r="B84" t="s">
        <v>567</v>
      </c>
      <c r="C84" t="s">
        <v>571</v>
      </c>
      <c r="D84" t="s">
        <v>54</v>
      </c>
      <c r="E84" t="s">
        <v>59</v>
      </c>
      <c r="F84" t="s">
        <v>572</v>
      </c>
      <c r="G84" t="s">
        <v>512</v>
      </c>
      <c r="H84" t="s">
        <v>213</v>
      </c>
      <c r="I84" t="s">
        <v>313</v>
      </c>
      <c r="J84" t="s">
        <v>47</v>
      </c>
      <c r="K84" s="4">
        <v>83957</v>
      </c>
      <c r="L84" s="4">
        <v>185</v>
      </c>
      <c r="M84" s="4">
        <v>1420</v>
      </c>
      <c r="N84" s="4">
        <v>69246</v>
      </c>
      <c r="O84" s="4">
        <v>19</v>
      </c>
      <c r="P84" s="3">
        <v>6651.5145000000002</v>
      </c>
      <c r="Q84"/>
      <c r="R84"/>
      <c r="S84"/>
      <c r="T84"/>
      <c r="U84"/>
      <c r="V84"/>
      <c r="W84"/>
      <c r="X84"/>
    </row>
    <row r="85" spans="1:24">
      <c r="A85" t="s">
        <v>10</v>
      </c>
      <c r="B85" t="s">
        <v>573</v>
      </c>
      <c r="D85" t="s">
        <v>58</v>
      </c>
      <c r="E85" t="s">
        <v>59</v>
      </c>
      <c r="F85" t="s">
        <v>482</v>
      </c>
      <c r="G85" t="s">
        <v>483</v>
      </c>
      <c r="H85" t="s">
        <v>373</v>
      </c>
      <c r="I85" t="s">
        <v>36</v>
      </c>
      <c r="J85" t="s">
        <v>47</v>
      </c>
      <c r="K85" s="4">
        <v>17518</v>
      </c>
      <c r="L85" s="4">
        <v>60</v>
      </c>
      <c r="M85" s="4">
        <v>11513</v>
      </c>
      <c r="N85" s="4">
        <v>16192</v>
      </c>
      <c r="O85" s="4">
        <v>12</v>
      </c>
      <c r="P85" s="3">
        <v>6765.0003999999999</v>
      </c>
      <c r="Q85"/>
      <c r="R85"/>
      <c r="S85"/>
      <c r="T85"/>
      <c r="U85"/>
      <c r="V85"/>
      <c r="W85"/>
      <c r="X85"/>
    </row>
    <row r="86" spans="1:24">
      <c r="A86" t="s">
        <v>10</v>
      </c>
      <c r="B86" t="s">
        <v>574</v>
      </c>
      <c r="C86" t="s">
        <v>575</v>
      </c>
      <c r="D86" t="s">
        <v>56</v>
      </c>
      <c r="E86" t="s">
        <v>57</v>
      </c>
      <c r="F86" t="s">
        <v>473</v>
      </c>
      <c r="G86" t="s">
        <v>474</v>
      </c>
      <c r="H86" t="s">
        <v>396</v>
      </c>
      <c r="I86" t="s">
        <v>36</v>
      </c>
      <c r="J86" t="s">
        <v>47</v>
      </c>
      <c r="K86" s="4">
        <v>12391</v>
      </c>
      <c r="L86" s="4">
        <v>40</v>
      </c>
      <c r="M86" s="4">
        <v>5756</v>
      </c>
      <c r="N86" s="4">
        <v>11636</v>
      </c>
      <c r="O86" s="4">
        <v>4</v>
      </c>
      <c r="P86" s="3">
        <v>3069.1235000000001</v>
      </c>
      <c r="Q86"/>
      <c r="R86"/>
      <c r="S86"/>
      <c r="T86"/>
      <c r="U86"/>
      <c r="V86"/>
      <c r="W86"/>
      <c r="X86"/>
    </row>
    <row r="87" spans="1:24">
      <c r="A87" t="s">
        <v>10</v>
      </c>
      <c r="B87" t="s">
        <v>574</v>
      </c>
      <c r="C87" t="s">
        <v>576</v>
      </c>
      <c r="D87" t="s">
        <v>54</v>
      </c>
      <c r="E87" t="s">
        <v>55</v>
      </c>
      <c r="F87" t="s">
        <v>497</v>
      </c>
      <c r="G87" t="s">
        <v>460</v>
      </c>
      <c r="H87" t="s">
        <v>403</v>
      </c>
      <c r="I87" t="s">
        <v>36</v>
      </c>
      <c r="J87" t="s">
        <v>47</v>
      </c>
      <c r="K87" s="4">
        <v>11325</v>
      </c>
      <c r="L87" s="4">
        <v>88</v>
      </c>
      <c r="M87" s="4">
        <v>6186</v>
      </c>
      <c r="N87" s="4">
        <v>10612</v>
      </c>
      <c r="O87" s="4">
        <v>2</v>
      </c>
      <c r="P87" s="3">
        <v>1573.2541000000001</v>
      </c>
      <c r="Q87"/>
      <c r="R87"/>
      <c r="S87"/>
      <c r="T87"/>
      <c r="U87"/>
      <c r="V87"/>
      <c r="W87"/>
      <c r="X87"/>
    </row>
    <row r="88" spans="1:24">
      <c r="A88" t="s">
        <v>10</v>
      </c>
      <c r="B88" t="s">
        <v>574</v>
      </c>
      <c r="C88" t="s">
        <v>577</v>
      </c>
      <c r="D88" t="s">
        <v>54</v>
      </c>
      <c r="E88" t="s">
        <v>60</v>
      </c>
      <c r="F88" t="s">
        <v>578</v>
      </c>
      <c r="G88" t="s">
        <v>560</v>
      </c>
      <c r="H88" t="s">
        <v>435</v>
      </c>
      <c r="I88" t="s">
        <v>42</v>
      </c>
      <c r="J88" t="s">
        <v>47</v>
      </c>
      <c r="K88" s="4">
        <v>19829</v>
      </c>
      <c r="L88" s="4">
        <v>42</v>
      </c>
      <c r="M88" s="4">
        <v>15071</v>
      </c>
      <c r="N88" s="4">
        <v>19095</v>
      </c>
      <c r="O88" s="4">
        <v>2</v>
      </c>
      <c r="P88" s="3">
        <v>1952.4638</v>
      </c>
      <c r="Q88"/>
      <c r="R88"/>
      <c r="S88"/>
      <c r="T88"/>
      <c r="U88"/>
      <c r="V88"/>
      <c r="W88"/>
      <c r="X88"/>
    </row>
    <row r="89" spans="1:24">
      <c r="A89" t="s">
        <v>10</v>
      </c>
      <c r="B89" t="s">
        <v>579</v>
      </c>
      <c r="C89" t="s">
        <v>580</v>
      </c>
      <c r="D89" t="s">
        <v>54</v>
      </c>
      <c r="E89" t="s">
        <v>55</v>
      </c>
      <c r="F89" t="s">
        <v>506</v>
      </c>
      <c r="G89" t="s">
        <v>474</v>
      </c>
      <c r="H89" t="s">
        <v>443</v>
      </c>
      <c r="I89" t="s">
        <v>43</v>
      </c>
      <c r="J89" t="s">
        <v>47</v>
      </c>
      <c r="K89" s="4">
        <v>9157</v>
      </c>
      <c r="L89" s="4">
        <v>60</v>
      </c>
      <c r="M89" s="4">
        <v>4520</v>
      </c>
      <c r="N89" s="4">
        <v>8037</v>
      </c>
      <c r="O89" s="4">
        <v>2</v>
      </c>
      <c r="P89" s="3">
        <v>1449.1777999999999</v>
      </c>
      <c r="Q89"/>
      <c r="R89"/>
      <c r="S89"/>
      <c r="T89"/>
      <c r="U89"/>
      <c r="V89"/>
      <c r="W89"/>
      <c r="X89"/>
    </row>
    <row r="90" spans="1:24">
      <c r="A90" t="s">
        <v>10</v>
      </c>
      <c r="B90" t="s">
        <v>581</v>
      </c>
      <c r="C90" t="s">
        <v>18</v>
      </c>
      <c r="D90" t="s">
        <v>56</v>
      </c>
      <c r="E90" t="s">
        <v>57</v>
      </c>
      <c r="F90" t="s">
        <v>467</v>
      </c>
      <c r="G90" t="s">
        <v>468</v>
      </c>
      <c r="H90" t="s">
        <v>218</v>
      </c>
      <c r="I90" t="s">
        <v>36</v>
      </c>
      <c r="J90" t="s">
        <v>49</v>
      </c>
      <c r="K90" s="4">
        <v>29834</v>
      </c>
      <c r="L90" s="4">
        <v>99</v>
      </c>
      <c r="M90" s="4">
        <v>14599</v>
      </c>
      <c r="N90" s="4">
        <v>24656</v>
      </c>
      <c r="O90" s="4">
        <v>14</v>
      </c>
      <c r="P90" s="3">
        <v>6032.8370999999997</v>
      </c>
      <c r="Q90"/>
      <c r="R90"/>
      <c r="S90"/>
      <c r="T90"/>
      <c r="U90"/>
      <c r="V90"/>
      <c r="W90"/>
      <c r="X90"/>
    </row>
    <row r="91" spans="1:24">
      <c r="A91" t="s">
        <v>10</v>
      </c>
      <c r="B91" t="s">
        <v>581</v>
      </c>
      <c r="C91" t="s">
        <v>582</v>
      </c>
      <c r="D91" t="s">
        <v>56</v>
      </c>
      <c r="E91" t="s">
        <v>59</v>
      </c>
      <c r="F91" t="s">
        <v>583</v>
      </c>
      <c r="G91" t="s">
        <v>464</v>
      </c>
      <c r="H91" t="s">
        <v>215</v>
      </c>
      <c r="I91" t="s">
        <v>42</v>
      </c>
      <c r="J91" t="s">
        <v>47</v>
      </c>
      <c r="K91" s="4">
        <v>818919</v>
      </c>
      <c r="L91" s="4">
        <v>1987</v>
      </c>
      <c r="M91" s="4">
        <v>395852</v>
      </c>
      <c r="N91" s="4">
        <v>699064</v>
      </c>
      <c r="O91" s="4">
        <v>22</v>
      </c>
      <c r="P91" s="3">
        <v>6012.1025</v>
      </c>
      <c r="Q91"/>
      <c r="R91"/>
      <c r="S91"/>
      <c r="T91"/>
      <c r="U91"/>
      <c r="V91"/>
      <c r="W91"/>
      <c r="X91"/>
    </row>
    <row r="92" spans="1:24">
      <c r="A92" t="s">
        <v>10</v>
      </c>
      <c r="B92" t="s">
        <v>581</v>
      </c>
      <c r="C92" t="s">
        <v>584</v>
      </c>
      <c r="D92" t="s">
        <v>58</v>
      </c>
      <c r="E92" t="s">
        <v>60</v>
      </c>
      <c r="F92" t="s">
        <v>467</v>
      </c>
      <c r="G92" t="s">
        <v>468</v>
      </c>
      <c r="H92" t="s">
        <v>257</v>
      </c>
      <c r="I92" t="s">
        <v>36</v>
      </c>
      <c r="J92" t="s">
        <v>47</v>
      </c>
      <c r="K92" s="4">
        <v>100058</v>
      </c>
      <c r="L92" s="4">
        <v>435</v>
      </c>
      <c r="M92" s="4">
        <v>73422</v>
      </c>
      <c r="N92" s="4">
        <v>91976</v>
      </c>
      <c r="O92" s="4">
        <v>8</v>
      </c>
      <c r="P92" s="3">
        <v>5831.2258000000002</v>
      </c>
      <c r="Q92"/>
      <c r="R92"/>
      <c r="S92"/>
      <c r="T92"/>
      <c r="U92"/>
      <c r="V92"/>
      <c r="W92"/>
      <c r="X92"/>
    </row>
    <row r="93" spans="1:24">
      <c r="A93" t="s">
        <v>10</v>
      </c>
      <c r="B93" t="s">
        <v>581</v>
      </c>
      <c r="C93" t="s">
        <v>176</v>
      </c>
      <c r="D93" t="s">
        <v>56</v>
      </c>
      <c r="E93" t="s">
        <v>59</v>
      </c>
      <c r="F93" t="s">
        <v>506</v>
      </c>
      <c r="G93" t="s">
        <v>474</v>
      </c>
      <c r="H93" t="s">
        <v>254</v>
      </c>
      <c r="I93" t="s">
        <v>36</v>
      </c>
      <c r="J93" t="s">
        <v>49</v>
      </c>
      <c r="K93" s="4">
        <v>29856</v>
      </c>
      <c r="L93" s="4">
        <v>111</v>
      </c>
      <c r="M93" s="4">
        <v>7664</v>
      </c>
      <c r="N93" s="4">
        <v>21698</v>
      </c>
      <c r="O93" s="4">
        <v>9</v>
      </c>
      <c r="P93" s="3">
        <v>4851.3944000000001</v>
      </c>
      <c r="Q93"/>
      <c r="R93"/>
      <c r="S93"/>
      <c r="T93"/>
      <c r="U93"/>
      <c r="V93"/>
      <c r="W93"/>
      <c r="X93"/>
    </row>
    <row r="94" spans="1:24">
      <c r="A94" t="s">
        <v>10</v>
      </c>
      <c r="B94" t="s">
        <v>182</v>
      </c>
      <c r="C94" t="s">
        <v>585</v>
      </c>
      <c r="D94" t="s">
        <v>54</v>
      </c>
      <c r="E94" t="s">
        <v>55</v>
      </c>
      <c r="F94" t="s">
        <v>489</v>
      </c>
      <c r="G94" t="s">
        <v>460</v>
      </c>
      <c r="H94" t="s">
        <v>289</v>
      </c>
      <c r="I94" t="s">
        <v>36</v>
      </c>
      <c r="J94" t="s">
        <v>47</v>
      </c>
      <c r="K94" s="4">
        <v>102905</v>
      </c>
      <c r="L94" s="4">
        <v>421</v>
      </c>
      <c r="M94" s="4">
        <v>45324</v>
      </c>
      <c r="N94" s="4">
        <v>99065</v>
      </c>
      <c r="O94" s="4">
        <v>1</v>
      </c>
      <c r="P94" s="3">
        <v>6407.5817999999999</v>
      </c>
      <c r="Q94"/>
      <c r="R94"/>
      <c r="S94"/>
      <c r="T94"/>
      <c r="U94"/>
      <c r="V94"/>
      <c r="W94"/>
      <c r="X94"/>
    </row>
    <row r="95" spans="1:24">
      <c r="A95" t="s">
        <v>10</v>
      </c>
      <c r="B95" t="s">
        <v>182</v>
      </c>
      <c r="C95" t="s">
        <v>586</v>
      </c>
      <c r="D95" t="s">
        <v>54</v>
      </c>
      <c r="E95" t="s">
        <v>55</v>
      </c>
      <c r="F95" t="s">
        <v>467</v>
      </c>
      <c r="G95" t="s">
        <v>468</v>
      </c>
      <c r="H95" t="s">
        <v>254</v>
      </c>
      <c r="I95" t="s">
        <v>36</v>
      </c>
      <c r="J95" t="s">
        <v>47</v>
      </c>
      <c r="K95" s="4">
        <v>43327</v>
      </c>
      <c r="L95" s="4">
        <v>140</v>
      </c>
      <c r="M95" s="4">
        <v>4689</v>
      </c>
      <c r="N95" s="4">
        <v>31363</v>
      </c>
      <c r="O95" s="4">
        <v>14</v>
      </c>
      <c r="P95" s="3">
        <v>4554.8769000000002</v>
      </c>
      <c r="Q95"/>
      <c r="R95"/>
      <c r="S95"/>
      <c r="T95"/>
      <c r="U95"/>
      <c r="V95"/>
      <c r="W95"/>
      <c r="X95"/>
    </row>
    <row r="96" spans="1:24">
      <c r="A96" t="s">
        <v>10</v>
      </c>
      <c r="B96" t="s">
        <v>182</v>
      </c>
      <c r="C96" t="s">
        <v>587</v>
      </c>
      <c r="D96" t="s">
        <v>56</v>
      </c>
      <c r="E96" t="s">
        <v>55</v>
      </c>
      <c r="F96" t="s">
        <v>482</v>
      </c>
      <c r="G96" t="s">
        <v>483</v>
      </c>
      <c r="H96" t="s">
        <v>428</v>
      </c>
      <c r="I96" t="s">
        <v>36</v>
      </c>
      <c r="J96" t="s">
        <v>47</v>
      </c>
      <c r="K96" s="4">
        <v>8111</v>
      </c>
      <c r="L96" s="4">
        <v>0</v>
      </c>
      <c r="M96" s="4">
        <v>4346</v>
      </c>
      <c r="N96" s="4">
        <v>6163</v>
      </c>
      <c r="O96" s="4">
        <v>1</v>
      </c>
      <c r="P96" s="3">
        <v>5000.7611999999999</v>
      </c>
      <c r="Q96"/>
      <c r="R96"/>
      <c r="S96"/>
      <c r="T96"/>
      <c r="U96"/>
      <c r="V96"/>
      <c r="W96"/>
      <c r="X96"/>
    </row>
    <row r="97" spans="1:24">
      <c r="A97" t="s">
        <v>10</v>
      </c>
      <c r="B97" t="s">
        <v>182</v>
      </c>
      <c r="C97" t="s">
        <v>588</v>
      </c>
      <c r="D97" t="s">
        <v>54</v>
      </c>
      <c r="E97" t="s">
        <v>55</v>
      </c>
      <c r="F97" t="s">
        <v>519</v>
      </c>
      <c r="G97" t="s">
        <v>460</v>
      </c>
      <c r="H97" t="s">
        <v>254</v>
      </c>
      <c r="I97" t="s">
        <v>36</v>
      </c>
      <c r="J97" t="s">
        <v>47</v>
      </c>
      <c r="K97" s="4">
        <v>210700</v>
      </c>
      <c r="L97" s="4">
        <v>704</v>
      </c>
      <c r="M97" s="4">
        <v>94625</v>
      </c>
      <c r="N97" s="4">
        <v>180681</v>
      </c>
      <c r="O97" s="4">
        <v>3</v>
      </c>
      <c r="P97" s="3">
        <v>6341.8792999999996</v>
      </c>
      <c r="Q97"/>
      <c r="R97"/>
      <c r="S97"/>
      <c r="T97"/>
      <c r="U97"/>
      <c r="V97"/>
      <c r="W97"/>
      <c r="X97"/>
    </row>
    <row r="98" spans="1:24">
      <c r="A98" t="s">
        <v>10</v>
      </c>
      <c r="B98" t="s">
        <v>182</v>
      </c>
      <c r="C98" t="s">
        <v>589</v>
      </c>
      <c r="D98" t="s">
        <v>56</v>
      </c>
      <c r="E98" t="s">
        <v>57</v>
      </c>
      <c r="F98" t="s">
        <v>467</v>
      </c>
      <c r="G98" t="s">
        <v>468</v>
      </c>
      <c r="H98" t="s">
        <v>351</v>
      </c>
      <c r="I98" t="s">
        <v>38</v>
      </c>
      <c r="J98" t="s">
        <v>47</v>
      </c>
      <c r="K98" s="4">
        <v>11681</v>
      </c>
      <c r="L98" s="4">
        <v>88</v>
      </c>
      <c r="M98" s="4">
        <v>4713</v>
      </c>
      <c r="N98" s="4">
        <v>8230</v>
      </c>
      <c r="O98" s="4">
        <v>4</v>
      </c>
      <c r="P98" s="3">
        <v>5216.6489000000001</v>
      </c>
      <c r="Q98"/>
      <c r="R98"/>
      <c r="S98"/>
      <c r="T98"/>
      <c r="U98"/>
      <c r="V98"/>
      <c r="W98"/>
      <c r="X98"/>
    </row>
    <row r="99" spans="1:24">
      <c r="A99" t="s">
        <v>10</v>
      </c>
      <c r="B99" t="s">
        <v>182</v>
      </c>
      <c r="C99" t="s">
        <v>590</v>
      </c>
      <c r="D99" t="s">
        <v>54</v>
      </c>
      <c r="E99" t="s">
        <v>57</v>
      </c>
      <c r="F99" t="s">
        <v>463</v>
      </c>
      <c r="G99" t="s">
        <v>464</v>
      </c>
      <c r="H99" t="s">
        <v>438</v>
      </c>
      <c r="I99" t="s">
        <v>445</v>
      </c>
      <c r="J99" t="s">
        <v>47</v>
      </c>
      <c r="K99" s="4">
        <v>16644</v>
      </c>
      <c r="L99" s="4">
        <v>10</v>
      </c>
      <c r="M99" s="4">
        <v>5055</v>
      </c>
      <c r="N99" s="4">
        <v>15831</v>
      </c>
      <c r="O99" s="4">
        <v>5</v>
      </c>
      <c r="P99" s="3">
        <v>6386.4642000000003</v>
      </c>
      <c r="Q99"/>
      <c r="R99"/>
      <c r="S99"/>
      <c r="T99"/>
      <c r="U99"/>
      <c r="V99"/>
      <c r="W99"/>
      <c r="X99"/>
    </row>
    <row r="100" spans="1:24">
      <c r="A100" t="s">
        <v>10</v>
      </c>
      <c r="B100" t="s">
        <v>182</v>
      </c>
      <c r="C100" t="s">
        <v>591</v>
      </c>
      <c r="D100" t="s">
        <v>54</v>
      </c>
      <c r="E100" t="s">
        <v>55</v>
      </c>
      <c r="F100" t="s">
        <v>471</v>
      </c>
      <c r="G100" t="s">
        <v>464</v>
      </c>
      <c r="H100" t="s">
        <v>411</v>
      </c>
      <c r="I100" t="s">
        <v>36</v>
      </c>
      <c r="J100" t="s">
        <v>47</v>
      </c>
      <c r="K100" s="4">
        <v>9533</v>
      </c>
      <c r="L100" s="4">
        <v>66</v>
      </c>
      <c r="M100" s="4">
        <v>6548</v>
      </c>
      <c r="N100" s="4">
        <v>9042</v>
      </c>
      <c r="O100" s="4">
        <v>16</v>
      </c>
      <c r="P100" s="3">
        <v>5574.5434999999998</v>
      </c>
      <c r="Q100"/>
      <c r="R100"/>
      <c r="S100"/>
      <c r="T100"/>
      <c r="U100"/>
      <c r="V100"/>
      <c r="W100"/>
      <c r="X100"/>
    </row>
    <row r="101" spans="1:24">
      <c r="A101" t="s">
        <v>10</v>
      </c>
      <c r="B101" t="s">
        <v>182</v>
      </c>
      <c r="C101" t="s">
        <v>592</v>
      </c>
      <c r="D101" t="s">
        <v>54</v>
      </c>
      <c r="E101" t="s">
        <v>55</v>
      </c>
      <c r="F101" t="s">
        <v>467</v>
      </c>
      <c r="G101" t="s">
        <v>468</v>
      </c>
      <c r="H101" t="s">
        <v>218</v>
      </c>
      <c r="I101" t="s">
        <v>40</v>
      </c>
      <c r="J101" t="s">
        <v>47</v>
      </c>
      <c r="K101" s="4">
        <v>192201</v>
      </c>
      <c r="L101" s="4">
        <v>489</v>
      </c>
      <c r="M101" s="4">
        <v>113707</v>
      </c>
      <c r="N101" s="4">
        <v>157940</v>
      </c>
      <c r="O101" s="4">
        <v>3</v>
      </c>
      <c r="P101" s="3">
        <v>6176.0042000000003</v>
      </c>
      <c r="Q101"/>
      <c r="R101"/>
      <c r="S101"/>
      <c r="T101"/>
      <c r="U101"/>
      <c r="V101"/>
      <c r="W101"/>
      <c r="X101"/>
    </row>
    <row r="102" spans="1:24">
      <c r="A102" t="s">
        <v>10</v>
      </c>
      <c r="B102" t="s">
        <v>182</v>
      </c>
      <c r="C102" t="s">
        <v>593</v>
      </c>
      <c r="D102" t="s">
        <v>56</v>
      </c>
      <c r="E102" t="s">
        <v>60</v>
      </c>
      <c r="F102" t="s">
        <v>467</v>
      </c>
      <c r="G102" t="s">
        <v>468</v>
      </c>
      <c r="H102" t="s">
        <v>431</v>
      </c>
      <c r="I102" t="s">
        <v>42</v>
      </c>
      <c r="J102" t="s">
        <v>49</v>
      </c>
      <c r="K102" s="4">
        <v>39314</v>
      </c>
      <c r="L102" s="4">
        <v>100</v>
      </c>
      <c r="M102" s="4">
        <v>27671</v>
      </c>
      <c r="N102" s="4">
        <v>35488</v>
      </c>
      <c r="O102" s="4">
        <v>8</v>
      </c>
      <c r="P102" s="3">
        <v>5530.8005000000003</v>
      </c>
      <c r="Q102"/>
      <c r="R102"/>
      <c r="S102"/>
      <c r="T102"/>
      <c r="U102"/>
      <c r="V102"/>
      <c r="W102"/>
      <c r="X102"/>
    </row>
    <row r="103" spans="1:24">
      <c r="A103" t="s">
        <v>10</v>
      </c>
      <c r="B103" t="s">
        <v>182</v>
      </c>
      <c r="C103" t="s">
        <v>594</v>
      </c>
      <c r="D103" t="s">
        <v>54</v>
      </c>
      <c r="E103" t="s">
        <v>59</v>
      </c>
      <c r="F103" t="s">
        <v>480</v>
      </c>
      <c r="G103" t="s">
        <v>460</v>
      </c>
      <c r="H103" t="s">
        <v>333</v>
      </c>
      <c r="I103" t="s">
        <v>36</v>
      </c>
      <c r="J103" t="s">
        <v>47</v>
      </c>
      <c r="K103" s="4">
        <v>7687</v>
      </c>
      <c r="L103" s="4">
        <v>10</v>
      </c>
      <c r="M103" s="4">
        <v>5311</v>
      </c>
      <c r="N103" s="4">
        <v>7266</v>
      </c>
      <c r="O103" s="4">
        <v>6</v>
      </c>
      <c r="P103" s="3">
        <v>6486.8539000000001</v>
      </c>
      <c r="Q103"/>
      <c r="R103"/>
      <c r="S103"/>
      <c r="T103"/>
      <c r="U103"/>
      <c r="V103"/>
      <c r="W103"/>
      <c r="X103"/>
    </row>
    <row r="104" spans="1:24">
      <c r="A104" t="s">
        <v>10</v>
      </c>
      <c r="B104" t="s">
        <v>182</v>
      </c>
      <c r="C104" t="s">
        <v>595</v>
      </c>
      <c r="D104" t="s">
        <v>56</v>
      </c>
      <c r="E104" t="s">
        <v>59</v>
      </c>
      <c r="F104" t="s">
        <v>506</v>
      </c>
      <c r="G104" t="s">
        <v>474</v>
      </c>
      <c r="H104" t="s">
        <v>255</v>
      </c>
      <c r="I104" t="s">
        <v>38</v>
      </c>
      <c r="J104" t="s">
        <v>47</v>
      </c>
      <c r="K104" s="4">
        <v>11697</v>
      </c>
      <c r="L104" s="4">
        <v>64</v>
      </c>
      <c r="M104" s="4">
        <v>6761</v>
      </c>
      <c r="N104" s="4">
        <v>10783</v>
      </c>
      <c r="O104" s="4">
        <v>3</v>
      </c>
      <c r="P104" s="3">
        <v>5218.0702000000001</v>
      </c>
      <c r="Q104"/>
      <c r="R104"/>
      <c r="S104"/>
      <c r="T104"/>
      <c r="U104"/>
      <c r="V104"/>
      <c r="W104"/>
      <c r="X104"/>
    </row>
    <row r="105" spans="1:24">
      <c r="A105" t="s">
        <v>10</v>
      </c>
      <c r="B105" t="s">
        <v>182</v>
      </c>
      <c r="C105" t="s">
        <v>596</v>
      </c>
      <c r="D105" t="s">
        <v>58</v>
      </c>
      <c r="E105" t="s">
        <v>55</v>
      </c>
      <c r="F105" t="s">
        <v>482</v>
      </c>
      <c r="G105" t="s">
        <v>483</v>
      </c>
      <c r="H105" t="s">
        <v>265</v>
      </c>
      <c r="I105" t="s">
        <v>36</v>
      </c>
      <c r="J105" t="s">
        <v>47</v>
      </c>
      <c r="K105" s="4">
        <v>39373</v>
      </c>
      <c r="L105" s="4">
        <v>99</v>
      </c>
      <c r="M105" s="4">
        <v>23152</v>
      </c>
      <c r="N105" s="4">
        <v>35857</v>
      </c>
      <c r="O105" s="4">
        <v>17</v>
      </c>
      <c r="P105" s="3">
        <v>6342.8858</v>
      </c>
      <c r="Q105"/>
      <c r="R105"/>
      <c r="S105"/>
      <c r="T105"/>
      <c r="U105"/>
      <c r="V105"/>
      <c r="W105"/>
      <c r="X105"/>
    </row>
    <row r="106" spans="1:24">
      <c r="A106" t="s">
        <v>10</v>
      </c>
      <c r="B106" t="s">
        <v>182</v>
      </c>
      <c r="C106" t="s">
        <v>597</v>
      </c>
      <c r="D106" t="s">
        <v>58</v>
      </c>
      <c r="E106" t="s">
        <v>57</v>
      </c>
      <c r="F106" t="s">
        <v>482</v>
      </c>
      <c r="G106" t="s">
        <v>483</v>
      </c>
      <c r="H106" t="s">
        <v>433</v>
      </c>
      <c r="I106" t="s">
        <v>43</v>
      </c>
      <c r="J106" t="s">
        <v>47</v>
      </c>
      <c r="K106" s="4">
        <v>11734</v>
      </c>
      <c r="L106" s="4">
        <v>78</v>
      </c>
      <c r="M106" s="4">
        <v>8741</v>
      </c>
      <c r="N106" s="4">
        <v>10606</v>
      </c>
      <c r="O106" s="4">
        <v>5</v>
      </c>
      <c r="P106" s="3">
        <v>6439.2834999999995</v>
      </c>
      <c r="Q106"/>
      <c r="R106"/>
      <c r="S106"/>
      <c r="T106"/>
      <c r="U106"/>
      <c r="V106"/>
      <c r="W106"/>
      <c r="X106"/>
    </row>
    <row r="107" spans="1:24">
      <c r="A107" t="s">
        <v>10</v>
      </c>
      <c r="B107" t="s">
        <v>182</v>
      </c>
      <c r="C107" t="s">
        <v>598</v>
      </c>
      <c r="D107" t="s">
        <v>56</v>
      </c>
      <c r="E107" t="s">
        <v>60</v>
      </c>
      <c r="F107" t="s">
        <v>473</v>
      </c>
      <c r="G107" t="s">
        <v>474</v>
      </c>
      <c r="H107" t="s">
        <v>217</v>
      </c>
      <c r="I107" t="s">
        <v>36</v>
      </c>
      <c r="J107" t="s">
        <v>48</v>
      </c>
      <c r="K107" s="4">
        <v>102958</v>
      </c>
      <c r="L107" s="4">
        <v>320</v>
      </c>
      <c r="M107" s="4">
        <v>86884</v>
      </c>
      <c r="N107" s="4">
        <v>94687</v>
      </c>
      <c r="O107" s="4">
        <v>12</v>
      </c>
      <c r="P107" s="3">
        <v>6624.2212</v>
      </c>
      <c r="Q107"/>
      <c r="R107"/>
      <c r="S107"/>
      <c r="T107"/>
      <c r="U107"/>
      <c r="V107"/>
      <c r="W107"/>
      <c r="X107"/>
    </row>
    <row r="108" spans="1:24">
      <c r="A108" t="s">
        <v>10</v>
      </c>
      <c r="B108" t="s">
        <v>182</v>
      </c>
      <c r="C108" t="s">
        <v>599</v>
      </c>
      <c r="D108" t="s">
        <v>54</v>
      </c>
      <c r="E108" t="s">
        <v>55</v>
      </c>
      <c r="F108" t="s">
        <v>459</v>
      </c>
      <c r="G108" t="s">
        <v>460</v>
      </c>
      <c r="H108" t="s">
        <v>417</v>
      </c>
      <c r="I108" t="s">
        <v>36</v>
      </c>
      <c r="J108" t="s">
        <v>47</v>
      </c>
      <c r="K108" s="4">
        <v>9357</v>
      </c>
      <c r="L108" s="4">
        <v>60</v>
      </c>
      <c r="M108" s="4">
        <v>1754</v>
      </c>
      <c r="N108" s="4">
        <v>8343</v>
      </c>
      <c r="O108" s="4">
        <v>10</v>
      </c>
      <c r="P108" s="3">
        <v>6559.4777999999997</v>
      </c>
      <c r="Q108"/>
      <c r="R108"/>
      <c r="S108"/>
      <c r="T108"/>
      <c r="U108"/>
      <c r="V108"/>
      <c r="W108"/>
      <c r="X108"/>
    </row>
    <row r="109" spans="1:24">
      <c r="A109" t="s">
        <v>10</v>
      </c>
      <c r="B109" t="s">
        <v>182</v>
      </c>
      <c r="C109" t="s">
        <v>26</v>
      </c>
      <c r="D109" t="s">
        <v>54</v>
      </c>
      <c r="E109" t="s">
        <v>57</v>
      </c>
      <c r="F109" t="s">
        <v>547</v>
      </c>
      <c r="G109" t="s">
        <v>460</v>
      </c>
      <c r="H109" t="s">
        <v>218</v>
      </c>
      <c r="I109" t="s">
        <v>36</v>
      </c>
      <c r="J109" t="s">
        <v>47</v>
      </c>
      <c r="K109" s="4">
        <v>26270</v>
      </c>
      <c r="L109" s="4">
        <v>63</v>
      </c>
      <c r="M109" s="4">
        <v>12813</v>
      </c>
      <c r="N109" s="4">
        <v>21893</v>
      </c>
      <c r="O109" s="4">
        <v>12</v>
      </c>
      <c r="P109" s="3">
        <v>6417.2646000000004</v>
      </c>
      <c r="Q109"/>
      <c r="R109"/>
      <c r="S109"/>
      <c r="T109"/>
      <c r="U109"/>
      <c r="V109"/>
      <c r="W109"/>
      <c r="X109"/>
    </row>
    <row r="110" spans="1:24">
      <c r="A110" t="s">
        <v>10</v>
      </c>
      <c r="B110" t="s">
        <v>182</v>
      </c>
      <c r="C110" t="s">
        <v>600</v>
      </c>
      <c r="D110" t="s">
        <v>54</v>
      </c>
      <c r="E110" t="s">
        <v>55</v>
      </c>
      <c r="F110" t="s">
        <v>482</v>
      </c>
      <c r="G110" t="s">
        <v>483</v>
      </c>
      <c r="H110" t="s">
        <v>264</v>
      </c>
      <c r="I110" t="s">
        <v>42</v>
      </c>
      <c r="J110" t="s">
        <v>47</v>
      </c>
      <c r="K110" s="4">
        <v>96728</v>
      </c>
      <c r="L110" s="4">
        <v>341</v>
      </c>
      <c r="M110" s="4">
        <v>69700</v>
      </c>
      <c r="N110" s="4">
        <v>91910</v>
      </c>
      <c r="O110" s="4">
        <v>15</v>
      </c>
      <c r="P110" s="3">
        <v>6587.2433000000001</v>
      </c>
      <c r="Q110"/>
      <c r="R110"/>
      <c r="S110"/>
      <c r="T110"/>
      <c r="U110"/>
      <c r="V110"/>
      <c r="W110"/>
      <c r="X110"/>
    </row>
    <row r="111" spans="1:24">
      <c r="A111" t="s">
        <v>10</v>
      </c>
      <c r="B111" t="s">
        <v>182</v>
      </c>
      <c r="C111" t="s">
        <v>601</v>
      </c>
      <c r="D111" t="s">
        <v>54</v>
      </c>
      <c r="E111" t="s">
        <v>55</v>
      </c>
      <c r="F111" t="s">
        <v>467</v>
      </c>
      <c r="G111" t="s">
        <v>468</v>
      </c>
      <c r="H111" t="s">
        <v>377</v>
      </c>
      <c r="I111" t="s">
        <v>36</v>
      </c>
      <c r="J111" t="s">
        <v>47</v>
      </c>
      <c r="K111" s="4">
        <v>18516</v>
      </c>
      <c r="L111" s="4">
        <v>68</v>
      </c>
      <c r="M111" s="4">
        <v>8191</v>
      </c>
      <c r="N111" s="4">
        <v>13641</v>
      </c>
      <c r="O111" s="4">
        <v>13</v>
      </c>
      <c r="P111" s="3">
        <v>5087.5617000000002</v>
      </c>
      <c r="Q111"/>
      <c r="R111"/>
      <c r="S111"/>
      <c r="T111"/>
      <c r="U111"/>
      <c r="V111"/>
      <c r="W111"/>
      <c r="X111"/>
    </row>
    <row r="112" spans="1:24">
      <c r="A112" t="s">
        <v>10</v>
      </c>
      <c r="B112" t="s">
        <v>182</v>
      </c>
      <c r="C112" t="s">
        <v>602</v>
      </c>
      <c r="D112" t="s">
        <v>54</v>
      </c>
      <c r="E112" t="s">
        <v>55</v>
      </c>
      <c r="F112" t="s">
        <v>482</v>
      </c>
      <c r="G112" t="s">
        <v>483</v>
      </c>
      <c r="H112" t="s">
        <v>303</v>
      </c>
      <c r="I112" t="s">
        <v>42</v>
      </c>
      <c r="J112" t="s">
        <v>47</v>
      </c>
      <c r="K112" s="4">
        <v>26304</v>
      </c>
      <c r="L112" s="4">
        <v>75</v>
      </c>
      <c r="M112" s="4">
        <v>12354</v>
      </c>
      <c r="N112" s="4">
        <v>17500</v>
      </c>
      <c r="O112" s="4">
        <v>11</v>
      </c>
      <c r="P112" s="3">
        <v>4727.8139000000001</v>
      </c>
      <c r="Q112"/>
      <c r="R112"/>
      <c r="S112"/>
      <c r="T112"/>
      <c r="U112"/>
      <c r="V112"/>
      <c r="W112"/>
      <c r="X112"/>
    </row>
    <row r="113" spans="1:24">
      <c r="A113" t="s">
        <v>10</v>
      </c>
      <c r="B113" t="s">
        <v>182</v>
      </c>
      <c r="C113" t="s">
        <v>603</v>
      </c>
      <c r="D113" t="s">
        <v>56</v>
      </c>
      <c r="E113" t="s">
        <v>60</v>
      </c>
      <c r="F113" t="s">
        <v>473</v>
      </c>
      <c r="G113" t="s">
        <v>474</v>
      </c>
      <c r="H113" t="s">
        <v>370</v>
      </c>
      <c r="I113" t="s">
        <v>36</v>
      </c>
      <c r="J113" t="s">
        <v>49</v>
      </c>
      <c r="K113" s="4">
        <v>39725</v>
      </c>
      <c r="L113" s="4">
        <v>144</v>
      </c>
      <c r="M113" s="4">
        <v>5402</v>
      </c>
      <c r="N113" s="4">
        <v>36080</v>
      </c>
      <c r="O113" s="4">
        <v>12</v>
      </c>
      <c r="P113" s="3">
        <v>6431.5551999999998</v>
      </c>
      <c r="Q113"/>
      <c r="R113"/>
      <c r="S113"/>
      <c r="T113"/>
      <c r="U113"/>
      <c r="V113"/>
      <c r="W113"/>
      <c r="X113"/>
    </row>
    <row r="114" spans="1:24">
      <c r="A114" t="s">
        <v>10</v>
      </c>
      <c r="B114" t="s">
        <v>200</v>
      </c>
      <c r="C114" t="s">
        <v>604</v>
      </c>
      <c r="D114" t="s">
        <v>58</v>
      </c>
      <c r="E114" t="s">
        <v>60</v>
      </c>
      <c r="F114" t="s">
        <v>471</v>
      </c>
      <c r="G114" t="s">
        <v>464</v>
      </c>
      <c r="H114" t="s">
        <v>381</v>
      </c>
      <c r="I114" t="s">
        <v>36</v>
      </c>
      <c r="J114" t="s">
        <v>47</v>
      </c>
      <c r="K114" s="4">
        <v>14137</v>
      </c>
      <c r="L114" s="4">
        <v>44</v>
      </c>
      <c r="M114" s="4">
        <v>9300</v>
      </c>
      <c r="N114" s="4">
        <v>13110</v>
      </c>
      <c r="O114" s="4">
        <v>8</v>
      </c>
      <c r="P114" s="3">
        <v>6345.4602999999997</v>
      </c>
      <c r="Q114"/>
      <c r="R114"/>
      <c r="S114"/>
      <c r="T114"/>
      <c r="U114"/>
      <c r="V114"/>
      <c r="W114"/>
      <c r="X114"/>
    </row>
    <row r="115" spans="1:24">
      <c r="A115" t="s">
        <v>10</v>
      </c>
      <c r="B115" t="s">
        <v>200</v>
      </c>
      <c r="C115" t="s">
        <v>605</v>
      </c>
      <c r="D115" t="s">
        <v>58</v>
      </c>
      <c r="E115" t="s">
        <v>55</v>
      </c>
      <c r="F115" t="s">
        <v>473</v>
      </c>
      <c r="G115" t="s">
        <v>474</v>
      </c>
      <c r="H115" t="s">
        <v>304</v>
      </c>
      <c r="I115" t="s">
        <v>40</v>
      </c>
      <c r="J115" t="s">
        <v>47</v>
      </c>
      <c r="K115" s="4">
        <v>10565</v>
      </c>
      <c r="L115" s="4">
        <v>66</v>
      </c>
      <c r="M115" s="4">
        <v>6248</v>
      </c>
      <c r="N115" s="4">
        <v>10141</v>
      </c>
      <c r="O115" s="4">
        <v>9</v>
      </c>
      <c r="P115" s="3">
        <v>6236.1130999999996</v>
      </c>
      <c r="Q115"/>
      <c r="R115"/>
      <c r="S115"/>
      <c r="T115"/>
      <c r="U115"/>
      <c r="V115"/>
      <c r="W115"/>
      <c r="X115"/>
    </row>
    <row r="116" spans="1:24">
      <c r="A116" t="s">
        <v>10</v>
      </c>
      <c r="B116" t="s">
        <v>200</v>
      </c>
      <c r="C116" t="s">
        <v>606</v>
      </c>
      <c r="D116" t="s">
        <v>56</v>
      </c>
      <c r="E116" t="s">
        <v>59</v>
      </c>
      <c r="F116" t="s">
        <v>482</v>
      </c>
      <c r="G116" t="s">
        <v>483</v>
      </c>
      <c r="H116" t="s">
        <v>372</v>
      </c>
      <c r="I116" t="s">
        <v>36</v>
      </c>
      <c r="J116" t="s">
        <v>47</v>
      </c>
      <c r="K116" s="4">
        <v>17770</v>
      </c>
      <c r="L116" s="4">
        <v>70</v>
      </c>
      <c r="M116" s="4">
        <v>12771</v>
      </c>
      <c r="N116" s="4">
        <v>16749</v>
      </c>
      <c r="O116" s="4">
        <v>9</v>
      </c>
      <c r="P116" s="3">
        <v>5195.2347</v>
      </c>
      <c r="Q116"/>
      <c r="R116"/>
      <c r="S116"/>
      <c r="T116"/>
      <c r="U116"/>
      <c r="V116"/>
      <c r="W116"/>
      <c r="X116"/>
    </row>
    <row r="117" spans="1:24">
      <c r="A117" t="s">
        <v>10</v>
      </c>
      <c r="B117" t="s">
        <v>200</v>
      </c>
      <c r="C117" t="s">
        <v>607</v>
      </c>
      <c r="D117" t="s">
        <v>58</v>
      </c>
      <c r="E117" t="s">
        <v>55</v>
      </c>
      <c r="F117" t="s">
        <v>506</v>
      </c>
      <c r="G117" t="s">
        <v>474</v>
      </c>
      <c r="H117" t="s">
        <v>444</v>
      </c>
      <c r="I117" t="s">
        <v>43</v>
      </c>
      <c r="J117" t="s">
        <v>47</v>
      </c>
      <c r="K117" s="4">
        <v>9560</v>
      </c>
      <c r="L117" s="4">
        <v>98</v>
      </c>
      <c r="M117" s="4">
        <v>3076</v>
      </c>
      <c r="N117" s="4">
        <v>6252</v>
      </c>
      <c r="O117" s="4">
        <v>17</v>
      </c>
      <c r="P117" s="3">
        <v>6420.2181</v>
      </c>
      <c r="Q117"/>
      <c r="R117"/>
      <c r="S117"/>
      <c r="T117"/>
      <c r="U117"/>
      <c r="V117"/>
      <c r="W117"/>
      <c r="X117"/>
    </row>
    <row r="118" spans="1:24">
      <c r="A118" t="s">
        <v>10</v>
      </c>
      <c r="B118" t="s">
        <v>200</v>
      </c>
      <c r="C118" t="s">
        <v>608</v>
      </c>
      <c r="D118" t="s">
        <v>58</v>
      </c>
      <c r="E118" t="s">
        <v>59</v>
      </c>
      <c r="F118" t="s">
        <v>497</v>
      </c>
      <c r="G118" t="s">
        <v>460</v>
      </c>
      <c r="H118" t="s">
        <v>219</v>
      </c>
      <c r="I118" t="s">
        <v>209</v>
      </c>
      <c r="J118" t="s">
        <v>47</v>
      </c>
      <c r="K118" s="4">
        <v>140359</v>
      </c>
      <c r="L118" s="4">
        <v>352</v>
      </c>
      <c r="M118" s="4">
        <v>76130</v>
      </c>
      <c r="N118" s="4">
        <v>133578</v>
      </c>
      <c r="O118" s="4">
        <v>26</v>
      </c>
      <c r="P118" s="3">
        <v>6094.6668</v>
      </c>
      <c r="Q118"/>
      <c r="R118"/>
      <c r="S118"/>
      <c r="T118"/>
      <c r="U118"/>
      <c r="V118"/>
      <c r="W118"/>
      <c r="X118"/>
    </row>
    <row r="119" spans="1:24">
      <c r="A119" t="s">
        <v>10</v>
      </c>
      <c r="B119" t="s">
        <v>200</v>
      </c>
      <c r="C119" t="s">
        <v>609</v>
      </c>
      <c r="D119" t="s">
        <v>56</v>
      </c>
      <c r="E119" t="s">
        <v>59</v>
      </c>
      <c r="F119" t="s">
        <v>467</v>
      </c>
      <c r="G119" t="s">
        <v>468</v>
      </c>
      <c r="H119" t="s">
        <v>254</v>
      </c>
      <c r="I119" t="s">
        <v>36</v>
      </c>
      <c r="J119" t="s">
        <v>47</v>
      </c>
      <c r="K119" s="4">
        <v>100991</v>
      </c>
      <c r="L119" s="4">
        <v>286</v>
      </c>
      <c r="M119" s="4">
        <v>56138</v>
      </c>
      <c r="N119" s="4">
        <v>88836</v>
      </c>
      <c r="O119" s="4">
        <v>9</v>
      </c>
      <c r="P119" s="3">
        <v>4652.3675999999996</v>
      </c>
      <c r="Q119"/>
      <c r="R119"/>
      <c r="S119"/>
      <c r="T119"/>
      <c r="U119"/>
      <c r="V119"/>
      <c r="W119"/>
      <c r="X119"/>
    </row>
    <row r="120" spans="1:24">
      <c r="A120" t="s">
        <v>10</v>
      </c>
      <c r="B120" t="s">
        <v>200</v>
      </c>
      <c r="C120" t="s">
        <v>610</v>
      </c>
      <c r="D120" t="s">
        <v>56</v>
      </c>
      <c r="E120" t="s">
        <v>55</v>
      </c>
      <c r="F120" t="s">
        <v>467</v>
      </c>
      <c r="G120" t="s">
        <v>468</v>
      </c>
      <c r="H120" t="s">
        <v>376</v>
      </c>
      <c r="I120" t="s">
        <v>36</v>
      </c>
      <c r="J120" t="s">
        <v>48</v>
      </c>
      <c r="K120" s="4">
        <v>26415</v>
      </c>
      <c r="L120" s="4">
        <v>60</v>
      </c>
      <c r="M120" s="4">
        <v>13791</v>
      </c>
      <c r="N120" s="4">
        <v>25315</v>
      </c>
      <c r="O120" s="4">
        <v>11</v>
      </c>
      <c r="P120" s="3">
        <v>6450.9186</v>
      </c>
      <c r="Q120"/>
      <c r="R120"/>
      <c r="S120"/>
      <c r="T120"/>
      <c r="U120"/>
      <c r="V120"/>
      <c r="W120"/>
      <c r="X120"/>
    </row>
    <row r="121" spans="1:24">
      <c r="A121" t="s">
        <v>10</v>
      </c>
      <c r="B121" t="s">
        <v>200</v>
      </c>
      <c r="C121" t="s">
        <v>611</v>
      </c>
      <c r="D121" t="s">
        <v>54</v>
      </c>
      <c r="E121" t="s">
        <v>57</v>
      </c>
      <c r="F121" t="s">
        <v>612</v>
      </c>
      <c r="G121" t="s">
        <v>613</v>
      </c>
      <c r="H121" t="s">
        <v>392</v>
      </c>
      <c r="I121" t="s">
        <v>36</v>
      </c>
      <c r="J121" t="s">
        <v>47</v>
      </c>
      <c r="K121" s="4">
        <v>14509</v>
      </c>
      <c r="L121" s="4">
        <v>90</v>
      </c>
      <c r="M121" s="4">
        <v>866</v>
      </c>
      <c r="N121" s="4">
        <v>13268</v>
      </c>
      <c r="O121" s="4">
        <v>8</v>
      </c>
      <c r="P121" s="3">
        <v>5521.1890999999996</v>
      </c>
      <c r="Q121"/>
      <c r="R121"/>
      <c r="S121"/>
      <c r="T121"/>
      <c r="U121"/>
      <c r="V121"/>
      <c r="W121"/>
      <c r="X121"/>
    </row>
    <row r="122" spans="1:24">
      <c r="A122" t="s">
        <v>10</v>
      </c>
      <c r="B122" t="s">
        <v>200</v>
      </c>
      <c r="C122" t="s">
        <v>200</v>
      </c>
      <c r="D122" t="s">
        <v>58</v>
      </c>
      <c r="E122" t="s">
        <v>55</v>
      </c>
      <c r="F122" t="s">
        <v>482</v>
      </c>
      <c r="G122" t="s">
        <v>483</v>
      </c>
      <c r="H122" t="s">
        <v>305</v>
      </c>
      <c r="I122" t="s">
        <v>40</v>
      </c>
      <c r="J122" t="s">
        <v>47</v>
      </c>
      <c r="K122" s="4">
        <v>11789</v>
      </c>
      <c r="L122" s="4">
        <v>20</v>
      </c>
      <c r="M122" s="4">
        <v>6187</v>
      </c>
      <c r="N122" s="4">
        <v>10028</v>
      </c>
      <c r="O122" s="4">
        <v>3</v>
      </c>
      <c r="P122" s="3">
        <v>6505.5264999999999</v>
      </c>
      <c r="Q122"/>
      <c r="R122"/>
      <c r="S122"/>
      <c r="T122"/>
      <c r="U122"/>
      <c r="V122"/>
      <c r="W122"/>
      <c r="X122"/>
    </row>
    <row r="123" spans="1:24">
      <c r="A123" t="s">
        <v>10</v>
      </c>
      <c r="B123" t="s">
        <v>614</v>
      </c>
      <c r="C123" t="s">
        <v>488</v>
      </c>
      <c r="D123" t="s">
        <v>54</v>
      </c>
      <c r="E123" t="s">
        <v>60</v>
      </c>
      <c r="F123" t="s">
        <v>471</v>
      </c>
      <c r="G123" t="s">
        <v>464</v>
      </c>
      <c r="H123" t="s">
        <v>349</v>
      </c>
      <c r="I123" t="s">
        <v>38</v>
      </c>
      <c r="J123" t="s">
        <v>47</v>
      </c>
      <c r="K123" s="4">
        <v>17561</v>
      </c>
      <c r="L123" s="4">
        <v>50</v>
      </c>
      <c r="M123" s="4">
        <v>2960</v>
      </c>
      <c r="N123" s="4">
        <v>9953</v>
      </c>
      <c r="O123" s="4">
        <v>10</v>
      </c>
      <c r="P123" s="3">
        <v>1519.904</v>
      </c>
      <c r="Q123"/>
      <c r="R123"/>
      <c r="S123"/>
      <c r="T123"/>
      <c r="U123"/>
      <c r="V123"/>
      <c r="W123"/>
      <c r="X123"/>
    </row>
    <row r="124" spans="1:24">
      <c r="A124" t="s">
        <v>10</v>
      </c>
      <c r="B124" t="s">
        <v>614</v>
      </c>
      <c r="C124" t="s">
        <v>615</v>
      </c>
      <c r="D124" t="s">
        <v>58</v>
      </c>
      <c r="E124" t="s">
        <v>57</v>
      </c>
      <c r="F124" t="s">
        <v>467</v>
      </c>
      <c r="G124" t="s">
        <v>468</v>
      </c>
      <c r="H124" t="s">
        <v>211</v>
      </c>
      <c r="I124" t="s">
        <v>36</v>
      </c>
      <c r="J124" t="s">
        <v>47</v>
      </c>
      <c r="K124" s="4">
        <v>562103</v>
      </c>
      <c r="L124" s="4">
        <v>1450</v>
      </c>
      <c r="M124" s="4">
        <v>340616</v>
      </c>
      <c r="N124" s="4">
        <v>488921</v>
      </c>
      <c r="O124" s="4">
        <v>8</v>
      </c>
      <c r="P124" s="3">
        <v>1733.8302000000001</v>
      </c>
      <c r="Q124"/>
      <c r="R124"/>
      <c r="S124"/>
      <c r="T124"/>
      <c r="U124"/>
      <c r="V124"/>
      <c r="W124"/>
      <c r="X124"/>
    </row>
    <row r="125" spans="1:24">
      <c r="A125" t="s">
        <v>10</v>
      </c>
      <c r="B125" t="s">
        <v>616</v>
      </c>
      <c r="D125" t="s">
        <v>56</v>
      </c>
      <c r="E125" t="s">
        <v>55</v>
      </c>
      <c r="F125" t="s">
        <v>497</v>
      </c>
      <c r="G125" t="s">
        <v>460</v>
      </c>
      <c r="H125" t="s">
        <v>221</v>
      </c>
      <c r="I125" t="s">
        <v>209</v>
      </c>
      <c r="J125" t="s">
        <v>47</v>
      </c>
      <c r="K125" s="4">
        <v>58477</v>
      </c>
      <c r="L125" s="4">
        <v>135</v>
      </c>
      <c r="M125" s="4">
        <v>43554</v>
      </c>
      <c r="N125" s="4">
        <v>56558</v>
      </c>
      <c r="O125" s="4">
        <v>19</v>
      </c>
      <c r="P125" s="3">
        <v>5247.6238999999996</v>
      </c>
      <c r="Q125"/>
      <c r="R125"/>
      <c r="S125"/>
      <c r="T125"/>
      <c r="U125"/>
      <c r="V125"/>
      <c r="W125"/>
      <c r="X125"/>
    </row>
    <row r="126" spans="1:24">
      <c r="A126" t="s">
        <v>10</v>
      </c>
      <c r="B126" t="s">
        <v>617</v>
      </c>
      <c r="C126" t="s">
        <v>618</v>
      </c>
      <c r="D126" t="s">
        <v>54</v>
      </c>
      <c r="E126" t="s">
        <v>57</v>
      </c>
      <c r="F126" t="s">
        <v>482</v>
      </c>
      <c r="G126" t="s">
        <v>483</v>
      </c>
      <c r="H126" t="s">
        <v>330</v>
      </c>
      <c r="I126" t="s">
        <v>36</v>
      </c>
      <c r="J126" t="s">
        <v>47</v>
      </c>
      <c r="K126" s="4">
        <v>92764</v>
      </c>
      <c r="L126" s="4">
        <v>320</v>
      </c>
      <c r="M126" s="4">
        <v>19625</v>
      </c>
      <c r="N126" s="4">
        <v>76531</v>
      </c>
      <c r="O126" s="4">
        <v>14</v>
      </c>
      <c r="P126" s="3">
        <v>6730.0124999999998</v>
      </c>
      <c r="Q126"/>
      <c r="R126"/>
      <c r="S126"/>
      <c r="T126"/>
      <c r="U126"/>
      <c r="V126"/>
      <c r="W126"/>
      <c r="X126"/>
    </row>
    <row r="127" spans="1:24">
      <c r="A127" t="s">
        <v>14</v>
      </c>
      <c r="B127" t="s">
        <v>619</v>
      </c>
      <c r="C127" t="s">
        <v>620</v>
      </c>
      <c r="D127" t="s">
        <v>54</v>
      </c>
      <c r="E127" t="s">
        <v>57</v>
      </c>
      <c r="F127" t="s">
        <v>497</v>
      </c>
      <c r="G127" t="s">
        <v>460</v>
      </c>
      <c r="H127" t="s">
        <v>400</v>
      </c>
      <c r="I127" t="s">
        <v>36</v>
      </c>
      <c r="J127" t="s">
        <v>47</v>
      </c>
      <c r="K127" s="4">
        <v>12606</v>
      </c>
      <c r="L127" s="4">
        <v>74</v>
      </c>
      <c r="M127" s="4">
        <v>8332</v>
      </c>
      <c r="N127" s="4">
        <v>11170</v>
      </c>
      <c r="O127" s="4">
        <v>5</v>
      </c>
      <c r="P127" s="3">
        <v>2002.538</v>
      </c>
      <c r="Q127"/>
      <c r="R127"/>
      <c r="S127"/>
      <c r="T127"/>
      <c r="U127"/>
      <c r="V127"/>
      <c r="W127"/>
      <c r="X127"/>
    </row>
    <row r="128" spans="1:24">
      <c r="A128" t="s">
        <v>14</v>
      </c>
      <c r="B128" t="s">
        <v>619</v>
      </c>
      <c r="C128" t="s">
        <v>621</v>
      </c>
      <c r="D128" t="s">
        <v>54</v>
      </c>
      <c r="E128" t="s">
        <v>59</v>
      </c>
      <c r="F128" t="s">
        <v>486</v>
      </c>
      <c r="G128" t="s">
        <v>487</v>
      </c>
      <c r="H128" t="s">
        <v>337</v>
      </c>
      <c r="I128" t="s">
        <v>38</v>
      </c>
      <c r="J128" t="s">
        <v>47</v>
      </c>
      <c r="K128" s="4">
        <v>14917</v>
      </c>
      <c r="L128" s="4">
        <v>10</v>
      </c>
      <c r="M128" s="4">
        <v>3065</v>
      </c>
      <c r="N128" s="4">
        <v>13109</v>
      </c>
      <c r="O128" s="4">
        <v>3</v>
      </c>
      <c r="P128" s="3">
        <v>1583.5371</v>
      </c>
      <c r="Q128"/>
      <c r="R128"/>
      <c r="S128"/>
      <c r="T128"/>
      <c r="U128"/>
      <c r="V128"/>
      <c r="W128"/>
      <c r="X128"/>
    </row>
    <row r="129" spans="1:24">
      <c r="A129" t="s">
        <v>14</v>
      </c>
      <c r="B129" t="s">
        <v>619</v>
      </c>
      <c r="C129" t="s">
        <v>622</v>
      </c>
      <c r="D129" t="s">
        <v>56</v>
      </c>
      <c r="E129" t="s">
        <v>60</v>
      </c>
      <c r="F129" t="s">
        <v>497</v>
      </c>
      <c r="G129" t="s">
        <v>460</v>
      </c>
      <c r="H129" t="s">
        <v>374</v>
      </c>
      <c r="I129" t="s">
        <v>36</v>
      </c>
      <c r="J129" t="s">
        <v>48</v>
      </c>
      <c r="K129" s="4">
        <v>31443</v>
      </c>
      <c r="L129" s="4">
        <v>70</v>
      </c>
      <c r="M129" s="4">
        <v>19134</v>
      </c>
      <c r="N129" s="4">
        <v>28059</v>
      </c>
      <c r="O129" s="4">
        <v>9</v>
      </c>
      <c r="P129" s="3">
        <v>2122.7658999999999</v>
      </c>
      <c r="Q129"/>
      <c r="R129"/>
      <c r="S129"/>
      <c r="T129"/>
      <c r="U129"/>
      <c r="V129"/>
      <c r="W129"/>
      <c r="X129"/>
    </row>
    <row r="130" spans="1:24">
      <c r="A130" t="s">
        <v>14</v>
      </c>
      <c r="B130" t="s">
        <v>619</v>
      </c>
      <c r="C130" t="s">
        <v>623</v>
      </c>
      <c r="D130" t="s">
        <v>54</v>
      </c>
      <c r="E130" t="s">
        <v>60</v>
      </c>
      <c r="F130" t="s">
        <v>506</v>
      </c>
      <c r="G130" t="s">
        <v>474</v>
      </c>
      <c r="H130" t="s">
        <v>233</v>
      </c>
      <c r="I130" t="s">
        <v>210</v>
      </c>
      <c r="J130" t="s">
        <v>47</v>
      </c>
      <c r="K130" s="4">
        <v>51056</v>
      </c>
      <c r="L130" s="4">
        <v>120</v>
      </c>
      <c r="M130" s="4">
        <v>24672</v>
      </c>
      <c r="N130" s="4">
        <v>45563</v>
      </c>
      <c r="O130" s="4">
        <v>4</v>
      </c>
      <c r="P130" s="3">
        <v>2215.6318000000001</v>
      </c>
      <c r="Q130"/>
      <c r="R130"/>
      <c r="S130"/>
      <c r="T130"/>
      <c r="U130"/>
      <c r="V130"/>
      <c r="W130"/>
      <c r="X130"/>
    </row>
    <row r="131" spans="1:24">
      <c r="A131" t="s">
        <v>14</v>
      </c>
      <c r="B131" t="s">
        <v>619</v>
      </c>
      <c r="C131" t="s">
        <v>624</v>
      </c>
      <c r="D131" t="s">
        <v>56</v>
      </c>
      <c r="E131" t="s">
        <v>55</v>
      </c>
      <c r="F131" t="s">
        <v>473</v>
      </c>
      <c r="G131" t="s">
        <v>474</v>
      </c>
      <c r="H131" t="s">
        <v>257</v>
      </c>
      <c r="I131" t="s">
        <v>38</v>
      </c>
      <c r="J131" t="s">
        <v>47</v>
      </c>
      <c r="K131" s="4">
        <v>136733</v>
      </c>
      <c r="L131" s="4">
        <v>110</v>
      </c>
      <c r="M131" s="4">
        <v>102728</v>
      </c>
      <c r="N131" s="4">
        <v>127130</v>
      </c>
      <c r="O131" s="4">
        <v>4</v>
      </c>
      <c r="P131" s="3">
        <v>1946.0504000000001</v>
      </c>
      <c r="Q131"/>
      <c r="R131"/>
      <c r="S131"/>
      <c r="T131"/>
      <c r="U131"/>
      <c r="V131"/>
      <c r="W131"/>
      <c r="X131"/>
    </row>
    <row r="132" spans="1:24">
      <c r="A132" t="s">
        <v>14</v>
      </c>
      <c r="B132" t="s">
        <v>619</v>
      </c>
      <c r="C132" t="s">
        <v>625</v>
      </c>
      <c r="D132" t="s">
        <v>54</v>
      </c>
      <c r="E132" t="s">
        <v>55</v>
      </c>
      <c r="F132" t="s">
        <v>480</v>
      </c>
      <c r="G132" t="s">
        <v>460</v>
      </c>
      <c r="H132" t="s">
        <v>252</v>
      </c>
      <c r="I132" t="s">
        <v>42</v>
      </c>
      <c r="J132" t="s">
        <v>47</v>
      </c>
      <c r="K132" s="4">
        <v>12451</v>
      </c>
      <c r="L132" s="4">
        <v>30</v>
      </c>
      <c r="M132" s="4">
        <v>2987</v>
      </c>
      <c r="N132" s="4">
        <v>11295</v>
      </c>
      <c r="O132" s="4">
        <v>4</v>
      </c>
      <c r="P132" s="3">
        <v>2127.3238000000001</v>
      </c>
      <c r="Q132"/>
      <c r="R132"/>
      <c r="S132"/>
      <c r="T132"/>
      <c r="U132"/>
      <c r="V132"/>
      <c r="W132"/>
      <c r="X132"/>
    </row>
    <row r="133" spans="1:24">
      <c r="A133" t="s">
        <v>14</v>
      </c>
      <c r="B133" t="s">
        <v>619</v>
      </c>
      <c r="C133" t="s">
        <v>626</v>
      </c>
      <c r="D133" t="s">
        <v>56</v>
      </c>
      <c r="E133" t="s">
        <v>59</v>
      </c>
      <c r="F133" t="s">
        <v>482</v>
      </c>
      <c r="G133" t="s">
        <v>483</v>
      </c>
      <c r="H133" t="s">
        <v>239</v>
      </c>
      <c r="I133" t="s">
        <v>212</v>
      </c>
      <c r="J133" t="s">
        <v>49</v>
      </c>
      <c r="K133" s="4">
        <v>11668</v>
      </c>
      <c r="L133" s="4">
        <v>110</v>
      </c>
      <c r="M133" s="4">
        <v>7860</v>
      </c>
      <c r="N133" s="4">
        <v>11009</v>
      </c>
      <c r="O133" s="4">
        <v>5</v>
      </c>
      <c r="P133" s="3">
        <v>2653.9816000000001</v>
      </c>
      <c r="Q133"/>
      <c r="R133"/>
      <c r="S133"/>
      <c r="T133"/>
      <c r="U133"/>
      <c r="V133"/>
      <c r="W133"/>
      <c r="X133"/>
    </row>
    <row r="134" spans="1:24">
      <c r="A134" t="s">
        <v>14</v>
      </c>
      <c r="B134" t="s">
        <v>619</v>
      </c>
      <c r="C134" t="s">
        <v>627</v>
      </c>
      <c r="D134" t="s">
        <v>56</v>
      </c>
      <c r="E134" t="s">
        <v>57</v>
      </c>
      <c r="F134" t="s">
        <v>473</v>
      </c>
      <c r="G134" t="s">
        <v>474</v>
      </c>
      <c r="H134" t="s">
        <v>250</v>
      </c>
      <c r="I134" t="s">
        <v>36</v>
      </c>
      <c r="J134" t="s">
        <v>48</v>
      </c>
      <c r="K134" s="4">
        <v>51889</v>
      </c>
      <c r="L134" s="4">
        <v>174</v>
      </c>
      <c r="M134" s="4">
        <v>33879</v>
      </c>
      <c r="N134" s="4">
        <v>49382</v>
      </c>
      <c r="O134" s="4">
        <v>5</v>
      </c>
      <c r="P134" s="3">
        <v>2172.8416999999999</v>
      </c>
      <c r="Q134"/>
      <c r="R134"/>
      <c r="S134"/>
      <c r="T134"/>
      <c r="U134"/>
      <c r="V134"/>
      <c r="W134"/>
      <c r="X134"/>
    </row>
    <row r="135" spans="1:24">
      <c r="A135" t="s">
        <v>14</v>
      </c>
      <c r="B135" t="s">
        <v>619</v>
      </c>
      <c r="C135" t="s">
        <v>628</v>
      </c>
      <c r="D135" t="s">
        <v>56</v>
      </c>
      <c r="E135" t="s">
        <v>57</v>
      </c>
      <c r="F135" t="s">
        <v>473</v>
      </c>
      <c r="G135" t="s">
        <v>474</v>
      </c>
      <c r="H135" t="s">
        <v>281</v>
      </c>
      <c r="I135" t="s">
        <v>36</v>
      </c>
      <c r="J135" t="s">
        <v>48</v>
      </c>
      <c r="K135" s="4">
        <v>31625</v>
      </c>
      <c r="L135" s="4">
        <v>99</v>
      </c>
      <c r="M135" s="4">
        <v>23764</v>
      </c>
      <c r="N135" s="4">
        <v>29364</v>
      </c>
      <c r="O135" s="4">
        <v>6</v>
      </c>
      <c r="P135" s="3">
        <v>2360.5551999999998</v>
      </c>
      <c r="Q135"/>
      <c r="R135"/>
      <c r="S135"/>
      <c r="T135"/>
      <c r="U135"/>
      <c r="V135"/>
      <c r="W135"/>
      <c r="X135"/>
    </row>
    <row r="136" spans="1:24">
      <c r="A136" t="s">
        <v>14</v>
      </c>
      <c r="B136" t="s">
        <v>619</v>
      </c>
      <c r="C136" t="s">
        <v>629</v>
      </c>
      <c r="D136" t="s">
        <v>54</v>
      </c>
      <c r="E136" t="s">
        <v>59</v>
      </c>
      <c r="F136" t="s">
        <v>480</v>
      </c>
      <c r="G136" t="s">
        <v>460</v>
      </c>
      <c r="H136" t="s">
        <v>367</v>
      </c>
      <c r="I136" t="s">
        <v>36</v>
      </c>
      <c r="J136" t="s">
        <v>47</v>
      </c>
      <c r="K136" s="4">
        <v>54134</v>
      </c>
      <c r="L136" s="4">
        <v>155</v>
      </c>
      <c r="M136" s="4">
        <v>37418</v>
      </c>
      <c r="N136" s="4">
        <v>51299</v>
      </c>
      <c r="O136" s="4">
        <v>4</v>
      </c>
      <c r="P136" s="3">
        <v>1502.0178000000001</v>
      </c>
      <c r="Q136"/>
      <c r="R136"/>
      <c r="S136"/>
      <c r="T136"/>
      <c r="U136"/>
      <c r="V136"/>
      <c r="W136"/>
      <c r="X136"/>
    </row>
    <row r="137" spans="1:24">
      <c r="A137" t="s">
        <v>14</v>
      </c>
      <c r="B137" t="s">
        <v>619</v>
      </c>
      <c r="C137" t="s">
        <v>630</v>
      </c>
      <c r="D137" t="s">
        <v>56</v>
      </c>
      <c r="E137" t="s">
        <v>57</v>
      </c>
      <c r="F137" t="s">
        <v>471</v>
      </c>
      <c r="G137" t="s">
        <v>464</v>
      </c>
      <c r="H137" t="s">
        <v>231</v>
      </c>
      <c r="I137" t="s">
        <v>38</v>
      </c>
      <c r="J137" t="s">
        <v>49</v>
      </c>
      <c r="K137" s="4">
        <v>49412</v>
      </c>
      <c r="L137" s="4">
        <v>170</v>
      </c>
      <c r="M137" s="4">
        <v>22155</v>
      </c>
      <c r="N137" s="4">
        <v>43802</v>
      </c>
      <c r="O137" s="4">
        <v>3</v>
      </c>
      <c r="P137" s="3">
        <v>1595.6595</v>
      </c>
      <c r="Q137"/>
      <c r="R137"/>
      <c r="S137"/>
      <c r="T137"/>
      <c r="U137"/>
      <c r="V137"/>
      <c r="W137"/>
      <c r="X137"/>
    </row>
    <row r="138" spans="1:24">
      <c r="A138" t="s">
        <v>14</v>
      </c>
      <c r="B138" t="s">
        <v>619</v>
      </c>
      <c r="C138" t="s">
        <v>631</v>
      </c>
      <c r="D138" t="s">
        <v>56</v>
      </c>
      <c r="E138" t="s">
        <v>57</v>
      </c>
      <c r="F138" t="s">
        <v>473</v>
      </c>
      <c r="G138" t="s">
        <v>474</v>
      </c>
      <c r="H138" t="s">
        <v>213</v>
      </c>
      <c r="I138" t="s">
        <v>36</v>
      </c>
      <c r="J138" t="s">
        <v>48</v>
      </c>
      <c r="K138" s="4">
        <v>55692</v>
      </c>
      <c r="L138" s="4">
        <v>184</v>
      </c>
      <c r="M138" s="4">
        <v>3596</v>
      </c>
      <c r="N138" s="4">
        <v>51209</v>
      </c>
      <c r="O138" s="4">
        <v>9</v>
      </c>
      <c r="P138" s="3">
        <v>1981.0503000000001</v>
      </c>
      <c r="Q138"/>
      <c r="R138"/>
      <c r="S138"/>
      <c r="T138"/>
      <c r="U138"/>
      <c r="V138"/>
      <c r="W138"/>
      <c r="X138"/>
    </row>
    <row r="139" spans="1:24">
      <c r="A139" t="s">
        <v>14</v>
      </c>
      <c r="B139" t="s">
        <v>619</v>
      </c>
      <c r="C139" t="s">
        <v>632</v>
      </c>
      <c r="D139" t="s">
        <v>56</v>
      </c>
      <c r="E139" t="s">
        <v>55</v>
      </c>
      <c r="F139" t="s">
        <v>506</v>
      </c>
      <c r="G139" t="s">
        <v>474</v>
      </c>
      <c r="H139" t="s">
        <v>287</v>
      </c>
      <c r="I139" t="s">
        <v>36</v>
      </c>
      <c r="J139" t="s">
        <v>47</v>
      </c>
      <c r="K139" s="4">
        <v>141157</v>
      </c>
      <c r="L139" s="4">
        <v>420</v>
      </c>
      <c r="M139" s="4">
        <v>8280</v>
      </c>
      <c r="N139" s="4">
        <v>107935</v>
      </c>
      <c r="O139" s="4">
        <v>4</v>
      </c>
      <c r="P139" s="3">
        <v>1631.7828999999999</v>
      </c>
      <c r="Q139"/>
      <c r="R139"/>
      <c r="S139"/>
      <c r="T139"/>
      <c r="U139"/>
      <c r="V139"/>
      <c r="W139"/>
      <c r="X139"/>
    </row>
    <row r="140" spans="1:24">
      <c r="A140" t="s">
        <v>14</v>
      </c>
      <c r="B140" t="s">
        <v>619</v>
      </c>
      <c r="C140" t="s">
        <v>633</v>
      </c>
      <c r="D140" t="s">
        <v>54</v>
      </c>
      <c r="E140" t="s">
        <v>57</v>
      </c>
      <c r="F140" t="s">
        <v>486</v>
      </c>
      <c r="G140" t="s">
        <v>487</v>
      </c>
      <c r="H140" t="s">
        <v>228</v>
      </c>
      <c r="I140" t="s">
        <v>44</v>
      </c>
      <c r="J140" t="s">
        <v>47</v>
      </c>
      <c r="K140" s="4">
        <v>49936</v>
      </c>
      <c r="L140" s="4">
        <v>126</v>
      </c>
      <c r="M140" s="4">
        <v>25461</v>
      </c>
      <c r="N140" s="4">
        <v>44751</v>
      </c>
      <c r="O140" s="4">
        <v>13</v>
      </c>
      <c r="P140" s="3">
        <v>2025.7840000000001</v>
      </c>
      <c r="Q140"/>
      <c r="R140"/>
      <c r="S140"/>
      <c r="T140"/>
      <c r="U140"/>
      <c r="V140"/>
      <c r="W140"/>
      <c r="X140"/>
    </row>
    <row r="141" spans="1:24">
      <c r="A141" t="s">
        <v>14</v>
      </c>
      <c r="B141" t="s">
        <v>619</v>
      </c>
      <c r="C141" t="s">
        <v>634</v>
      </c>
      <c r="D141" t="s">
        <v>56</v>
      </c>
      <c r="E141" t="s">
        <v>55</v>
      </c>
      <c r="F141" t="s">
        <v>635</v>
      </c>
      <c r="G141" t="s">
        <v>531</v>
      </c>
      <c r="H141" t="s">
        <v>215</v>
      </c>
      <c r="I141" t="s">
        <v>40</v>
      </c>
      <c r="J141" t="s">
        <v>47</v>
      </c>
      <c r="K141" s="4">
        <v>276716</v>
      </c>
      <c r="L141" s="4">
        <v>799</v>
      </c>
      <c r="M141" s="4">
        <v>114927</v>
      </c>
      <c r="N141" s="4">
        <v>255481</v>
      </c>
      <c r="O141" s="4">
        <v>49</v>
      </c>
      <c r="P141" s="3">
        <v>2276.2775000000001</v>
      </c>
      <c r="Q141"/>
      <c r="R141"/>
      <c r="S141"/>
      <c r="T141"/>
      <c r="U141"/>
      <c r="V141"/>
      <c r="W141"/>
      <c r="X141"/>
    </row>
    <row r="142" spans="1:24">
      <c r="A142" t="s">
        <v>14</v>
      </c>
      <c r="B142" t="s">
        <v>619</v>
      </c>
      <c r="C142" t="s">
        <v>636</v>
      </c>
      <c r="D142" t="s">
        <v>56</v>
      </c>
      <c r="E142" t="s">
        <v>60</v>
      </c>
      <c r="F142" t="s">
        <v>480</v>
      </c>
      <c r="G142" t="s">
        <v>460</v>
      </c>
      <c r="H142" t="s">
        <v>236</v>
      </c>
      <c r="I142" t="s">
        <v>38</v>
      </c>
      <c r="J142" t="s">
        <v>47</v>
      </c>
      <c r="K142" s="4">
        <v>9790</v>
      </c>
      <c r="L142" s="4">
        <v>24</v>
      </c>
      <c r="M142" s="4">
        <v>1295</v>
      </c>
      <c r="N142" s="4">
        <v>9196</v>
      </c>
      <c r="O142" s="4">
        <v>2</v>
      </c>
      <c r="P142" s="3">
        <v>1532.1488999999999</v>
      </c>
      <c r="Q142"/>
      <c r="R142"/>
      <c r="S142"/>
      <c r="T142"/>
      <c r="U142"/>
      <c r="V142"/>
      <c r="W142"/>
      <c r="X142"/>
    </row>
    <row r="143" spans="1:24">
      <c r="A143" t="s">
        <v>14</v>
      </c>
      <c r="B143" t="s">
        <v>619</v>
      </c>
      <c r="C143" t="s">
        <v>637</v>
      </c>
      <c r="D143" t="s">
        <v>56</v>
      </c>
      <c r="E143" t="s">
        <v>57</v>
      </c>
      <c r="F143" t="s">
        <v>519</v>
      </c>
      <c r="G143" t="s">
        <v>460</v>
      </c>
      <c r="H143" t="s">
        <v>250</v>
      </c>
      <c r="I143" t="s">
        <v>36</v>
      </c>
      <c r="J143" t="s">
        <v>48</v>
      </c>
      <c r="K143" s="4">
        <v>19951</v>
      </c>
      <c r="L143" s="4">
        <v>81</v>
      </c>
      <c r="M143" s="4">
        <v>10511</v>
      </c>
      <c r="N143" s="4">
        <v>18132</v>
      </c>
      <c r="O143" s="4">
        <v>15</v>
      </c>
      <c r="P143" s="3">
        <v>1801.1487999999999</v>
      </c>
      <c r="Q143"/>
      <c r="R143"/>
      <c r="S143"/>
      <c r="T143"/>
      <c r="U143"/>
      <c r="V143"/>
      <c r="W143"/>
      <c r="X143"/>
    </row>
    <row r="144" spans="1:24">
      <c r="A144" t="s">
        <v>14</v>
      </c>
      <c r="B144" t="s">
        <v>619</v>
      </c>
      <c r="C144" t="s">
        <v>638</v>
      </c>
      <c r="D144" t="s">
        <v>54</v>
      </c>
      <c r="E144" t="s">
        <v>55</v>
      </c>
      <c r="F144" t="s">
        <v>471</v>
      </c>
      <c r="G144" t="s">
        <v>464</v>
      </c>
      <c r="H144" t="s">
        <v>273</v>
      </c>
      <c r="I144" t="s">
        <v>40</v>
      </c>
      <c r="J144" t="s">
        <v>47</v>
      </c>
      <c r="K144" s="4">
        <v>12488</v>
      </c>
      <c r="L144" s="4">
        <v>99</v>
      </c>
      <c r="M144" s="4">
        <v>4021</v>
      </c>
      <c r="N144" s="4">
        <v>11403</v>
      </c>
      <c r="O144" s="4">
        <v>4</v>
      </c>
      <c r="P144" s="3">
        <v>2176.6574999999998</v>
      </c>
      <c r="Q144"/>
      <c r="R144"/>
      <c r="S144"/>
      <c r="T144"/>
      <c r="U144"/>
      <c r="V144"/>
      <c r="W144"/>
      <c r="X144"/>
    </row>
    <row r="145" spans="1:24">
      <c r="A145" t="s">
        <v>14</v>
      </c>
      <c r="B145" t="s">
        <v>619</v>
      </c>
      <c r="C145" t="s">
        <v>639</v>
      </c>
      <c r="D145" t="s">
        <v>56</v>
      </c>
      <c r="E145" t="s">
        <v>55</v>
      </c>
      <c r="F145" t="s">
        <v>480</v>
      </c>
      <c r="G145" t="s">
        <v>460</v>
      </c>
      <c r="H145" t="s">
        <v>359</v>
      </c>
      <c r="I145" t="s">
        <v>36</v>
      </c>
      <c r="J145" t="s">
        <v>48</v>
      </c>
      <c r="K145" s="4">
        <v>56737</v>
      </c>
      <c r="L145" s="4">
        <v>145</v>
      </c>
      <c r="M145" s="4">
        <v>41296</v>
      </c>
      <c r="N145" s="4">
        <v>53472</v>
      </c>
      <c r="O145" s="4">
        <v>5</v>
      </c>
      <c r="P145" s="3">
        <v>2028.3701000000001</v>
      </c>
      <c r="Q145"/>
      <c r="R145"/>
      <c r="S145"/>
      <c r="T145"/>
      <c r="U145"/>
      <c r="V145"/>
      <c r="W145"/>
      <c r="X145"/>
    </row>
    <row r="146" spans="1:24">
      <c r="A146" t="s">
        <v>14</v>
      </c>
      <c r="B146" t="s">
        <v>640</v>
      </c>
      <c r="C146" t="s">
        <v>641</v>
      </c>
      <c r="D146" t="s">
        <v>56</v>
      </c>
      <c r="E146" t="s">
        <v>55</v>
      </c>
      <c r="F146" t="s">
        <v>497</v>
      </c>
      <c r="G146" t="s">
        <v>460</v>
      </c>
      <c r="H146" t="s">
        <v>377</v>
      </c>
      <c r="I146" t="s">
        <v>36</v>
      </c>
      <c r="J146" t="s">
        <v>47</v>
      </c>
      <c r="K146" s="4">
        <v>11420</v>
      </c>
      <c r="L146" s="4">
        <v>67</v>
      </c>
      <c r="M146" s="4">
        <v>4647</v>
      </c>
      <c r="N146" s="4">
        <v>9909</v>
      </c>
      <c r="O146" s="4">
        <v>9</v>
      </c>
      <c r="P146" s="3">
        <v>3804.6442000000002</v>
      </c>
      <c r="Q146"/>
      <c r="R146"/>
      <c r="S146"/>
      <c r="T146"/>
      <c r="U146"/>
      <c r="V146"/>
      <c r="W146"/>
      <c r="X146"/>
    </row>
    <row r="147" spans="1:24">
      <c r="A147" t="s">
        <v>14</v>
      </c>
      <c r="B147" t="s">
        <v>640</v>
      </c>
      <c r="C147" t="s">
        <v>642</v>
      </c>
      <c r="D147" t="s">
        <v>54</v>
      </c>
      <c r="E147" t="s">
        <v>59</v>
      </c>
      <c r="F147" t="s">
        <v>491</v>
      </c>
      <c r="G147" t="s">
        <v>29</v>
      </c>
      <c r="H147" t="s">
        <v>329</v>
      </c>
      <c r="I147" t="s">
        <v>38</v>
      </c>
      <c r="J147" t="s">
        <v>47</v>
      </c>
      <c r="K147" s="4">
        <v>21962</v>
      </c>
      <c r="L147" s="4">
        <v>120</v>
      </c>
      <c r="M147" s="4">
        <v>10702</v>
      </c>
      <c r="N147" s="4">
        <v>21034</v>
      </c>
      <c r="O147" s="4">
        <v>11</v>
      </c>
      <c r="P147" s="3">
        <v>6404.0030999999999</v>
      </c>
      <c r="Q147"/>
      <c r="R147"/>
      <c r="S147"/>
      <c r="T147"/>
      <c r="U147"/>
      <c r="V147"/>
      <c r="W147"/>
      <c r="X147"/>
    </row>
    <row r="148" spans="1:24">
      <c r="A148" t="s">
        <v>14</v>
      </c>
      <c r="B148" t="s">
        <v>640</v>
      </c>
      <c r="C148" t="s">
        <v>643</v>
      </c>
      <c r="D148" t="s">
        <v>56</v>
      </c>
      <c r="E148" t="s">
        <v>60</v>
      </c>
      <c r="F148" t="s">
        <v>644</v>
      </c>
      <c r="G148" t="s">
        <v>464</v>
      </c>
      <c r="H148" t="s">
        <v>231</v>
      </c>
      <c r="I148" t="s">
        <v>445</v>
      </c>
      <c r="J148" t="s">
        <v>49</v>
      </c>
      <c r="K148" s="4">
        <v>114194</v>
      </c>
      <c r="L148" s="4">
        <v>380</v>
      </c>
      <c r="M148" s="4">
        <v>50923</v>
      </c>
      <c r="N148" s="4">
        <v>104074</v>
      </c>
      <c r="O148" s="4">
        <v>2</v>
      </c>
      <c r="P148" s="3">
        <v>4036.0893999999998</v>
      </c>
      <c r="Q148"/>
      <c r="R148"/>
      <c r="S148"/>
      <c r="T148"/>
      <c r="U148"/>
      <c r="V148"/>
      <c r="W148"/>
      <c r="X148"/>
    </row>
    <row r="149" spans="1:24">
      <c r="A149" t="s">
        <v>14</v>
      </c>
      <c r="B149" t="s">
        <v>640</v>
      </c>
      <c r="C149" t="s">
        <v>645</v>
      </c>
      <c r="D149" t="s">
        <v>54</v>
      </c>
      <c r="E149" t="s">
        <v>57</v>
      </c>
      <c r="F149" t="s">
        <v>467</v>
      </c>
      <c r="G149" t="s">
        <v>468</v>
      </c>
      <c r="H149" t="s">
        <v>229</v>
      </c>
      <c r="I149" t="s">
        <v>36</v>
      </c>
      <c r="J149" t="s">
        <v>47</v>
      </c>
      <c r="K149" s="4">
        <v>38735</v>
      </c>
      <c r="L149" s="4">
        <v>114</v>
      </c>
      <c r="M149" s="4">
        <v>28719</v>
      </c>
      <c r="N149" s="4">
        <v>36629</v>
      </c>
      <c r="O149" s="4">
        <v>4</v>
      </c>
      <c r="P149" s="3">
        <v>2127.8240999999998</v>
      </c>
      <c r="Q149"/>
      <c r="R149"/>
      <c r="S149"/>
      <c r="T149"/>
      <c r="U149"/>
      <c r="V149"/>
      <c r="W149"/>
      <c r="X149"/>
    </row>
    <row r="150" spans="1:24">
      <c r="A150" t="s">
        <v>14</v>
      </c>
      <c r="B150" t="s">
        <v>640</v>
      </c>
      <c r="C150" t="s">
        <v>646</v>
      </c>
      <c r="D150" t="s">
        <v>54</v>
      </c>
      <c r="E150" t="s">
        <v>60</v>
      </c>
      <c r="F150" t="s">
        <v>506</v>
      </c>
      <c r="G150" t="s">
        <v>474</v>
      </c>
      <c r="H150" t="s">
        <v>254</v>
      </c>
      <c r="I150" t="s">
        <v>40</v>
      </c>
      <c r="J150" t="s">
        <v>47</v>
      </c>
      <c r="K150" s="4">
        <v>686858</v>
      </c>
      <c r="L150" s="4">
        <v>2085</v>
      </c>
      <c r="M150" s="4">
        <v>81956</v>
      </c>
      <c r="N150" s="4">
        <v>624118</v>
      </c>
      <c r="O150" s="4">
        <v>19</v>
      </c>
      <c r="P150" s="3">
        <v>7467.0815000000002</v>
      </c>
      <c r="Q150"/>
      <c r="R150"/>
      <c r="S150"/>
      <c r="T150"/>
      <c r="U150"/>
      <c r="V150"/>
      <c r="W150"/>
      <c r="X150"/>
    </row>
    <row r="151" spans="1:24">
      <c r="A151" t="s">
        <v>14</v>
      </c>
      <c r="B151" t="s">
        <v>640</v>
      </c>
      <c r="C151" t="s">
        <v>647</v>
      </c>
      <c r="D151" t="s">
        <v>54</v>
      </c>
      <c r="E151" t="s">
        <v>57</v>
      </c>
      <c r="F151" t="s">
        <v>459</v>
      </c>
      <c r="G151" t="s">
        <v>460</v>
      </c>
      <c r="H151" t="s">
        <v>292</v>
      </c>
      <c r="I151" t="s">
        <v>36</v>
      </c>
      <c r="J151" t="s">
        <v>47</v>
      </c>
      <c r="K151" s="4">
        <v>17752</v>
      </c>
      <c r="L151" s="4">
        <v>98</v>
      </c>
      <c r="M151" s="4">
        <v>5855</v>
      </c>
      <c r="N151" s="4">
        <v>15753</v>
      </c>
      <c r="O151" s="4">
        <v>5</v>
      </c>
      <c r="P151" s="3">
        <v>2200.2970999999998</v>
      </c>
      <c r="Q151"/>
      <c r="R151"/>
      <c r="S151"/>
      <c r="T151"/>
      <c r="U151"/>
      <c r="V151"/>
      <c r="W151"/>
      <c r="X151"/>
    </row>
    <row r="152" spans="1:24">
      <c r="A152" t="s">
        <v>14</v>
      </c>
      <c r="B152" t="s">
        <v>640</v>
      </c>
      <c r="C152" t="s">
        <v>648</v>
      </c>
      <c r="D152" t="s">
        <v>56</v>
      </c>
      <c r="E152" t="s">
        <v>55</v>
      </c>
      <c r="F152" t="s">
        <v>467</v>
      </c>
      <c r="G152" t="s">
        <v>468</v>
      </c>
      <c r="H152" t="s">
        <v>224</v>
      </c>
      <c r="I152" t="s">
        <v>209</v>
      </c>
      <c r="J152" t="s">
        <v>48</v>
      </c>
      <c r="K152" s="4">
        <v>17833</v>
      </c>
      <c r="L152" s="4">
        <v>61</v>
      </c>
      <c r="M152" s="4">
        <v>8670</v>
      </c>
      <c r="N152" s="4">
        <v>16871</v>
      </c>
      <c r="O152" s="4">
        <v>10</v>
      </c>
      <c r="P152" s="3">
        <v>4899.1559999999999</v>
      </c>
      <c r="Q152"/>
      <c r="R152"/>
      <c r="S152"/>
      <c r="T152"/>
      <c r="U152"/>
      <c r="V152"/>
      <c r="W152"/>
      <c r="X152"/>
    </row>
    <row r="153" spans="1:24">
      <c r="A153" t="s">
        <v>14</v>
      </c>
      <c r="B153" t="s">
        <v>640</v>
      </c>
      <c r="C153" t="s">
        <v>649</v>
      </c>
      <c r="D153" t="s">
        <v>56</v>
      </c>
      <c r="E153" t="s">
        <v>55</v>
      </c>
      <c r="F153" t="s">
        <v>497</v>
      </c>
      <c r="G153" t="s">
        <v>460</v>
      </c>
      <c r="H153" t="s">
        <v>328</v>
      </c>
      <c r="I153" t="s">
        <v>38</v>
      </c>
      <c r="J153" t="s">
        <v>48</v>
      </c>
      <c r="K153" s="4">
        <v>24464</v>
      </c>
      <c r="L153" s="4">
        <v>0</v>
      </c>
      <c r="M153" s="4">
        <v>3275</v>
      </c>
      <c r="N153" s="4">
        <v>21993</v>
      </c>
      <c r="O153" s="4">
        <v>6</v>
      </c>
      <c r="P153" s="3">
        <v>2959.1149999999998</v>
      </c>
      <c r="Q153"/>
      <c r="R153"/>
      <c r="S153"/>
      <c r="T153"/>
      <c r="U153"/>
      <c r="V153"/>
      <c r="W153"/>
      <c r="X153"/>
    </row>
    <row r="154" spans="1:24">
      <c r="A154" t="s">
        <v>14</v>
      </c>
      <c r="B154" t="s">
        <v>640</v>
      </c>
      <c r="C154" t="s">
        <v>650</v>
      </c>
      <c r="D154" t="s">
        <v>56</v>
      </c>
      <c r="E154" t="s">
        <v>60</v>
      </c>
      <c r="F154" t="s">
        <v>467</v>
      </c>
      <c r="G154" t="s">
        <v>468</v>
      </c>
      <c r="H154" t="s">
        <v>346</v>
      </c>
      <c r="I154" t="s">
        <v>36</v>
      </c>
      <c r="J154" t="s">
        <v>49</v>
      </c>
      <c r="K154" s="4">
        <v>7447</v>
      </c>
      <c r="L154" s="4">
        <v>10</v>
      </c>
      <c r="M154" s="4">
        <v>4163</v>
      </c>
      <c r="N154" s="4">
        <v>5586</v>
      </c>
      <c r="O154" s="4">
        <v>19</v>
      </c>
      <c r="P154" s="3">
        <v>3311.9412000000002</v>
      </c>
      <c r="Q154"/>
      <c r="R154"/>
      <c r="S154"/>
      <c r="T154"/>
      <c r="U154"/>
      <c r="V154"/>
      <c r="W154"/>
      <c r="X154"/>
    </row>
    <row r="155" spans="1:24">
      <c r="A155" t="s">
        <v>14</v>
      </c>
      <c r="B155" t="s">
        <v>640</v>
      </c>
      <c r="C155" t="s">
        <v>651</v>
      </c>
      <c r="D155" t="s">
        <v>56</v>
      </c>
      <c r="E155" t="s">
        <v>60</v>
      </c>
      <c r="F155" t="s">
        <v>506</v>
      </c>
      <c r="G155" t="s">
        <v>474</v>
      </c>
      <c r="H155" t="s">
        <v>213</v>
      </c>
      <c r="I155" t="s">
        <v>36</v>
      </c>
      <c r="J155" t="s">
        <v>48</v>
      </c>
      <c r="K155" s="4">
        <v>39163</v>
      </c>
      <c r="L155" s="4">
        <v>113</v>
      </c>
      <c r="M155" s="4">
        <v>16254</v>
      </c>
      <c r="N155" s="4">
        <v>36526</v>
      </c>
      <c r="O155" s="4">
        <v>15</v>
      </c>
      <c r="P155" s="3">
        <v>5692.7658000000001</v>
      </c>
      <c r="Q155"/>
      <c r="R155"/>
      <c r="S155"/>
      <c r="T155"/>
      <c r="U155"/>
      <c r="V155"/>
      <c r="W155"/>
      <c r="X155"/>
    </row>
    <row r="156" spans="1:24">
      <c r="A156" t="s">
        <v>14</v>
      </c>
      <c r="B156" t="s">
        <v>640</v>
      </c>
      <c r="C156" t="s">
        <v>652</v>
      </c>
      <c r="D156" t="s">
        <v>56</v>
      </c>
      <c r="E156" t="s">
        <v>59</v>
      </c>
      <c r="F156" t="s">
        <v>480</v>
      </c>
      <c r="G156" t="s">
        <v>460</v>
      </c>
      <c r="H156" t="s">
        <v>424</v>
      </c>
      <c r="I156" t="s">
        <v>36</v>
      </c>
      <c r="J156" t="s">
        <v>49</v>
      </c>
      <c r="K156" s="4">
        <v>7470</v>
      </c>
      <c r="L156" s="4">
        <v>0</v>
      </c>
      <c r="M156" s="4">
        <v>6753</v>
      </c>
      <c r="N156" s="4">
        <v>7229</v>
      </c>
      <c r="O156" s="4">
        <v>1</v>
      </c>
      <c r="P156" s="3">
        <v>1738.9953</v>
      </c>
      <c r="Q156"/>
      <c r="R156"/>
      <c r="S156"/>
      <c r="T156"/>
      <c r="U156"/>
      <c r="V156"/>
      <c r="W156"/>
      <c r="X156"/>
    </row>
    <row r="157" spans="1:24">
      <c r="A157" t="s">
        <v>14</v>
      </c>
      <c r="B157" t="s">
        <v>640</v>
      </c>
      <c r="C157" t="s">
        <v>653</v>
      </c>
      <c r="D157" t="s">
        <v>54</v>
      </c>
      <c r="E157" t="s">
        <v>59</v>
      </c>
      <c r="F157" t="s">
        <v>467</v>
      </c>
      <c r="G157" t="s">
        <v>468</v>
      </c>
      <c r="H157" t="s">
        <v>283</v>
      </c>
      <c r="I157" t="s">
        <v>36</v>
      </c>
      <c r="J157" t="s">
        <v>47</v>
      </c>
      <c r="K157" s="4">
        <v>95289</v>
      </c>
      <c r="L157" s="4">
        <v>199</v>
      </c>
      <c r="M157" s="4">
        <v>19527</v>
      </c>
      <c r="N157" s="4">
        <v>82800</v>
      </c>
      <c r="O157" s="4">
        <v>5</v>
      </c>
      <c r="P157" s="3">
        <v>3223.5358999999999</v>
      </c>
      <c r="Q157"/>
      <c r="R157"/>
      <c r="S157"/>
      <c r="T157"/>
      <c r="U157"/>
      <c r="V157"/>
      <c r="W157"/>
      <c r="X157"/>
    </row>
    <row r="158" spans="1:24">
      <c r="A158" t="s">
        <v>14</v>
      </c>
      <c r="B158" t="s">
        <v>640</v>
      </c>
      <c r="C158" t="s">
        <v>654</v>
      </c>
      <c r="D158" t="s">
        <v>56</v>
      </c>
      <c r="E158" t="s">
        <v>57</v>
      </c>
      <c r="F158" t="s">
        <v>467</v>
      </c>
      <c r="G158" t="s">
        <v>468</v>
      </c>
      <c r="H158" t="s">
        <v>264</v>
      </c>
      <c r="I158" t="s">
        <v>44</v>
      </c>
      <c r="J158" t="s">
        <v>47</v>
      </c>
      <c r="K158" s="4">
        <v>49014</v>
      </c>
      <c r="L158" s="4">
        <v>100</v>
      </c>
      <c r="M158" s="4">
        <v>30349</v>
      </c>
      <c r="N158" s="4">
        <v>46446</v>
      </c>
      <c r="O158" s="4">
        <v>6</v>
      </c>
      <c r="P158" s="3">
        <v>3628.3462</v>
      </c>
      <c r="Q158"/>
      <c r="R158"/>
      <c r="S158"/>
      <c r="T158"/>
      <c r="U158"/>
      <c r="V158"/>
      <c r="W158"/>
      <c r="X158"/>
    </row>
    <row r="159" spans="1:24">
      <c r="A159" t="s">
        <v>14</v>
      </c>
      <c r="B159" t="s">
        <v>655</v>
      </c>
      <c r="C159" t="s">
        <v>656</v>
      </c>
      <c r="D159" t="s">
        <v>54</v>
      </c>
      <c r="E159" t="s">
        <v>55</v>
      </c>
      <c r="F159" t="s">
        <v>467</v>
      </c>
      <c r="G159" t="s">
        <v>468</v>
      </c>
      <c r="H159" t="s">
        <v>449</v>
      </c>
      <c r="I159" t="s">
        <v>448</v>
      </c>
      <c r="J159" t="s">
        <v>47</v>
      </c>
      <c r="K159" s="4">
        <v>56927</v>
      </c>
      <c r="L159" s="4">
        <v>165</v>
      </c>
      <c r="M159" s="4">
        <v>20980</v>
      </c>
      <c r="N159" s="4">
        <v>55050</v>
      </c>
      <c r="O159" s="4">
        <v>5</v>
      </c>
      <c r="P159" s="3">
        <v>2463.8218999999999</v>
      </c>
      <c r="Q159"/>
      <c r="R159"/>
      <c r="S159"/>
      <c r="T159"/>
      <c r="U159"/>
      <c r="V159"/>
      <c r="W159"/>
      <c r="X159"/>
    </row>
    <row r="160" spans="1:24">
      <c r="A160" t="s">
        <v>14</v>
      </c>
      <c r="B160" t="s">
        <v>655</v>
      </c>
      <c r="C160" t="s">
        <v>657</v>
      </c>
      <c r="D160" t="s">
        <v>56</v>
      </c>
      <c r="E160" t="s">
        <v>60</v>
      </c>
      <c r="F160" t="s">
        <v>473</v>
      </c>
      <c r="G160" t="s">
        <v>474</v>
      </c>
      <c r="H160" t="s">
        <v>237</v>
      </c>
      <c r="I160" t="s">
        <v>36</v>
      </c>
      <c r="J160" t="s">
        <v>47</v>
      </c>
      <c r="K160" s="4">
        <v>130796</v>
      </c>
      <c r="L160" s="4">
        <v>300</v>
      </c>
      <c r="M160" s="4">
        <v>109118</v>
      </c>
      <c r="N160" s="4">
        <v>122937</v>
      </c>
      <c r="O160" s="4">
        <v>6</v>
      </c>
      <c r="P160" s="3">
        <v>2196.6612</v>
      </c>
      <c r="Q160"/>
      <c r="R160"/>
      <c r="S160"/>
      <c r="T160"/>
      <c r="U160"/>
      <c r="V160"/>
      <c r="W160"/>
      <c r="X160"/>
    </row>
    <row r="161" spans="1:24">
      <c r="A161" t="s">
        <v>14</v>
      </c>
      <c r="B161" t="s">
        <v>655</v>
      </c>
      <c r="C161" t="s">
        <v>658</v>
      </c>
      <c r="D161" t="s">
        <v>56</v>
      </c>
      <c r="E161" t="s">
        <v>60</v>
      </c>
      <c r="F161" t="s">
        <v>489</v>
      </c>
      <c r="G161" t="s">
        <v>460</v>
      </c>
      <c r="H161" t="s">
        <v>240</v>
      </c>
      <c r="I161" t="s">
        <v>214</v>
      </c>
      <c r="J161" t="s">
        <v>47</v>
      </c>
      <c r="K161" s="4">
        <v>217824</v>
      </c>
      <c r="L161" s="4">
        <v>560</v>
      </c>
      <c r="M161" s="4">
        <v>75089</v>
      </c>
      <c r="N161" s="4">
        <v>179723</v>
      </c>
      <c r="O161" s="4">
        <v>16</v>
      </c>
      <c r="P161" s="3">
        <v>1451.8085000000001</v>
      </c>
      <c r="Q161"/>
      <c r="R161"/>
      <c r="S161"/>
      <c r="T161"/>
      <c r="U161"/>
      <c r="V161"/>
      <c r="W161"/>
      <c r="X161"/>
    </row>
    <row r="162" spans="1:24">
      <c r="A162" t="s">
        <v>12</v>
      </c>
      <c r="B162" t="s">
        <v>659</v>
      </c>
      <c r="D162" t="s">
        <v>56</v>
      </c>
      <c r="E162" t="s">
        <v>57</v>
      </c>
      <c r="F162" t="s">
        <v>467</v>
      </c>
      <c r="G162" t="s">
        <v>468</v>
      </c>
      <c r="H162" t="s">
        <v>215</v>
      </c>
      <c r="I162" t="s">
        <v>38</v>
      </c>
      <c r="J162" t="s">
        <v>49</v>
      </c>
      <c r="K162" s="4">
        <v>7584</v>
      </c>
      <c r="L162" s="4">
        <v>40</v>
      </c>
      <c r="M162" s="4">
        <v>3093</v>
      </c>
      <c r="N162" s="4">
        <v>6897</v>
      </c>
      <c r="O162" s="4">
        <v>2</v>
      </c>
      <c r="P162" s="3">
        <v>4467.0807999999997</v>
      </c>
      <c r="Q162"/>
      <c r="R162"/>
      <c r="S162"/>
      <c r="T162"/>
      <c r="U162"/>
      <c r="V162"/>
      <c r="W162"/>
      <c r="X162"/>
    </row>
    <row r="163" spans="1:24">
      <c r="A163" t="s">
        <v>12</v>
      </c>
      <c r="B163" t="s">
        <v>660</v>
      </c>
      <c r="D163" t="s">
        <v>54</v>
      </c>
      <c r="E163" t="s">
        <v>60</v>
      </c>
      <c r="F163" t="s">
        <v>471</v>
      </c>
      <c r="G163" t="s">
        <v>464</v>
      </c>
      <c r="H163" t="s">
        <v>233</v>
      </c>
      <c r="I163" t="s">
        <v>36</v>
      </c>
      <c r="J163" t="s">
        <v>47</v>
      </c>
      <c r="K163" s="4">
        <v>22690</v>
      </c>
      <c r="L163" s="4">
        <v>68</v>
      </c>
      <c r="M163" s="4">
        <v>10212</v>
      </c>
      <c r="N163" s="4">
        <v>19934</v>
      </c>
      <c r="O163" s="4">
        <v>19</v>
      </c>
      <c r="P163" s="3">
        <v>7210.6864999999998</v>
      </c>
      <c r="Q163"/>
      <c r="R163"/>
      <c r="S163"/>
      <c r="T163"/>
      <c r="U163"/>
      <c r="V163"/>
      <c r="W163"/>
      <c r="X163"/>
    </row>
    <row r="164" spans="1:24">
      <c r="A164" t="s">
        <v>12</v>
      </c>
      <c r="B164" t="s">
        <v>661</v>
      </c>
      <c r="D164" t="s">
        <v>54</v>
      </c>
      <c r="E164" t="s">
        <v>55</v>
      </c>
      <c r="F164" t="s">
        <v>482</v>
      </c>
      <c r="G164" t="s">
        <v>483</v>
      </c>
      <c r="H164" t="s">
        <v>225</v>
      </c>
      <c r="I164" t="s">
        <v>209</v>
      </c>
      <c r="J164" t="s">
        <v>47</v>
      </c>
      <c r="K164" s="4">
        <v>18022</v>
      </c>
      <c r="L164" s="4">
        <v>30</v>
      </c>
      <c r="M164" s="4">
        <v>10618</v>
      </c>
      <c r="N164" s="4">
        <v>16643</v>
      </c>
      <c r="O164" s="4">
        <v>15</v>
      </c>
      <c r="P164" s="3">
        <v>4051.1587</v>
      </c>
      <c r="Q164"/>
      <c r="R164"/>
      <c r="S164"/>
      <c r="T164"/>
      <c r="U164"/>
      <c r="V164"/>
      <c r="W164"/>
      <c r="X164"/>
    </row>
    <row r="165" spans="1:24">
      <c r="A165" t="s">
        <v>12</v>
      </c>
      <c r="B165" t="s">
        <v>662</v>
      </c>
      <c r="C165" t="s">
        <v>663</v>
      </c>
      <c r="D165" t="s">
        <v>56</v>
      </c>
      <c r="E165" t="s">
        <v>59</v>
      </c>
      <c r="F165" t="s">
        <v>467</v>
      </c>
      <c r="G165" t="s">
        <v>468</v>
      </c>
      <c r="H165" t="s">
        <v>260</v>
      </c>
      <c r="I165" t="s">
        <v>44</v>
      </c>
      <c r="J165" t="s">
        <v>47</v>
      </c>
      <c r="K165" s="4">
        <v>247106</v>
      </c>
      <c r="L165" s="4">
        <v>750</v>
      </c>
      <c r="M165" s="4">
        <v>159618</v>
      </c>
      <c r="N165" s="4">
        <v>233150</v>
      </c>
      <c r="O165" s="4">
        <v>32</v>
      </c>
      <c r="P165" s="3">
        <v>7629.9443000000001</v>
      </c>
      <c r="Q165"/>
      <c r="R165"/>
      <c r="S165"/>
      <c r="T165"/>
      <c r="U165"/>
      <c r="V165"/>
      <c r="W165"/>
      <c r="X165"/>
    </row>
    <row r="166" spans="1:24">
      <c r="A166" t="s">
        <v>12</v>
      </c>
      <c r="B166" t="s">
        <v>662</v>
      </c>
      <c r="C166" t="s">
        <v>664</v>
      </c>
      <c r="D166" t="s">
        <v>56</v>
      </c>
      <c r="E166" t="s">
        <v>60</v>
      </c>
      <c r="F166" t="s">
        <v>506</v>
      </c>
      <c r="G166" t="s">
        <v>474</v>
      </c>
      <c r="H166" t="s">
        <v>354</v>
      </c>
      <c r="I166" t="s">
        <v>38</v>
      </c>
      <c r="J166" t="s">
        <v>49</v>
      </c>
      <c r="K166" s="4">
        <v>7585</v>
      </c>
      <c r="L166" s="4">
        <v>13</v>
      </c>
      <c r="M166" s="4">
        <v>5396</v>
      </c>
      <c r="N166" s="4">
        <v>7417</v>
      </c>
      <c r="O166" s="4">
        <v>24</v>
      </c>
      <c r="P166" s="3">
        <v>7082.6538</v>
      </c>
      <c r="Q166"/>
      <c r="R166"/>
      <c r="S166"/>
      <c r="T166"/>
      <c r="U166"/>
      <c r="V166"/>
      <c r="W166"/>
      <c r="X166"/>
    </row>
    <row r="167" spans="1:24">
      <c r="A167" t="s">
        <v>12</v>
      </c>
      <c r="B167" t="s">
        <v>662</v>
      </c>
      <c r="C167" t="s">
        <v>665</v>
      </c>
      <c r="D167" t="s">
        <v>58</v>
      </c>
      <c r="E167" t="s">
        <v>60</v>
      </c>
      <c r="F167" t="s">
        <v>473</v>
      </c>
      <c r="G167" t="s">
        <v>474</v>
      </c>
      <c r="H167" t="s">
        <v>318</v>
      </c>
      <c r="I167" t="s">
        <v>38</v>
      </c>
      <c r="J167" t="s">
        <v>47</v>
      </c>
      <c r="K167" s="4">
        <v>100800</v>
      </c>
      <c r="L167" s="4">
        <v>185</v>
      </c>
      <c r="M167" s="4">
        <v>14473</v>
      </c>
      <c r="N167" s="4">
        <v>85424</v>
      </c>
      <c r="O167" s="4">
        <v>10</v>
      </c>
      <c r="P167" s="3">
        <v>7004.7304999999997</v>
      </c>
      <c r="Q167"/>
      <c r="R167"/>
      <c r="S167"/>
      <c r="T167"/>
      <c r="U167"/>
      <c r="V167"/>
      <c r="W167"/>
      <c r="X167"/>
    </row>
    <row r="168" spans="1:24">
      <c r="A168" t="s">
        <v>12</v>
      </c>
      <c r="B168" t="s">
        <v>662</v>
      </c>
      <c r="C168" t="s">
        <v>666</v>
      </c>
      <c r="D168" t="s">
        <v>56</v>
      </c>
      <c r="E168" t="s">
        <v>55</v>
      </c>
      <c r="F168" t="s">
        <v>482</v>
      </c>
      <c r="G168" t="s">
        <v>483</v>
      </c>
      <c r="H168" t="s">
        <v>310</v>
      </c>
      <c r="I168" t="s">
        <v>36</v>
      </c>
      <c r="J168" t="s">
        <v>47</v>
      </c>
      <c r="K168" s="4">
        <v>106392</v>
      </c>
      <c r="L168" s="4">
        <v>299</v>
      </c>
      <c r="M168" s="4">
        <v>39599</v>
      </c>
      <c r="N168" s="4">
        <v>94941</v>
      </c>
      <c r="O168" s="4">
        <v>3</v>
      </c>
      <c r="P168" s="3">
        <v>6542.6124</v>
      </c>
      <c r="Q168"/>
      <c r="R168"/>
      <c r="S168"/>
      <c r="T168"/>
      <c r="U168"/>
      <c r="V168"/>
      <c r="W168"/>
      <c r="X168"/>
    </row>
    <row r="169" spans="1:24">
      <c r="A169" t="s">
        <v>12</v>
      </c>
      <c r="B169" t="s">
        <v>667</v>
      </c>
      <c r="D169" t="s">
        <v>54</v>
      </c>
      <c r="E169" t="s">
        <v>60</v>
      </c>
      <c r="F169" t="s">
        <v>497</v>
      </c>
      <c r="G169" t="s">
        <v>460</v>
      </c>
      <c r="H169" t="s">
        <v>229</v>
      </c>
      <c r="I169" t="s">
        <v>209</v>
      </c>
      <c r="J169" t="s">
        <v>47</v>
      </c>
      <c r="K169" s="4">
        <v>7320</v>
      </c>
      <c r="L169" s="4">
        <v>33</v>
      </c>
      <c r="M169" s="4">
        <v>4020</v>
      </c>
      <c r="N169" s="4">
        <v>6692</v>
      </c>
      <c r="O169" s="4">
        <v>15</v>
      </c>
      <c r="P169" s="3">
        <v>1730.3735999999999</v>
      </c>
      <c r="Q169"/>
      <c r="R169"/>
      <c r="S169"/>
      <c r="T169"/>
      <c r="U169"/>
      <c r="V169"/>
      <c r="W169"/>
      <c r="X169"/>
    </row>
    <row r="170" spans="1:24">
      <c r="A170" t="s">
        <v>12</v>
      </c>
      <c r="B170" t="s">
        <v>667</v>
      </c>
      <c r="C170" t="s">
        <v>668</v>
      </c>
      <c r="D170" t="s">
        <v>56</v>
      </c>
      <c r="E170" t="s">
        <v>59</v>
      </c>
      <c r="F170" t="s">
        <v>497</v>
      </c>
      <c r="G170" t="s">
        <v>460</v>
      </c>
      <c r="H170" t="s">
        <v>211</v>
      </c>
      <c r="I170" t="s">
        <v>36</v>
      </c>
      <c r="J170" t="s">
        <v>47</v>
      </c>
      <c r="K170" s="4">
        <v>23774</v>
      </c>
      <c r="L170" s="4">
        <v>60</v>
      </c>
      <c r="M170" s="4">
        <v>10735</v>
      </c>
      <c r="N170" s="4">
        <v>21076</v>
      </c>
      <c r="O170" s="4">
        <v>24</v>
      </c>
      <c r="P170" s="3">
        <v>7657.1080000000002</v>
      </c>
      <c r="Q170"/>
      <c r="R170"/>
      <c r="S170"/>
      <c r="T170"/>
      <c r="U170"/>
      <c r="V170"/>
      <c r="W170"/>
      <c r="X170"/>
    </row>
    <row r="171" spans="1:24">
      <c r="A171" t="s">
        <v>12</v>
      </c>
      <c r="B171" t="s">
        <v>667</v>
      </c>
      <c r="C171" t="s">
        <v>669</v>
      </c>
      <c r="D171" t="s">
        <v>54</v>
      </c>
      <c r="E171" t="s">
        <v>59</v>
      </c>
      <c r="F171" t="s">
        <v>467</v>
      </c>
      <c r="G171" t="s">
        <v>468</v>
      </c>
      <c r="H171" t="s">
        <v>242</v>
      </c>
      <c r="I171" t="s">
        <v>36</v>
      </c>
      <c r="J171" t="s">
        <v>47</v>
      </c>
      <c r="K171" s="4">
        <v>18095</v>
      </c>
      <c r="L171" s="4">
        <v>50</v>
      </c>
      <c r="M171" s="4">
        <v>10021</v>
      </c>
      <c r="N171" s="4">
        <v>16755</v>
      </c>
      <c r="O171" s="4">
        <v>24</v>
      </c>
      <c r="P171" s="3">
        <v>6768.7587999999996</v>
      </c>
      <c r="Q171"/>
      <c r="R171"/>
      <c r="S171"/>
      <c r="T171"/>
      <c r="U171"/>
      <c r="V171"/>
      <c r="W171"/>
      <c r="X171"/>
    </row>
    <row r="172" spans="1:24">
      <c r="A172" t="s">
        <v>12</v>
      </c>
      <c r="B172" t="s">
        <v>670</v>
      </c>
      <c r="D172" t="s">
        <v>56</v>
      </c>
      <c r="E172" t="s">
        <v>60</v>
      </c>
      <c r="F172" t="s">
        <v>467</v>
      </c>
      <c r="G172" t="s">
        <v>468</v>
      </c>
      <c r="H172" t="s">
        <v>211</v>
      </c>
      <c r="I172" t="s">
        <v>38</v>
      </c>
      <c r="J172" t="s">
        <v>47</v>
      </c>
      <c r="K172" s="4">
        <v>728841</v>
      </c>
      <c r="L172" s="4">
        <v>2174</v>
      </c>
      <c r="M172" s="4">
        <v>424340</v>
      </c>
      <c r="N172" s="4">
        <v>634059</v>
      </c>
      <c r="O172" s="4">
        <v>37</v>
      </c>
      <c r="P172" s="3">
        <v>8054.1414000000004</v>
      </c>
      <c r="Q172"/>
      <c r="R172"/>
      <c r="S172"/>
      <c r="T172"/>
      <c r="U172"/>
      <c r="V172"/>
      <c r="W172"/>
      <c r="X172"/>
    </row>
    <row r="173" spans="1:24">
      <c r="A173" t="s">
        <v>12</v>
      </c>
      <c r="B173" t="s">
        <v>670</v>
      </c>
      <c r="C173" t="s">
        <v>671</v>
      </c>
      <c r="D173" t="s">
        <v>56</v>
      </c>
      <c r="E173" t="s">
        <v>60</v>
      </c>
      <c r="F173" t="s">
        <v>489</v>
      </c>
      <c r="G173" t="s">
        <v>460</v>
      </c>
      <c r="H173" t="s">
        <v>221</v>
      </c>
      <c r="I173" t="s">
        <v>42</v>
      </c>
      <c r="J173" t="s">
        <v>47</v>
      </c>
      <c r="K173" s="4">
        <v>57168</v>
      </c>
      <c r="L173" s="4">
        <v>160</v>
      </c>
      <c r="M173" s="4">
        <v>43261</v>
      </c>
      <c r="N173" s="4">
        <v>55261</v>
      </c>
      <c r="O173" s="4">
        <v>12</v>
      </c>
      <c r="P173" s="3">
        <v>5841.1513999999997</v>
      </c>
      <c r="Q173"/>
      <c r="R173"/>
      <c r="S173"/>
      <c r="T173"/>
      <c r="U173"/>
      <c r="V173"/>
      <c r="W173"/>
      <c r="X173"/>
    </row>
    <row r="174" spans="1:24">
      <c r="A174" t="s">
        <v>12</v>
      </c>
      <c r="B174" t="s">
        <v>670</v>
      </c>
      <c r="C174" t="s">
        <v>672</v>
      </c>
      <c r="D174" t="s">
        <v>56</v>
      </c>
      <c r="E174" t="s">
        <v>59</v>
      </c>
      <c r="F174" t="s">
        <v>519</v>
      </c>
      <c r="G174" t="s">
        <v>460</v>
      </c>
      <c r="H174" t="s">
        <v>348</v>
      </c>
      <c r="I174" t="s">
        <v>36</v>
      </c>
      <c r="J174" t="s">
        <v>48</v>
      </c>
      <c r="K174" s="4">
        <v>24875</v>
      </c>
      <c r="L174" s="4">
        <v>67</v>
      </c>
      <c r="M174" s="4">
        <v>14213</v>
      </c>
      <c r="N174" s="4">
        <v>23455</v>
      </c>
      <c r="O174" s="4">
        <v>8</v>
      </c>
      <c r="P174" s="3">
        <v>4652.2421000000004</v>
      </c>
      <c r="Q174"/>
      <c r="R174"/>
      <c r="S174"/>
      <c r="T174"/>
      <c r="U174"/>
      <c r="V174"/>
      <c r="W174"/>
      <c r="X174"/>
    </row>
    <row r="175" spans="1:24">
      <c r="A175" t="s">
        <v>12</v>
      </c>
      <c r="B175" t="s">
        <v>670</v>
      </c>
      <c r="C175" t="s">
        <v>673</v>
      </c>
      <c r="D175" t="s">
        <v>56</v>
      </c>
      <c r="E175" t="s">
        <v>59</v>
      </c>
      <c r="F175" t="s">
        <v>467</v>
      </c>
      <c r="G175" t="s">
        <v>468</v>
      </c>
      <c r="H175" t="s">
        <v>228</v>
      </c>
      <c r="I175" t="s">
        <v>42</v>
      </c>
      <c r="J175" t="s">
        <v>49</v>
      </c>
      <c r="K175" s="4">
        <v>23156</v>
      </c>
      <c r="L175" s="4">
        <v>73</v>
      </c>
      <c r="M175" s="4">
        <v>4468</v>
      </c>
      <c r="N175" s="4">
        <v>18821</v>
      </c>
      <c r="O175" s="4">
        <v>15</v>
      </c>
      <c r="P175" s="3">
        <v>6173.4129000000003</v>
      </c>
      <c r="Q175"/>
      <c r="R175"/>
      <c r="S175"/>
      <c r="T175"/>
      <c r="U175"/>
      <c r="V175"/>
      <c r="W175"/>
      <c r="X175"/>
    </row>
    <row r="176" spans="1:24">
      <c r="A176" t="s">
        <v>12</v>
      </c>
      <c r="B176" t="s">
        <v>670</v>
      </c>
      <c r="C176" t="s">
        <v>674</v>
      </c>
      <c r="D176" t="s">
        <v>54</v>
      </c>
      <c r="E176" t="s">
        <v>57</v>
      </c>
      <c r="F176" t="s">
        <v>482</v>
      </c>
      <c r="G176" t="s">
        <v>483</v>
      </c>
      <c r="H176" t="s">
        <v>258</v>
      </c>
      <c r="I176" t="s">
        <v>36</v>
      </c>
      <c r="J176" t="s">
        <v>47</v>
      </c>
      <c r="K176" s="4">
        <v>25835</v>
      </c>
      <c r="L176" s="4">
        <v>69</v>
      </c>
      <c r="M176" s="4">
        <v>3753</v>
      </c>
      <c r="N176" s="4">
        <v>20808</v>
      </c>
      <c r="O176" s="4">
        <v>11</v>
      </c>
      <c r="P176" s="3">
        <v>5751.9123</v>
      </c>
      <c r="Q176"/>
      <c r="R176"/>
      <c r="S176"/>
      <c r="T176"/>
      <c r="U176"/>
      <c r="V176"/>
      <c r="W176"/>
      <c r="X176"/>
    </row>
    <row r="177" spans="1:24">
      <c r="A177" t="s">
        <v>12</v>
      </c>
      <c r="B177" t="s">
        <v>670</v>
      </c>
      <c r="C177" t="s">
        <v>675</v>
      </c>
      <c r="D177" t="s">
        <v>56</v>
      </c>
      <c r="E177" t="s">
        <v>60</v>
      </c>
      <c r="F177" t="s">
        <v>459</v>
      </c>
      <c r="G177" t="s">
        <v>460</v>
      </c>
      <c r="H177" t="s">
        <v>330</v>
      </c>
      <c r="I177" t="s">
        <v>445</v>
      </c>
      <c r="J177" t="s">
        <v>47</v>
      </c>
      <c r="K177" s="4">
        <v>14224</v>
      </c>
      <c r="L177" s="4">
        <v>30</v>
      </c>
      <c r="M177" s="4">
        <v>2549</v>
      </c>
      <c r="N177" s="4">
        <v>11974</v>
      </c>
      <c r="O177" s="4">
        <v>7</v>
      </c>
      <c r="P177" s="3">
        <v>5637.3035</v>
      </c>
      <c r="Q177"/>
      <c r="R177"/>
      <c r="S177"/>
      <c r="T177"/>
      <c r="U177"/>
      <c r="V177"/>
      <c r="W177"/>
      <c r="X177"/>
    </row>
    <row r="178" spans="1:24">
      <c r="A178" t="s">
        <v>12</v>
      </c>
      <c r="B178" t="s">
        <v>670</v>
      </c>
      <c r="C178" t="s">
        <v>676</v>
      </c>
      <c r="D178" t="s">
        <v>56</v>
      </c>
      <c r="E178" t="s">
        <v>60</v>
      </c>
      <c r="F178" t="s">
        <v>482</v>
      </c>
      <c r="G178" t="s">
        <v>483</v>
      </c>
      <c r="H178" t="s">
        <v>262</v>
      </c>
      <c r="I178" t="s">
        <v>40</v>
      </c>
      <c r="J178" t="s">
        <v>48</v>
      </c>
      <c r="K178" s="4">
        <v>95644</v>
      </c>
      <c r="L178" s="4">
        <v>240</v>
      </c>
      <c r="M178" s="4">
        <v>13294</v>
      </c>
      <c r="N178" s="4">
        <v>86775</v>
      </c>
      <c r="O178" s="4">
        <v>9</v>
      </c>
      <c r="P178" s="3">
        <v>5587.7637000000004</v>
      </c>
      <c r="Q178"/>
      <c r="R178"/>
      <c r="S178"/>
      <c r="T178"/>
      <c r="U178"/>
      <c r="V178"/>
      <c r="W178"/>
      <c r="X178"/>
    </row>
    <row r="179" spans="1:24">
      <c r="A179" t="s">
        <v>12</v>
      </c>
      <c r="B179" t="s">
        <v>677</v>
      </c>
      <c r="D179" t="s">
        <v>54</v>
      </c>
      <c r="E179" t="s">
        <v>57</v>
      </c>
      <c r="F179" t="s">
        <v>506</v>
      </c>
      <c r="G179" t="s">
        <v>474</v>
      </c>
      <c r="H179" t="s">
        <v>218</v>
      </c>
      <c r="I179" t="s">
        <v>36</v>
      </c>
      <c r="J179" t="s">
        <v>47</v>
      </c>
      <c r="K179" s="4">
        <v>999915</v>
      </c>
      <c r="L179" s="4">
        <v>2748</v>
      </c>
      <c r="M179" s="4">
        <v>618816</v>
      </c>
      <c r="N179" s="4">
        <v>829942</v>
      </c>
      <c r="O179" s="4">
        <v>23</v>
      </c>
      <c r="P179" s="3">
        <v>7879.3167999999996</v>
      </c>
      <c r="Q179"/>
      <c r="R179"/>
      <c r="S179"/>
      <c r="T179"/>
      <c r="U179"/>
      <c r="V179"/>
      <c r="W179"/>
      <c r="X179"/>
    </row>
    <row r="180" spans="1:24">
      <c r="A180" t="s">
        <v>12</v>
      </c>
      <c r="B180" t="s">
        <v>678</v>
      </c>
      <c r="D180" t="s">
        <v>54</v>
      </c>
      <c r="E180" t="s">
        <v>57</v>
      </c>
      <c r="F180" t="s">
        <v>467</v>
      </c>
      <c r="G180" t="s">
        <v>468</v>
      </c>
      <c r="H180" t="s">
        <v>215</v>
      </c>
      <c r="I180" t="s">
        <v>40</v>
      </c>
      <c r="J180" t="s">
        <v>47</v>
      </c>
      <c r="K180" s="4">
        <v>888037</v>
      </c>
      <c r="L180" s="4">
        <v>2841</v>
      </c>
      <c r="M180" s="4">
        <v>370429</v>
      </c>
      <c r="N180" s="4">
        <v>820340</v>
      </c>
      <c r="O180" s="4">
        <v>42</v>
      </c>
      <c r="P180" s="3">
        <v>8134.3504999999996</v>
      </c>
      <c r="Q180"/>
      <c r="R180"/>
      <c r="S180"/>
      <c r="T180"/>
      <c r="U180"/>
      <c r="V180"/>
      <c r="W180"/>
      <c r="X180"/>
    </row>
    <row r="181" spans="1:24">
      <c r="A181" t="s">
        <v>12</v>
      </c>
      <c r="B181" t="s">
        <v>678</v>
      </c>
      <c r="C181" t="s">
        <v>679</v>
      </c>
      <c r="D181" t="s">
        <v>56</v>
      </c>
      <c r="E181" t="s">
        <v>60</v>
      </c>
      <c r="F181" t="s">
        <v>506</v>
      </c>
      <c r="G181" t="s">
        <v>474</v>
      </c>
      <c r="H181" t="s">
        <v>218</v>
      </c>
      <c r="I181" t="s">
        <v>36</v>
      </c>
      <c r="J181" t="s">
        <v>47</v>
      </c>
      <c r="K181" s="4">
        <v>109128</v>
      </c>
      <c r="L181" s="4">
        <v>470</v>
      </c>
      <c r="M181" s="4">
        <v>38487</v>
      </c>
      <c r="N181" s="4">
        <v>90615</v>
      </c>
      <c r="O181" s="4">
        <v>3</v>
      </c>
      <c r="P181" s="3">
        <v>5153.1171999999997</v>
      </c>
      <c r="Q181"/>
      <c r="R181"/>
      <c r="S181"/>
      <c r="T181"/>
      <c r="U181"/>
      <c r="V181"/>
      <c r="W181"/>
      <c r="X181"/>
    </row>
    <row r="182" spans="1:24">
      <c r="A182" t="s">
        <v>12</v>
      </c>
      <c r="B182" t="s">
        <v>680</v>
      </c>
      <c r="D182" t="s">
        <v>58</v>
      </c>
      <c r="E182" t="s">
        <v>59</v>
      </c>
      <c r="F182" t="s">
        <v>467</v>
      </c>
      <c r="G182" t="s">
        <v>468</v>
      </c>
      <c r="H182" t="s">
        <v>211</v>
      </c>
      <c r="I182" t="s">
        <v>42</v>
      </c>
      <c r="J182" t="s">
        <v>47</v>
      </c>
      <c r="K182" s="4">
        <v>1083050</v>
      </c>
      <c r="L182" s="4">
        <v>3984</v>
      </c>
      <c r="M182" s="4">
        <v>590156</v>
      </c>
      <c r="N182" s="4">
        <v>953556</v>
      </c>
      <c r="O182" s="4">
        <v>19</v>
      </c>
      <c r="P182" s="3">
        <v>7495.7497999999996</v>
      </c>
      <c r="Q182"/>
      <c r="R182"/>
      <c r="S182"/>
      <c r="T182"/>
      <c r="U182"/>
      <c r="V182"/>
      <c r="W182"/>
      <c r="X182"/>
    </row>
    <row r="183" spans="1:24">
      <c r="A183" t="s">
        <v>16</v>
      </c>
      <c r="B183" t="s">
        <v>681</v>
      </c>
      <c r="C183" t="s">
        <v>682</v>
      </c>
      <c r="D183" t="s">
        <v>54</v>
      </c>
      <c r="E183" t="s">
        <v>55</v>
      </c>
      <c r="F183" t="s">
        <v>506</v>
      </c>
      <c r="G183" t="s">
        <v>474</v>
      </c>
      <c r="H183" t="s">
        <v>257</v>
      </c>
      <c r="I183" t="s">
        <v>38</v>
      </c>
      <c r="J183" t="s">
        <v>47</v>
      </c>
      <c r="K183" s="4">
        <v>186702</v>
      </c>
      <c r="L183" s="4">
        <v>370</v>
      </c>
      <c r="M183" s="4">
        <v>132038</v>
      </c>
      <c r="N183" s="4">
        <v>167406</v>
      </c>
      <c r="O183" s="4">
        <v>4</v>
      </c>
      <c r="P183" s="3">
        <v>1568.7360000000001</v>
      </c>
      <c r="Q183"/>
      <c r="R183"/>
      <c r="S183"/>
      <c r="T183"/>
      <c r="U183"/>
      <c r="V183"/>
      <c r="W183"/>
      <c r="X183"/>
    </row>
    <row r="184" spans="1:24">
      <c r="A184" t="s">
        <v>16</v>
      </c>
      <c r="B184" t="s">
        <v>681</v>
      </c>
      <c r="C184" t="s">
        <v>683</v>
      </c>
      <c r="D184" t="s">
        <v>56</v>
      </c>
      <c r="E184" t="s">
        <v>60</v>
      </c>
      <c r="F184" t="s">
        <v>473</v>
      </c>
      <c r="G184" t="s">
        <v>474</v>
      </c>
      <c r="H184" t="s">
        <v>342</v>
      </c>
      <c r="I184" t="s">
        <v>38</v>
      </c>
      <c r="J184" t="s">
        <v>49</v>
      </c>
      <c r="K184" s="4">
        <v>12001</v>
      </c>
      <c r="L184" s="4">
        <v>40</v>
      </c>
      <c r="M184" s="4">
        <v>7173</v>
      </c>
      <c r="N184" s="4">
        <v>11432</v>
      </c>
      <c r="O184" s="4">
        <v>2</v>
      </c>
      <c r="P184" s="3">
        <v>1659.9327000000001</v>
      </c>
      <c r="Q184"/>
      <c r="R184"/>
      <c r="S184"/>
      <c r="T184"/>
      <c r="U184"/>
      <c r="V184"/>
      <c r="W184"/>
      <c r="X184"/>
    </row>
    <row r="185" spans="1:24">
      <c r="A185" t="s">
        <v>16</v>
      </c>
      <c r="B185" t="s">
        <v>681</v>
      </c>
      <c r="C185" t="s">
        <v>684</v>
      </c>
      <c r="D185" t="s">
        <v>56</v>
      </c>
      <c r="E185" t="s">
        <v>55</v>
      </c>
      <c r="F185" t="s">
        <v>685</v>
      </c>
      <c r="G185" t="s">
        <v>686</v>
      </c>
      <c r="H185" t="s">
        <v>287</v>
      </c>
      <c r="I185" t="s">
        <v>40</v>
      </c>
      <c r="J185" t="s">
        <v>48</v>
      </c>
      <c r="K185" s="4">
        <v>57257</v>
      </c>
      <c r="L185" s="4">
        <v>167</v>
      </c>
      <c r="M185" s="4">
        <v>3797</v>
      </c>
      <c r="N185" s="4">
        <v>51520</v>
      </c>
      <c r="O185" s="4">
        <v>1</v>
      </c>
      <c r="P185" s="3">
        <v>1841.3580999999999</v>
      </c>
      <c r="Q185"/>
      <c r="R185"/>
      <c r="S185"/>
      <c r="T185"/>
      <c r="U185"/>
      <c r="V185"/>
      <c r="W185"/>
      <c r="X185"/>
    </row>
    <row r="186" spans="1:24">
      <c r="A186" t="s">
        <v>16</v>
      </c>
      <c r="B186" t="s">
        <v>681</v>
      </c>
      <c r="C186" t="s">
        <v>687</v>
      </c>
      <c r="D186" t="s">
        <v>54</v>
      </c>
      <c r="E186" t="s">
        <v>60</v>
      </c>
      <c r="F186" t="s">
        <v>519</v>
      </c>
      <c r="G186" t="s">
        <v>460</v>
      </c>
      <c r="H186" t="s">
        <v>231</v>
      </c>
      <c r="I186" t="s">
        <v>38</v>
      </c>
      <c r="J186" t="s">
        <v>47</v>
      </c>
      <c r="K186" s="4">
        <v>43666</v>
      </c>
      <c r="L186" s="4">
        <v>133</v>
      </c>
      <c r="M186" s="4">
        <v>18513</v>
      </c>
      <c r="N186" s="4">
        <v>40506</v>
      </c>
      <c r="O186" s="4">
        <v>18</v>
      </c>
      <c r="P186" s="3">
        <v>1980.3938000000001</v>
      </c>
      <c r="Q186"/>
      <c r="R186"/>
      <c r="S186"/>
      <c r="T186"/>
      <c r="U186"/>
      <c r="V186"/>
      <c r="W186"/>
      <c r="X186"/>
    </row>
    <row r="187" spans="1:24">
      <c r="A187" t="s">
        <v>16</v>
      </c>
      <c r="B187" t="s">
        <v>681</v>
      </c>
      <c r="C187" t="s">
        <v>688</v>
      </c>
      <c r="D187" t="s">
        <v>56</v>
      </c>
      <c r="E187" t="s">
        <v>60</v>
      </c>
      <c r="F187" t="s">
        <v>482</v>
      </c>
      <c r="G187" t="s">
        <v>483</v>
      </c>
      <c r="H187" t="s">
        <v>217</v>
      </c>
      <c r="I187" t="s">
        <v>36</v>
      </c>
      <c r="J187" t="s">
        <v>49</v>
      </c>
      <c r="K187" s="4">
        <v>50183</v>
      </c>
      <c r="L187" s="4">
        <v>199</v>
      </c>
      <c r="M187" s="4">
        <v>41506</v>
      </c>
      <c r="N187" s="4">
        <v>46163</v>
      </c>
      <c r="O187" s="4">
        <v>15</v>
      </c>
      <c r="P187" s="3">
        <v>1628.8828000000001</v>
      </c>
      <c r="Q187"/>
      <c r="R187"/>
      <c r="S187"/>
      <c r="T187"/>
      <c r="U187"/>
      <c r="V187"/>
      <c r="W187"/>
      <c r="X187"/>
    </row>
    <row r="188" spans="1:24">
      <c r="A188" t="s">
        <v>16</v>
      </c>
      <c r="B188" t="s">
        <v>681</v>
      </c>
      <c r="C188" t="s">
        <v>689</v>
      </c>
      <c r="D188" t="s">
        <v>56</v>
      </c>
      <c r="E188" t="s">
        <v>59</v>
      </c>
      <c r="F188" t="s">
        <v>547</v>
      </c>
      <c r="G188" t="s">
        <v>460</v>
      </c>
      <c r="H188" t="s">
        <v>215</v>
      </c>
      <c r="I188" t="s">
        <v>38</v>
      </c>
      <c r="J188" t="s">
        <v>48</v>
      </c>
      <c r="K188" s="4">
        <v>59296</v>
      </c>
      <c r="L188" s="4">
        <v>170</v>
      </c>
      <c r="M188" s="4">
        <v>25482</v>
      </c>
      <c r="N188" s="4">
        <v>54149</v>
      </c>
      <c r="O188" s="4">
        <v>4</v>
      </c>
      <c r="P188" s="3">
        <v>1568.7153000000001</v>
      </c>
      <c r="Q188"/>
      <c r="R188"/>
      <c r="S188"/>
      <c r="T188"/>
      <c r="U188"/>
      <c r="V188"/>
      <c r="W188"/>
      <c r="X188"/>
    </row>
    <row r="189" spans="1:24">
      <c r="A189" t="s">
        <v>16</v>
      </c>
      <c r="B189" t="s">
        <v>10</v>
      </c>
      <c r="C189" t="s">
        <v>690</v>
      </c>
      <c r="D189" t="s">
        <v>54</v>
      </c>
      <c r="E189" t="s">
        <v>55</v>
      </c>
      <c r="F189" t="s">
        <v>480</v>
      </c>
      <c r="G189" t="s">
        <v>460</v>
      </c>
      <c r="H189" t="s">
        <v>236</v>
      </c>
      <c r="I189" t="s">
        <v>36</v>
      </c>
      <c r="J189" t="s">
        <v>47</v>
      </c>
      <c r="K189" s="4">
        <v>304377</v>
      </c>
      <c r="L189" s="4">
        <v>801</v>
      </c>
      <c r="M189" s="4">
        <v>27519</v>
      </c>
      <c r="N189" s="4">
        <v>270098</v>
      </c>
      <c r="O189" s="4">
        <v>63</v>
      </c>
      <c r="P189" s="3">
        <v>1595.4871000000001</v>
      </c>
      <c r="Q189"/>
      <c r="R189"/>
      <c r="S189"/>
      <c r="T189"/>
      <c r="U189"/>
      <c r="V189"/>
      <c r="W189"/>
      <c r="X189"/>
    </row>
    <row r="190" spans="1:24">
      <c r="A190" t="s">
        <v>16</v>
      </c>
      <c r="B190" t="s">
        <v>10</v>
      </c>
      <c r="C190" t="s">
        <v>691</v>
      </c>
      <c r="D190" t="s">
        <v>56</v>
      </c>
      <c r="E190" t="s">
        <v>57</v>
      </c>
      <c r="F190" t="s">
        <v>471</v>
      </c>
      <c r="G190" t="s">
        <v>464</v>
      </c>
      <c r="H190" t="s">
        <v>211</v>
      </c>
      <c r="I190" t="s">
        <v>36</v>
      </c>
      <c r="J190" t="s">
        <v>47</v>
      </c>
      <c r="K190" s="4">
        <v>482834</v>
      </c>
      <c r="L190" s="4">
        <v>1269</v>
      </c>
      <c r="M190" s="4">
        <v>292059</v>
      </c>
      <c r="N190" s="4">
        <v>428761</v>
      </c>
      <c r="O190" s="4">
        <v>7</v>
      </c>
      <c r="P190" s="3">
        <v>1594.4634000000001</v>
      </c>
      <c r="Q190"/>
      <c r="R190"/>
      <c r="S190"/>
      <c r="T190"/>
      <c r="U190"/>
      <c r="V190"/>
      <c r="W190"/>
      <c r="X190"/>
    </row>
    <row r="191" spans="1:24">
      <c r="A191" t="s">
        <v>16</v>
      </c>
      <c r="B191" t="s">
        <v>692</v>
      </c>
      <c r="D191" t="s">
        <v>54</v>
      </c>
      <c r="E191" t="s">
        <v>57</v>
      </c>
      <c r="F191" t="s">
        <v>467</v>
      </c>
      <c r="G191" t="s">
        <v>468</v>
      </c>
      <c r="H191" t="s">
        <v>254</v>
      </c>
      <c r="I191" t="s">
        <v>43</v>
      </c>
      <c r="J191" t="s">
        <v>47</v>
      </c>
      <c r="K191" s="4">
        <v>194833</v>
      </c>
      <c r="L191" s="4">
        <v>499</v>
      </c>
      <c r="M191" s="4">
        <v>29091</v>
      </c>
      <c r="N191" s="4">
        <v>143813</v>
      </c>
      <c r="O191" s="4">
        <v>4</v>
      </c>
      <c r="P191" s="3">
        <v>1586.3145</v>
      </c>
      <c r="Q191"/>
      <c r="R191"/>
      <c r="S191"/>
      <c r="T191"/>
      <c r="U191"/>
      <c r="V191"/>
      <c r="W191"/>
      <c r="X191"/>
    </row>
    <row r="192" spans="1:24">
      <c r="A192" t="s">
        <v>16</v>
      </c>
      <c r="B192" t="s">
        <v>693</v>
      </c>
      <c r="D192" t="s">
        <v>54</v>
      </c>
      <c r="E192" t="s">
        <v>59</v>
      </c>
      <c r="F192" t="s">
        <v>497</v>
      </c>
      <c r="G192" t="s">
        <v>460</v>
      </c>
      <c r="H192" t="s">
        <v>217</v>
      </c>
      <c r="I192" t="s">
        <v>42</v>
      </c>
      <c r="J192" t="s">
        <v>47</v>
      </c>
      <c r="K192" s="4">
        <v>8278</v>
      </c>
      <c r="L192" s="4">
        <v>40</v>
      </c>
      <c r="M192" s="4">
        <v>6758</v>
      </c>
      <c r="N192" s="4">
        <v>7537</v>
      </c>
      <c r="O192" s="4">
        <v>1</v>
      </c>
      <c r="P192" s="3">
        <v>1526.2965999999999</v>
      </c>
      <c r="Q192"/>
      <c r="R192"/>
      <c r="S192"/>
      <c r="T192"/>
      <c r="U192"/>
      <c r="V192"/>
      <c r="W192"/>
      <c r="X192"/>
    </row>
    <row r="193" spans="1:24">
      <c r="A193" t="s">
        <v>16</v>
      </c>
      <c r="B193" t="s">
        <v>694</v>
      </c>
      <c r="C193" t="s">
        <v>695</v>
      </c>
      <c r="D193" t="s">
        <v>56</v>
      </c>
      <c r="E193" t="s">
        <v>57</v>
      </c>
      <c r="F193" t="s">
        <v>473</v>
      </c>
      <c r="G193" t="s">
        <v>474</v>
      </c>
      <c r="H193" t="s">
        <v>249</v>
      </c>
      <c r="I193" t="s">
        <v>214</v>
      </c>
      <c r="J193" t="s">
        <v>47</v>
      </c>
      <c r="K193" s="4">
        <v>8437</v>
      </c>
      <c r="L193" s="4">
        <v>63</v>
      </c>
      <c r="M193" s="4">
        <v>5271</v>
      </c>
      <c r="N193" s="4">
        <v>7065</v>
      </c>
      <c r="O193" s="4">
        <v>2</v>
      </c>
      <c r="P193" s="3">
        <v>1880.5332000000001</v>
      </c>
      <c r="Q193"/>
      <c r="R193"/>
      <c r="S193"/>
      <c r="T193"/>
      <c r="U193"/>
      <c r="V193"/>
      <c r="W193"/>
      <c r="X193"/>
    </row>
    <row r="194" spans="1:24">
      <c r="A194" t="s">
        <v>16</v>
      </c>
      <c r="B194" t="s">
        <v>694</v>
      </c>
      <c r="C194" t="s">
        <v>696</v>
      </c>
      <c r="D194" t="s">
        <v>56</v>
      </c>
      <c r="E194" t="s">
        <v>60</v>
      </c>
      <c r="F194" t="s">
        <v>471</v>
      </c>
      <c r="G194" t="s">
        <v>464</v>
      </c>
      <c r="H194" t="s">
        <v>218</v>
      </c>
      <c r="I194" t="s">
        <v>36</v>
      </c>
      <c r="J194" t="s">
        <v>48</v>
      </c>
      <c r="K194" s="4">
        <v>60412</v>
      </c>
      <c r="L194" s="4">
        <v>169</v>
      </c>
      <c r="M194" s="4">
        <v>33457</v>
      </c>
      <c r="N194" s="4">
        <v>52172</v>
      </c>
      <c r="O194" s="4">
        <v>24</v>
      </c>
      <c r="P194" s="3">
        <v>1679.5726999999999</v>
      </c>
      <c r="Q194"/>
      <c r="R194"/>
      <c r="S194"/>
      <c r="T194"/>
      <c r="U194"/>
      <c r="V194"/>
      <c r="W194"/>
      <c r="X194"/>
    </row>
    <row r="195" spans="1:24">
      <c r="A195" t="s">
        <v>16</v>
      </c>
      <c r="B195" t="s">
        <v>697</v>
      </c>
      <c r="C195" t="s">
        <v>698</v>
      </c>
      <c r="D195" t="s">
        <v>56</v>
      </c>
      <c r="E195" t="s">
        <v>59</v>
      </c>
      <c r="F195" t="s">
        <v>699</v>
      </c>
      <c r="G195" t="s">
        <v>613</v>
      </c>
      <c r="H195" t="s">
        <v>221</v>
      </c>
      <c r="I195" t="s">
        <v>36</v>
      </c>
      <c r="J195" t="s">
        <v>47</v>
      </c>
      <c r="K195" s="4">
        <v>13202</v>
      </c>
      <c r="L195" s="4">
        <v>101</v>
      </c>
      <c r="M195" s="4">
        <v>10871</v>
      </c>
      <c r="N195" s="4">
        <v>12885</v>
      </c>
      <c r="O195" s="4">
        <v>3</v>
      </c>
      <c r="P195" s="3">
        <v>1699.0608</v>
      </c>
      <c r="Q195"/>
      <c r="R195"/>
      <c r="S195"/>
      <c r="T195"/>
      <c r="U195"/>
      <c r="V195"/>
      <c r="W195"/>
      <c r="X195"/>
    </row>
    <row r="196" spans="1:24">
      <c r="A196" t="s">
        <v>16</v>
      </c>
      <c r="B196" t="s">
        <v>700</v>
      </c>
      <c r="C196" t="s">
        <v>701</v>
      </c>
      <c r="D196" t="s">
        <v>56</v>
      </c>
      <c r="E196" t="s">
        <v>60</v>
      </c>
      <c r="F196" t="s">
        <v>635</v>
      </c>
      <c r="G196" t="s">
        <v>531</v>
      </c>
      <c r="H196" t="s">
        <v>297</v>
      </c>
      <c r="I196" t="s">
        <v>40</v>
      </c>
      <c r="J196" t="s">
        <v>47</v>
      </c>
      <c r="K196" s="4">
        <v>14922</v>
      </c>
      <c r="L196" s="4">
        <v>99</v>
      </c>
      <c r="M196" s="4">
        <v>10713</v>
      </c>
      <c r="N196" s="4">
        <v>13992</v>
      </c>
      <c r="O196" s="4">
        <v>5</v>
      </c>
      <c r="P196" s="3">
        <v>1578.8764000000001</v>
      </c>
      <c r="Q196"/>
      <c r="R196"/>
      <c r="S196"/>
      <c r="T196"/>
      <c r="U196"/>
      <c r="V196"/>
      <c r="W196"/>
      <c r="X196"/>
    </row>
    <row r="197" spans="1:24">
      <c r="A197" t="s">
        <v>16</v>
      </c>
      <c r="B197" t="s">
        <v>700</v>
      </c>
      <c r="C197" t="s">
        <v>702</v>
      </c>
      <c r="D197" t="s">
        <v>54</v>
      </c>
      <c r="E197" t="s">
        <v>55</v>
      </c>
      <c r="F197" t="s">
        <v>467</v>
      </c>
      <c r="G197" t="s">
        <v>468</v>
      </c>
      <c r="H197" t="s">
        <v>219</v>
      </c>
      <c r="I197" t="s">
        <v>36</v>
      </c>
      <c r="J197" t="s">
        <v>47</v>
      </c>
      <c r="K197" s="4">
        <v>152881</v>
      </c>
      <c r="L197" s="4">
        <v>426</v>
      </c>
      <c r="M197" s="4">
        <v>94895</v>
      </c>
      <c r="N197" s="4">
        <v>145113</v>
      </c>
      <c r="O197" s="4">
        <v>11</v>
      </c>
      <c r="P197" s="3">
        <v>1496.6685</v>
      </c>
      <c r="Q197"/>
      <c r="R197"/>
      <c r="S197"/>
      <c r="T197"/>
      <c r="U197"/>
      <c r="V197"/>
      <c r="W197"/>
      <c r="X197"/>
    </row>
    <row r="198" spans="1:24">
      <c r="A198" t="s">
        <v>16</v>
      </c>
      <c r="B198" t="s">
        <v>700</v>
      </c>
      <c r="C198" t="s">
        <v>703</v>
      </c>
      <c r="D198" t="s">
        <v>54</v>
      </c>
      <c r="E198" t="s">
        <v>59</v>
      </c>
      <c r="F198" t="s">
        <v>467</v>
      </c>
      <c r="G198" t="s">
        <v>468</v>
      </c>
      <c r="H198" t="s">
        <v>213</v>
      </c>
      <c r="I198" t="s">
        <v>42</v>
      </c>
      <c r="J198" t="s">
        <v>47</v>
      </c>
      <c r="K198" s="4">
        <v>12088</v>
      </c>
      <c r="L198" s="4">
        <v>88</v>
      </c>
      <c r="M198" s="4">
        <v>1124</v>
      </c>
      <c r="N198" s="4">
        <v>10003</v>
      </c>
      <c r="O198" s="4">
        <v>2</v>
      </c>
      <c r="P198" s="3">
        <v>1500.0262</v>
      </c>
      <c r="Q198"/>
      <c r="R198"/>
      <c r="S198"/>
      <c r="T198"/>
      <c r="U198"/>
      <c r="V198"/>
      <c r="W198"/>
      <c r="X198"/>
    </row>
    <row r="199" spans="1:24">
      <c r="A199" t="s">
        <v>16</v>
      </c>
      <c r="B199" t="s">
        <v>700</v>
      </c>
      <c r="C199" t="s">
        <v>704</v>
      </c>
      <c r="D199" t="s">
        <v>56</v>
      </c>
      <c r="E199" t="s">
        <v>60</v>
      </c>
      <c r="F199" t="s">
        <v>471</v>
      </c>
      <c r="G199" t="s">
        <v>464</v>
      </c>
      <c r="H199" t="s">
        <v>213</v>
      </c>
      <c r="I199" t="s">
        <v>445</v>
      </c>
      <c r="J199" t="s">
        <v>47</v>
      </c>
      <c r="K199" s="4">
        <v>435848</v>
      </c>
      <c r="L199" s="4">
        <v>1058</v>
      </c>
      <c r="M199" s="4">
        <v>274912</v>
      </c>
      <c r="N199" s="4">
        <v>415601</v>
      </c>
      <c r="O199" s="4">
        <v>15</v>
      </c>
      <c r="P199" s="3">
        <v>1554.44</v>
      </c>
      <c r="Q199"/>
      <c r="R199"/>
      <c r="S199"/>
      <c r="T199"/>
      <c r="U199"/>
      <c r="V199"/>
      <c r="W199"/>
      <c r="X199"/>
    </row>
    <row r="200" spans="1:24">
      <c r="A200" t="s">
        <v>16</v>
      </c>
      <c r="B200" t="s">
        <v>700</v>
      </c>
      <c r="C200" t="s">
        <v>705</v>
      </c>
      <c r="D200" t="s">
        <v>54</v>
      </c>
      <c r="E200" t="s">
        <v>59</v>
      </c>
      <c r="F200" t="s">
        <v>706</v>
      </c>
      <c r="G200" t="s">
        <v>707</v>
      </c>
      <c r="H200" t="s">
        <v>257</v>
      </c>
      <c r="I200" t="s">
        <v>36</v>
      </c>
      <c r="J200" t="s">
        <v>47</v>
      </c>
      <c r="K200" s="4">
        <v>198754</v>
      </c>
      <c r="L200" s="4">
        <v>480</v>
      </c>
      <c r="M200" s="4">
        <v>137649</v>
      </c>
      <c r="N200" s="4">
        <v>178415</v>
      </c>
      <c r="O200" s="4">
        <v>4</v>
      </c>
      <c r="P200" s="3">
        <v>1803.0815</v>
      </c>
      <c r="Q200"/>
      <c r="R200"/>
      <c r="S200"/>
      <c r="T200"/>
      <c r="U200"/>
      <c r="V200"/>
      <c r="W200"/>
      <c r="X200"/>
    </row>
    <row r="201" spans="1:24">
      <c r="A201" t="s">
        <v>16</v>
      </c>
      <c r="B201" t="s">
        <v>708</v>
      </c>
      <c r="C201" t="s">
        <v>709</v>
      </c>
      <c r="D201" t="s">
        <v>56</v>
      </c>
      <c r="E201" t="s">
        <v>59</v>
      </c>
      <c r="F201" t="s">
        <v>497</v>
      </c>
      <c r="G201" t="s">
        <v>460</v>
      </c>
      <c r="H201" t="s">
        <v>269</v>
      </c>
      <c r="I201" t="s">
        <v>44</v>
      </c>
      <c r="J201" t="s">
        <v>48</v>
      </c>
      <c r="K201" s="4">
        <v>31813</v>
      </c>
      <c r="L201" s="4">
        <v>84</v>
      </c>
      <c r="M201" s="4">
        <v>14149</v>
      </c>
      <c r="N201" s="4">
        <v>21281</v>
      </c>
      <c r="O201" s="4">
        <v>13</v>
      </c>
      <c r="P201" s="3">
        <v>2060.9938999999999</v>
      </c>
      <c r="Q201"/>
      <c r="R201"/>
      <c r="S201"/>
      <c r="T201"/>
      <c r="U201"/>
      <c r="V201"/>
      <c r="W201"/>
      <c r="X201"/>
    </row>
    <row r="202" spans="1:24">
      <c r="A202" t="s">
        <v>16</v>
      </c>
      <c r="B202" t="s">
        <v>710</v>
      </c>
      <c r="C202" t="s">
        <v>711</v>
      </c>
      <c r="D202" t="s">
        <v>56</v>
      </c>
      <c r="E202" t="s">
        <v>55</v>
      </c>
      <c r="F202" t="s">
        <v>482</v>
      </c>
      <c r="G202" t="s">
        <v>483</v>
      </c>
      <c r="H202" t="s">
        <v>366</v>
      </c>
      <c r="I202" t="s">
        <v>36</v>
      </c>
      <c r="J202" t="s">
        <v>49</v>
      </c>
      <c r="K202" s="4">
        <v>50517</v>
      </c>
      <c r="L202" s="4">
        <v>270</v>
      </c>
      <c r="M202" s="4">
        <v>17179</v>
      </c>
      <c r="N202" s="4">
        <v>48389</v>
      </c>
      <c r="O202" s="4">
        <v>2</v>
      </c>
      <c r="P202" s="3">
        <v>1718.4711</v>
      </c>
      <c r="Q202"/>
      <c r="R202"/>
      <c r="S202"/>
      <c r="T202"/>
      <c r="U202"/>
      <c r="V202"/>
      <c r="W202"/>
      <c r="X202"/>
    </row>
    <row r="203" spans="1:24">
      <c r="A203" t="s">
        <v>16</v>
      </c>
      <c r="B203" t="s">
        <v>28</v>
      </c>
      <c r="C203" t="s">
        <v>712</v>
      </c>
      <c r="D203" t="s">
        <v>54</v>
      </c>
      <c r="E203" t="s">
        <v>60</v>
      </c>
      <c r="F203" t="s">
        <v>480</v>
      </c>
      <c r="G203" t="s">
        <v>460</v>
      </c>
      <c r="H203" t="s">
        <v>233</v>
      </c>
      <c r="I203" t="s">
        <v>36</v>
      </c>
      <c r="J203" t="s">
        <v>47</v>
      </c>
      <c r="K203" s="4">
        <v>52582</v>
      </c>
      <c r="L203" s="4">
        <v>140</v>
      </c>
      <c r="M203" s="4">
        <v>22065</v>
      </c>
      <c r="N203" s="4">
        <v>46126</v>
      </c>
      <c r="O203" s="4">
        <v>10</v>
      </c>
      <c r="P203" s="3">
        <v>1631.7417</v>
      </c>
      <c r="Q203"/>
      <c r="R203"/>
      <c r="S203"/>
      <c r="T203"/>
      <c r="U203"/>
      <c r="V203"/>
      <c r="W203"/>
      <c r="X203"/>
    </row>
    <row r="204" spans="1:24">
      <c r="A204" t="s">
        <v>16</v>
      </c>
      <c r="B204" t="s">
        <v>28</v>
      </c>
      <c r="C204" t="s">
        <v>713</v>
      </c>
      <c r="D204" t="s">
        <v>56</v>
      </c>
      <c r="E204" t="s">
        <v>60</v>
      </c>
      <c r="F204" t="s">
        <v>489</v>
      </c>
      <c r="G204" t="s">
        <v>460</v>
      </c>
      <c r="H204" t="s">
        <v>257</v>
      </c>
      <c r="I204" t="s">
        <v>40</v>
      </c>
      <c r="J204" t="s">
        <v>48</v>
      </c>
      <c r="K204" s="4">
        <v>32173</v>
      </c>
      <c r="L204" s="4">
        <v>104</v>
      </c>
      <c r="M204" s="4">
        <v>24427</v>
      </c>
      <c r="N204" s="4">
        <v>30084</v>
      </c>
      <c r="O204" s="4">
        <v>11</v>
      </c>
      <c r="P204" s="3">
        <v>1498.2915</v>
      </c>
      <c r="Q204"/>
      <c r="R204"/>
      <c r="S204"/>
      <c r="T204"/>
      <c r="U204"/>
      <c r="V204"/>
      <c r="W204"/>
      <c r="X204"/>
    </row>
    <row r="205" spans="1:24">
      <c r="A205" t="s">
        <v>16</v>
      </c>
      <c r="B205" t="s">
        <v>28</v>
      </c>
      <c r="C205" t="s">
        <v>714</v>
      </c>
      <c r="D205" t="s">
        <v>54</v>
      </c>
      <c r="E205" t="s">
        <v>57</v>
      </c>
      <c r="F205" t="s">
        <v>506</v>
      </c>
      <c r="G205" t="s">
        <v>474</v>
      </c>
      <c r="H205" t="s">
        <v>211</v>
      </c>
      <c r="I205" t="s">
        <v>36</v>
      </c>
      <c r="J205" t="s">
        <v>47</v>
      </c>
      <c r="K205" s="4">
        <v>780475</v>
      </c>
      <c r="L205" s="4">
        <v>2186</v>
      </c>
      <c r="M205" s="4">
        <v>453974</v>
      </c>
      <c r="N205" s="4">
        <v>691696</v>
      </c>
      <c r="O205" s="4">
        <v>11</v>
      </c>
      <c r="P205" s="3">
        <v>1726.2494999999999</v>
      </c>
      <c r="Q205"/>
      <c r="R205"/>
      <c r="S205"/>
      <c r="T205"/>
      <c r="U205"/>
      <c r="V205"/>
      <c r="W205"/>
      <c r="X205"/>
    </row>
    <row r="206" spans="1:24">
      <c r="A206" t="s">
        <v>16</v>
      </c>
      <c r="B206" t="s">
        <v>28</v>
      </c>
      <c r="C206" t="s">
        <v>715</v>
      </c>
      <c r="D206" t="s">
        <v>56</v>
      </c>
      <c r="E206" t="s">
        <v>60</v>
      </c>
      <c r="F206" t="s">
        <v>467</v>
      </c>
      <c r="G206" t="s">
        <v>468</v>
      </c>
      <c r="H206" t="s">
        <v>365</v>
      </c>
      <c r="I206" t="s">
        <v>43</v>
      </c>
      <c r="J206" t="s">
        <v>47</v>
      </c>
      <c r="K206" s="4">
        <v>61227</v>
      </c>
      <c r="L206" s="4">
        <v>174</v>
      </c>
      <c r="M206" s="4">
        <v>10434</v>
      </c>
      <c r="N206" s="4">
        <v>53104</v>
      </c>
      <c r="O206" s="4">
        <v>8</v>
      </c>
      <c r="P206" s="3">
        <v>1919.5536999999999</v>
      </c>
      <c r="Q206"/>
      <c r="R206"/>
      <c r="S206"/>
      <c r="T206"/>
      <c r="U206"/>
      <c r="V206"/>
      <c r="W206"/>
      <c r="X206"/>
    </row>
    <row r="207" spans="1:24">
      <c r="A207" t="s">
        <v>16</v>
      </c>
      <c r="B207" t="s">
        <v>28</v>
      </c>
      <c r="C207" t="s">
        <v>716</v>
      </c>
      <c r="D207" t="s">
        <v>56</v>
      </c>
      <c r="E207" t="s">
        <v>59</v>
      </c>
      <c r="F207" t="s">
        <v>547</v>
      </c>
      <c r="G207" t="s">
        <v>460</v>
      </c>
      <c r="H207" t="s">
        <v>382</v>
      </c>
      <c r="I207" t="s">
        <v>36</v>
      </c>
      <c r="J207" t="s">
        <v>48</v>
      </c>
      <c r="K207" s="4">
        <v>20348</v>
      </c>
      <c r="L207" s="4">
        <v>101</v>
      </c>
      <c r="M207" s="4">
        <v>14945</v>
      </c>
      <c r="N207" s="4">
        <v>19548</v>
      </c>
      <c r="O207" s="4">
        <v>6</v>
      </c>
      <c r="P207" s="3">
        <v>1596.5524</v>
      </c>
      <c r="Q207"/>
      <c r="R207"/>
      <c r="S207"/>
      <c r="T207"/>
      <c r="U207"/>
      <c r="V207"/>
      <c r="W207"/>
      <c r="X207"/>
    </row>
    <row r="208" spans="1:24">
      <c r="A208" t="s">
        <v>16</v>
      </c>
      <c r="B208" t="s">
        <v>717</v>
      </c>
      <c r="C208" t="s">
        <v>718</v>
      </c>
      <c r="D208" t="s">
        <v>56</v>
      </c>
      <c r="E208" t="s">
        <v>59</v>
      </c>
      <c r="F208" t="s">
        <v>497</v>
      </c>
      <c r="G208" t="s">
        <v>460</v>
      </c>
      <c r="H208" t="s">
        <v>215</v>
      </c>
      <c r="I208" t="s">
        <v>38</v>
      </c>
      <c r="J208" t="s">
        <v>47</v>
      </c>
      <c r="K208" s="4">
        <v>335664</v>
      </c>
      <c r="L208" s="4">
        <v>852</v>
      </c>
      <c r="M208" s="4">
        <v>148742</v>
      </c>
      <c r="N208" s="4">
        <v>313071</v>
      </c>
      <c r="O208" s="4">
        <v>25</v>
      </c>
      <c r="P208" s="3">
        <v>1542.5001999999999</v>
      </c>
      <c r="Q208"/>
      <c r="R208"/>
      <c r="S208"/>
      <c r="T208"/>
      <c r="U208"/>
      <c r="V208"/>
      <c r="W208"/>
      <c r="X208"/>
    </row>
    <row r="209" spans="1:24">
      <c r="A209" t="s">
        <v>16</v>
      </c>
      <c r="B209" t="s">
        <v>719</v>
      </c>
      <c r="C209" t="s">
        <v>720</v>
      </c>
      <c r="D209" t="s">
        <v>54</v>
      </c>
      <c r="E209" t="s">
        <v>57</v>
      </c>
      <c r="F209" t="s">
        <v>635</v>
      </c>
      <c r="G209" t="s">
        <v>531</v>
      </c>
      <c r="H209" t="s">
        <v>314</v>
      </c>
      <c r="I209" t="s">
        <v>313</v>
      </c>
      <c r="J209" t="s">
        <v>47</v>
      </c>
      <c r="K209" s="4">
        <v>12148</v>
      </c>
      <c r="L209" s="4">
        <v>40</v>
      </c>
      <c r="M209" s="4">
        <v>7950</v>
      </c>
      <c r="N209" s="4">
        <v>11360</v>
      </c>
      <c r="O209" s="4">
        <v>9</v>
      </c>
      <c r="P209" s="3">
        <v>1936.008</v>
      </c>
      <c r="Q209"/>
      <c r="R209"/>
      <c r="S209"/>
      <c r="T209"/>
      <c r="U209"/>
      <c r="V209"/>
      <c r="W209"/>
      <c r="X209"/>
    </row>
    <row r="210" spans="1:24">
      <c r="A210" t="s">
        <v>16</v>
      </c>
      <c r="B210" t="s">
        <v>200</v>
      </c>
      <c r="C210" t="s">
        <v>721</v>
      </c>
      <c r="D210" t="s">
        <v>56</v>
      </c>
      <c r="E210" t="s">
        <v>55</v>
      </c>
      <c r="F210" t="s">
        <v>482</v>
      </c>
      <c r="G210" t="s">
        <v>483</v>
      </c>
      <c r="H210" t="s">
        <v>252</v>
      </c>
      <c r="I210" t="s">
        <v>216</v>
      </c>
      <c r="J210" t="s">
        <v>49</v>
      </c>
      <c r="K210" s="4">
        <v>12176</v>
      </c>
      <c r="L210" s="4">
        <v>10</v>
      </c>
      <c r="M210" s="4">
        <v>5460</v>
      </c>
      <c r="N210" s="4">
        <v>11154</v>
      </c>
      <c r="O210" s="4">
        <v>10</v>
      </c>
      <c r="P210" s="3">
        <v>1816.0308</v>
      </c>
      <c r="Q210"/>
      <c r="R210"/>
      <c r="S210"/>
      <c r="T210"/>
      <c r="U210"/>
      <c r="V210"/>
      <c r="W210"/>
      <c r="X210"/>
    </row>
    <row r="211" spans="1:24">
      <c r="A211" t="s">
        <v>16</v>
      </c>
      <c r="B211" t="s">
        <v>200</v>
      </c>
      <c r="C211" t="s">
        <v>722</v>
      </c>
      <c r="D211" t="s">
        <v>54</v>
      </c>
      <c r="E211" t="s">
        <v>55</v>
      </c>
      <c r="F211" t="s">
        <v>497</v>
      </c>
      <c r="G211" t="s">
        <v>460</v>
      </c>
      <c r="H211" t="s">
        <v>230</v>
      </c>
      <c r="I211" t="s">
        <v>36</v>
      </c>
      <c r="J211" t="s">
        <v>47</v>
      </c>
      <c r="K211" s="4">
        <v>22259</v>
      </c>
      <c r="L211" s="4">
        <v>120</v>
      </c>
      <c r="M211" s="4">
        <v>12405</v>
      </c>
      <c r="N211" s="4">
        <v>17609</v>
      </c>
      <c r="O211" s="4">
        <v>14</v>
      </c>
      <c r="P211" s="3">
        <v>1611.3402000000001</v>
      </c>
      <c r="Q211"/>
      <c r="R211"/>
      <c r="S211"/>
      <c r="T211"/>
      <c r="U211"/>
      <c r="V211"/>
      <c r="W211"/>
      <c r="X211"/>
    </row>
    <row r="212" spans="1:24">
      <c r="A212" t="s">
        <v>16</v>
      </c>
      <c r="B212" t="s">
        <v>200</v>
      </c>
      <c r="C212" t="s">
        <v>723</v>
      </c>
      <c r="D212" t="s">
        <v>56</v>
      </c>
      <c r="E212" t="s">
        <v>60</v>
      </c>
      <c r="F212" t="s">
        <v>467</v>
      </c>
      <c r="G212" t="s">
        <v>468</v>
      </c>
      <c r="H212" t="s">
        <v>237</v>
      </c>
      <c r="I212" t="s">
        <v>42</v>
      </c>
      <c r="J212" t="s">
        <v>47</v>
      </c>
      <c r="K212" s="4">
        <v>210096</v>
      </c>
      <c r="L212" s="4">
        <v>590</v>
      </c>
      <c r="M212" s="4">
        <v>90928</v>
      </c>
      <c r="N212" s="4">
        <v>184823</v>
      </c>
      <c r="O212" s="4">
        <v>4</v>
      </c>
      <c r="P212" s="3">
        <v>2027.4313999999999</v>
      </c>
      <c r="Q212"/>
      <c r="R212"/>
      <c r="S212"/>
      <c r="T212"/>
      <c r="U212"/>
      <c r="V212"/>
      <c r="W212"/>
      <c r="X212"/>
    </row>
    <row r="213" spans="1:24">
      <c r="A213" t="s">
        <v>16</v>
      </c>
      <c r="B213" t="s">
        <v>200</v>
      </c>
      <c r="C213" t="s">
        <v>724</v>
      </c>
      <c r="D213" t="s">
        <v>56</v>
      </c>
      <c r="E213" t="s">
        <v>60</v>
      </c>
      <c r="F213" t="s">
        <v>480</v>
      </c>
      <c r="G213" t="s">
        <v>460</v>
      </c>
      <c r="H213" t="s">
        <v>237</v>
      </c>
      <c r="I213" t="s">
        <v>42</v>
      </c>
      <c r="J213" t="s">
        <v>47</v>
      </c>
      <c r="K213" s="4">
        <v>188170</v>
      </c>
      <c r="L213" s="4">
        <v>490</v>
      </c>
      <c r="M213" s="4">
        <v>155266</v>
      </c>
      <c r="N213" s="4">
        <v>176562</v>
      </c>
      <c r="O213" s="4">
        <v>6</v>
      </c>
      <c r="P213" s="3">
        <v>1599.7150999999999</v>
      </c>
      <c r="Q213"/>
      <c r="R213"/>
      <c r="S213"/>
      <c r="T213"/>
      <c r="U213"/>
      <c r="V213"/>
      <c r="W213"/>
      <c r="X213"/>
    </row>
    <row r="214" spans="1:24">
      <c r="A214" t="s">
        <v>16</v>
      </c>
      <c r="B214" t="s">
        <v>200</v>
      </c>
      <c r="C214" t="s">
        <v>725</v>
      </c>
      <c r="D214" t="s">
        <v>58</v>
      </c>
      <c r="E214" t="s">
        <v>55</v>
      </c>
      <c r="F214" t="s">
        <v>482</v>
      </c>
      <c r="G214" t="s">
        <v>483</v>
      </c>
      <c r="H214" t="s">
        <v>326</v>
      </c>
      <c r="I214" t="s">
        <v>38</v>
      </c>
      <c r="J214" t="s">
        <v>47</v>
      </c>
      <c r="K214" s="4">
        <v>32400</v>
      </c>
      <c r="L214" s="4">
        <v>87</v>
      </c>
      <c r="M214" s="4">
        <v>5152</v>
      </c>
      <c r="N214" s="4">
        <v>30383</v>
      </c>
      <c r="O214" s="4">
        <v>9</v>
      </c>
      <c r="P214" s="3">
        <v>1522.3525999999999</v>
      </c>
      <c r="Q214"/>
      <c r="R214"/>
      <c r="S214"/>
      <c r="T214"/>
      <c r="U214"/>
      <c r="V214"/>
      <c r="W214"/>
      <c r="X214"/>
    </row>
    <row r="215" spans="1:24">
      <c r="A215" t="s">
        <v>16</v>
      </c>
      <c r="B215" t="s">
        <v>200</v>
      </c>
      <c r="C215" t="s">
        <v>726</v>
      </c>
      <c r="D215" t="s">
        <v>58</v>
      </c>
      <c r="E215" t="s">
        <v>57</v>
      </c>
      <c r="F215" t="s">
        <v>497</v>
      </c>
      <c r="G215" t="s">
        <v>460</v>
      </c>
      <c r="H215" t="s">
        <v>285</v>
      </c>
      <c r="I215" t="s">
        <v>36</v>
      </c>
      <c r="J215" t="s">
        <v>47</v>
      </c>
      <c r="K215" s="4">
        <v>53561</v>
      </c>
      <c r="L215" s="4">
        <v>147</v>
      </c>
      <c r="M215" s="4">
        <v>37063</v>
      </c>
      <c r="N215" s="4">
        <v>51480</v>
      </c>
      <c r="O215" s="4">
        <v>14</v>
      </c>
      <c r="P215" s="3">
        <v>2039.3551</v>
      </c>
      <c r="Q215"/>
      <c r="R215"/>
      <c r="S215"/>
      <c r="T215"/>
      <c r="U215"/>
      <c r="V215"/>
      <c r="W215"/>
      <c r="X215"/>
    </row>
    <row r="216" spans="1:24">
      <c r="A216" t="s">
        <v>85</v>
      </c>
      <c r="B216" t="s">
        <v>727</v>
      </c>
      <c r="D216" t="s">
        <v>54</v>
      </c>
      <c r="E216" t="s">
        <v>59</v>
      </c>
      <c r="F216" t="s">
        <v>486</v>
      </c>
      <c r="G216" t="s">
        <v>487</v>
      </c>
      <c r="H216" t="s">
        <v>348</v>
      </c>
      <c r="I216" t="s">
        <v>38</v>
      </c>
      <c r="J216" t="s">
        <v>47</v>
      </c>
      <c r="K216" s="4">
        <v>10707</v>
      </c>
      <c r="L216" s="4">
        <v>57</v>
      </c>
      <c r="M216" s="4">
        <v>6300</v>
      </c>
      <c r="N216" s="4">
        <v>10089</v>
      </c>
      <c r="O216" s="4">
        <v>3</v>
      </c>
      <c r="P216" s="3">
        <v>1603.8593000000001</v>
      </c>
      <c r="Q216"/>
      <c r="R216"/>
      <c r="S216"/>
      <c r="T216"/>
      <c r="U216"/>
      <c r="V216"/>
      <c r="W216"/>
      <c r="X216"/>
    </row>
    <row r="217" spans="1:24">
      <c r="A217" t="s">
        <v>87</v>
      </c>
      <c r="B217" t="s">
        <v>728</v>
      </c>
      <c r="D217" t="s">
        <v>54</v>
      </c>
      <c r="E217" t="s">
        <v>55</v>
      </c>
      <c r="F217" t="s">
        <v>506</v>
      </c>
      <c r="G217" t="s">
        <v>474</v>
      </c>
      <c r="H217" t="s">
        <v>255</v>
      </c>
      <c r="I217" t="s">
        <v>42</v>
      </c>
      <c r="J217" t="s">
        <v>47</v>
      </c>
      <c r="K217" s="4">
        <v>12220</v>
      </c>
      <c r="L217" s="4">
        <v>54</v>
      </c>
      <c r="M217" s="4">
        <v>7133</v>
      </c>
      <c r="N217" s="4">
        <v>11331</v>
      </c>
      <c r="O217" s="4">
        <v>3</v>
      </c>
      <c r="P217" s="3">
        <v>1478.3922</v>
      </c>
      <c r="Q217"/>
      <c r="R217"/>
      <c r="S217"/>
      <c r="T217"/>
      <c r="U217"/>
      <c r="V217"/>
      <c r="W217"/>
      <c r="X217"/>
    </row>
    <row r="218" spans="1:24">
      <c r="A218" t="s">
        <v>89</v>
      </c>
      <c r="D218" t="s">
        <v>56</v>
      </c>
      <c r="E218" t="s">
        <v>60</v>
      </c>
      <c r="F218" t="s">
        <v>489</v>
      </c>
      <c r="G218" t="s">
        <v>460</v>
      </c>
      <c r="H218" t="s">
        <v>256</v>
      </c>
      <c r="I218" t="s">
        <v>253</v>
      </c>
      <c r="J218" t="s">
        <v>47</v>
      </c>
      <c r="K218" s="4">
        <v>35034</v>
      </c>
      <c r="L218" s="4">
        <v>145</v>
      </c>
      <c r="M218" s="4">
        <v>13904</v>
      </c>
      <c r="N218" s="4">
        <v>34123</v>
      </c>
      <c r="O218" s="4">
        <v>3</v>
      </c>
      <c r="P218" s="3">
        <v>2141.4693000000002</v>
      </c>
      <c r="Q218"/>
      <c r="R218"/>
      <c r="S218"/>
      <c r="T218"/>
      <c r="U218"/>
      <c r="V218"/>
      <c r="W218"/>
      <c r="X218"/>
    </row>
    <row r="219" spans="1:24">
      <c r="A219" t="s">
        <v>21</v>
      </c>
      <c r="B219" t="s">
        <v>729</v>
      </c>
      <c r="C219" t="s">
        <v>730</v>
      </c>
      <c r="D219" t="s">
        <v>56</v>
      </c>
      <c r="E219" t="s">
        <v>57</v>
      </c>
      <c r="F219" t="s">
        <v>486</v>
      </c>
      <c r="G219" t="s">
        <v>487</v>
      </c>
      <c r="H219" t="s">
        <v>224</v>
      </c>
      <c r="I219" t="s">
        <v>42</v>
      </c>
      <c r="J219" t="s">
        <v>47</v>
      </c>
      <c r="K219" s="4">
        <v>14136</v>
      </c>
      <c r="L219" s="4">
        <v>88</v>
      </c>
      <c r="M219" s="4">
        <v>4683</v>
      </c>
      <c r="N219" s="4">
        <v>13273</v>
      </c>
      <c r="O219" s="4">
        <v>3</v>
      </c>
      <c r="P219" s="3">
        <v>1476.5368000000001</v>
      </c>
      <c r="Q219"/>
      <c r="R219"/>
      <c r="S219"/>
      <c r="T219"/>
      <c r="U219"/>
      <c r="V219"/>
      <c r="W219"/>
      <c r="X219"/>
    </row>
    <row r="220" spans="1:24">
      <c r="A220" t="s">
        <v>21</v>
      </c>
      <c r="B220" t="s">
        <v>729</v>
      </c>
      <c r="C220" t="s">
        <v>731</v>
      </c>
      <c r="D220" t="s">
        <v>54</v>
      </c>
      <c r="E220" t="s">
        <v>59</v>
      </c>
      <c r="F220" t="s">
        <v>471</v>
      </c>
      <c r="G220" t="s">
        <v>464</v>
      </c>
      <c r="H220" t="s">
        <v>218</v>
      </c>
      <c r="I220" t="s">
        <v>36</v>
      </c>
      <c r="J220" t="s">
        <v>47</v>
      </c>
      <c r="K220" s="4">
        <v>58738</v>
      </c>
      <c r="L220" s="4">
        <v>165</v>
      </c>
      <c r="M220" s="4">
        <v>33538</v>
      </c>
      <c r="N220" s="4">
        <v>47535</v>
      </c>
      <c r="O220" s="4">
        <v>14</v>
      </c>
      <c r="P220" s="3">
        <v>2801.5844000000002</v>
      </c>
      <c r="Q220"/>
      <c r="R220"/>
      <c r="S220"/>
      <c r="T220"/>
      <c r="U220"/>
      <c r="V220"/>
      <c r="W220"/>
      <c r="X220"/>
    </row>
    <row r="221" spans="1:24">
      <c r="A221" t="s">
        <v>21</v>
      </c>
      <c r="B221" t="s">
        <v>729</v>
      </c>
      <c r="C221" t="s">
        <v>732</v>
      </c>
      <c r="D221" t="s">
        <v>56</v>
      </c>
      <c r="E221" t="s">
        <v>55</v>
      </c>
      <c r="F221" t="s">
        <v>467</v>
      </c>
      <c r="G221" t="s">
        <v>468</v>
      </c>
      <c r="H221" t="s">
        <v>254</v>
      </c>
      <c r="I221" t="s">
        <v>40</v>
      </c>
      <c r="J221" t="s">
        <v>47</v>
      </c>
      <c r="K221" s="4">
        <v>180353</v>
      </c>
      <c r="L221" s="4">
        <v>471</v>
      </c>
      <c r="M221" s="4">
        <v>67637</v>
      </c>
      <c r="N221" s="4">
        <v>145416</v>
      </c>
      <c r="O221" s="4">
        <v>8</v>
      </c>
      <c r="P221" s="3">
        <v>1720.8820000000001</v>
      </c>
      <c r="Q221"/>
      <c r="R221"/>
      <c r="S221"/>
      <c r="T221"/>
      <c r="U221"/>
      <c r="V221"/>
      <c r="W221"/>
      <c r="X221"/>
    </row>
    <row r="222" spans="1:24">
      <c r="A222" t="s">
        <v>21</v>
      </c>
      <c r="B222" t="s">
        <v>733</v>
      </c>
      <c r="C222" t="s">
        <v>734</v>
      </c>
      <c r="D222" t="s">
        <v>56</v>
      </c>
      <c r="E222" t="s">
        <v>55</v>
      </c>
      <c r="F222" t="s">
        <v>471</v>
      </c>
      <c r="G222" t="s">
        <v>464</v>
      </c>
      <c r="H222" t="s">
        <v>347</v>
      </c>
      <c r="I222" t="s">
        <v>36</v>
      </c>
      <c r="J222" t="s">
        <v>47</v>
      </c>
      <c r="K222" s="4">
        <v>14984</v>
      </c>
      <c r="L222" s="4">
        <v>63</v>
      </c>
      <c r="M222" s="4">
        <v>9614</v>
      </c>
      <c r="N222" s="4">
        <v>14086</v>
      </c>
      <c r="O222" s="4">
        <v>3</v>
      </c>
      <c r="P222" s="3">
        <v>1505.0096000000001</v>
      </c>
      <c r="Q222"/>
      <c r="R222"/>
      <c r="S222"/>
      <c r="T222"/>
      <c r="U222"/>
      <c r="V222"/>
      <c r="W222"/>
      <c r="X222"/>
    </row>
    <row r="223" spans="1:24">
      <c r="A223" t="s">
        <v>21</v>
      </c>
      <c r="B223" t="s">
        <v>733</v>
      </c>
      <c r="C223" t="s">
        <v>735</v>
      </c>
      <c r="D223" t="s">
        <v>54</v>
      </c>
      <c r="E223" t="s">
        <v>60</v>
      </c>
      <c r="F223" t="s">
        <v>736</v>
      </c>
      <c r="G223" t="s">
        <v>531</v>
      </c>
      <c r="H223" t="s">
        <v>215</v>
      </c>
      <c r="I223" t="s">
        <v>38</v>
      </c>
      <c r="J223" t="s">
        <v>47</v>
      </c>
      <c r="K223" s="4">
        <v>507889</v>
      </c>
      <c r="L223" s="4">
        <v>823</v>
      </c>
      <c r="M223" s="4">
        <v>176329</v>
      </c>
      <c r="N223" s="4">
        <v>450103</v>
      </c>
      <c r="O223" s="4">
        <v>78</v>
      </c>
      <c r="P223" s="3">
        <v>1440.7454</v>
      </c>
      <c r="Q223"/>
      <c r="R223"/>
      <c r="S223"/>
      <c r="T223"/>
      <c r="U223"/>
      <c r="V223"/>
      <c r="W223"/>
      <c r="X223"/>
    </row>
    <row r="224" spans="1:24">
      <c r="A224" t="s">
        <v>21</v>
      </c>
      <c r="B224" t="s">
        <v>733</v>
      </c>
      <c r="C224" t="s">
        <v>737</v>
      </c>
      <c r="D224" t="s">
        <v>56</v>
      </c>
      <c r="E224" t="s">
        <v>60</v>
      </c>
      <c r="F224" t="s">
        <v>506</v>
      </c>
      <c r="G224" t="s">
        <v>474</v>
      </c>
      <c r="H224" t="s">
        <v>211</v>
      </c>
      <c r="I224" t="s">
        <v>36</v>
      </c>
      <c r="J224" t="s">
        <v>48</v>
      </c>
      <c r="K224" s="4">
        <v>32436</v>
      </c>
      <c r="L224" s="4">
        <v>56</v>
      </c>
      <c r="M224" s="4">
        <v>17531</v>
      </c>
      <c r="N224" s="4">
        <v>28429</v>
      </c>
      <c r="O224" s="4">
        <v>6</v>
      </c>
      <c r="P224" s="3">
        <v>1470.6702</v>
      </c>
      <c r="Q224"/>
      <c r="R224"/>
      <c r="S224"/>
      <c r="T224"/>
      <c r="U224"/>
      <c r="V224"/>
      <c r="W224"/>
      <c r="X224"/>
    </row>
    <row r="225" spans="1:24">
      <c r="A225" t="s">
        <v>21</v>
      </c>
      <c r="B225" t="s">
        <v>733</v>
      </c>
      <c r="C225" t="s">
        <v>738</v>
      </c>
      <c r="D225" t="s">
        <v>54</v>
      </c>
      <c r="E225" t="s">
        <v>59</v>
      </c>
      <c r="F225" t="s">
        <v>497</v>
      </c>
      <c r="G225" t="s">
        <v>460</v>
      </c>
      <c r="H225" t="s">
        <v>273</v>
      </c>
      <c r="I225" t="s">
        <v>38</v>
      </c>
      <c r="J225" t="s">
        <v>47</v>
      </c>
      <c r="K225" s="4">
        <v>12510</v>
      </c>
      <c r="L225" s="4">
        <v>74</v>
      </c>
      <c r="M225" s="4">
        <v>4391</v>
      </c>
      <c r="N225" s="4">
        <v>9098</v>
      </c>
      <c r="O225" s="4">
        <v>6</v>
      </c>
      <c r="P225" s="3">
        <v>1524.4704999999999</v>
      </c>
      <c r="Q225"/>
      <c r="R225"/>
      <c r="S225"/>
      <c r="T225"/>
      <c r="U225"/>
      <c r="V225"/>
      <c r="W225"/>
      <c r="X225"/>
    </row>
    <row r="226" spans="1:24">
      <c r="A226" t="s">
        <v>21</v>
      </c>
      <c r="B226" t="s">
        <v>739</v>
      </c>
      <c r="D226" t="s">
        <v>58</v>
      </c>
      <c r="E226" t="s">
        <v>60</v>
      </c>
      <c r="F226" t="s">
        <v>471</v>
      </c>
      <c r="G226" t="s">
        <v>464</v>
      </c>
      <c r="H226" t="s">
        <v>287</v>
      </c>
      <c r="I226" t="s">
        <v>42</v>
      </c>
      <c r="J226" t="s">
        <v>47</v>
      </c>
      <c r="K226" s="4">
        <v>20417</v>
      </c>
      <c r="L226" s="4">
        <v>86</v>
      </c>
      <c r="M226" s="4">
        <v>1016</v>
      </c>
      <c r="N226" s="4">
        <v>13468</v>
      </c>
      <c r="O226" s="4">
        <v>5</v>
      </c>
      <c r="P226" s="3">
        <v>1805.6005</v>
      </c>
      <c r="Q226"/>
      <c r="R226"/>
      <c r="S226"/>
      <c r="T226"/>
      <c r="U226"/>
      <c r="V226"/>
      <c r="W226"/>
      <c r="X226"/>
    </row>
    <row r="227" spans="1:24">
      <c r="A227" t="s">
        <v>21</v>
      </c>
      <c r="B227" t="s">
        <v>740</v>
      </c>
      <c r="C227" t="s">
        <v>741</v>
      </c>
      <c r="D227" t="s">
        <v>56</v>
      </c>
      <c r="E227" t="s">
        <v>55</v>
      </c>
      <c r="F227" t="s">
        <v>482</v>
      </c>
      <c r="G227" t="s">
        <v>483</v>
      </c>
      <c r="H227" t="s">
        <v>355</v>
      </c>
      <c r="I227" t="s">
        <v>38</v>
      </c>
      <c r="J227" t="s">
        <v>47</v>
      </c>
      <c r="K227" s="4">
        <v>7356</v>
      </c>
      <c r="L227" s="4">
        <v>10</v>
      </c>
      <c r="M227" s="4">
        <v>1588</v>
      </c>
      <c r="N227" s="4">
        <v>7088</v>
      </c>
      <c r="O227" s="4">
        <v>1</v>
      </c>
      <c r="P227" s="3">
        <v>1730.3735999999999</v>
      </c>
      <c r="Q227"/>
      <c r="R227"/>
      <c r="S227"/>
      <c r="T227"/>
      <c r="U227"/>
      <c r="V227"/>
      <c r="W227"/>
      <c r="X227"/>
    </row>
    <row r="228" spans="1:24">
      <c r="A228" t="s">
        <v>21</v>
      </c>
      <c r="B228" t="s">
        <v>740</v>
      </c>
      <c r="C228" t="s">
        <v>741</v>
      </c>
      <c r="D228" t="s">
        <v>56</v>
      </c>
      <c r="E228" t="s">
        <v>55</v>
      </c>
      <c r="F228" t="s">
        <v>471</v>
      </c>
      <c r="G228" t="s">
        <v>464</v>
      </c>
      <c r="H228" t="s">
        <v>305</v>
      </c>
      <c r="I228" t="s">
        <v>38</v>
      </c>
      <c r="J228" t="s">
        <v>47</v>
      </c>
      <c r="K228" s="4">
        <v>37355</v>
      </c>
      <c r="L228" s="4">
        <v>145</v>
      </c>
      <c r="M228" s="4">
        <v>17138</v>
      </c>
      <c r="N228" s="4">
        <v>35689</v>
      </c>
      <c r="O228" s="4">
        <v>3</v>
      </c>
      <c r="P228" s="3">
        <v>1577.3661</v>
      </c>
      <c r="Q228"/>
      <c r="R228"/>
      <c r="S228"/>
      <c r="T228"/>
      <c r="U228"/>
      <c r="V228"/>
      <c r="W228"/>
      <c r="X228"/>
    </row>
    <row r="229" spans="1:24">
      <c r="A229" t="s">
        <v>92</v>
      </c>
      <c r="B229" t="s">
        <v>729</v>
      </c>
      <c r="C229" t="s">
        <v>742</v>
      </c>
      <c r="D229" t="s">
        <v>56</v>
      </c>
      <c r="E229" t="s">
        <v>57</v>
      </c>
      <c r="F229" t="s">
        <v>497</v>
      </c>
      <c r="G229" t="s">
        <v>460</v>
      </c>
      <c r="H229" t="s">
        <v>362</v>
      </c>
      <c r="I229" t="s">
        <v>36</v>
      </c>
      <c r="J229" t="s">
        <v>48</v>
      </c>
      <c r="K229" s="4">
        <v>219088</v>
      </c>
      <c r="L229" s="4">
        <v>541</v>
      </c>
      <c r="M229" s="4">
        <v>75638</v>
      </c>
      <c r="N229" s="4">
        <v>153987</v>
      </c>
      <c r="O229" s="4">
        <v>17</v>
      </c>
      <c r="P229" s="3">
        <v>6761.0738000000001</v>
      </c>
      <c r="Q229"/>
      <c r="R229"/>
      <c r="S229"/>
      <c r="T229"/>
      <c r="U229"/>
      <c r="V229"/>
      <c r="W229"/>
      <c r="X229"/>
    </row>
    <row r="230" spans="1:24">
      <c r="A230" t="s">
        <v>92</v>
      </c>
      <c r="B230" t="s">
        <v>729</v>
      </c>
      <c r="C230" t="s">
        <v>743</v>
      </c>
      <c r="D230" t="s">
        <v>54</v>
      </c>
      <c r="E230" t="s">
        <v>60</v>
      </c>
      <c r="F230" t="s">
        <v>463</v>
      </c>
      <c r="G230" t="s">
        <v>464</v>
      </c>
      <c r="H230" t="s">
        <v>301</v>
      </c>
      <c r="I230" t="s">
        <v>40</v>
      </c>
      <c r="J230" t="s">
        <v>47</v>
      </c>
      <c r="K230" s="4">
        <v>12214</v>
      </c>
      <c r="L230" s="4">
        <v>50</v>
      </c>
      <c r="M230" s="4">
        <v>5376</v>
      </c>
      <c r="N230" s="4">
        <v>11490</v>
      </c>
      <c r="O230" s="4">
        <v>7</v>
      </c>
      <c r="P230" s="3">
        <v>5616.3094000000001</v>
      </c>
      <c r="Q230"/>
      <c r="R230"/>
      <c r="S230"/>
      <c r="T230"/>
      <c r="U230"/>
      <c r="V230"/>
      <c r="W230"/>
      <c r="X230"/>
    </row>
    <row r="231" spans="1:24">
      <c r="A231" t="s">
        <v>92</v>
      </c>
      <c r="B231" t="s">
        <v>729</v>
      </c>
      <c r="C231" t="s">
        <v>744</v>
      </c>
      <c r="D231" t="s">
        <v>56</v>
      </c>
      <c r="E231" t="s">
        <v>60</v>
      </c>
      <c r="F231" t="s">
        <v>486</v>
      </c>
      <c r="G231" t="s">
        <v>487</v>
      </c>
      <c r="H231" t="s">
        <v>232</v>
      </c>
      <c r="I231" t="s">
        <v>40</v>
      </c>
      <c r="J231" t="s">
        <v>48</v>
      </c>
      <c r="K231" s="4">
        <v>48562</v>
      </c>
      <c r="L231" s="4">
        <v>150</v>
      </c>
      <c r="M231" s="4">
        <v>29108</v>
      </c>
      <c r="N231" s="4">
        <v>45570</v>
      </c>
      <c r="O231" s="4">
        <v>11</v>
      </c>
      <c r="P231" s="3">
        <v>6346.6329999999998</v>
      </c>
      <c r="Q231"/>
      <c r="R231"/>
      <c r="S231"/>
      <c r="T231"/>
      <c r="U231"/>
      <c r="V231"/>
      <c r="W231"/>
      <c r="X231"/>
    </row>
    <row r="232" spans="1:24">
      <c r="A232" t="s">
        <v>92</v>
      </c>
      <c r="B232" t="s">
        <v>729</v>
      </c>
      <c r="C232" t="s">
        <v>745</v>
      </c>
      <c r="D232" t="s">
        <v>54</v>
      </c>
      <c r="E232" t="s">
        <v>60</v>
      </c>
      <c r="F232" t="s">
        <v>644</v>
      </c>
      <c r="G232" t="s">
        <v>464</v>
      </c>
      <c r="H232" t="s">
        <v>280</v>
      </c>
      <c r="I232" t="s">
        <v>44</v>
      </c>
      <c r="J232" t="s">
        <v>47</v>
      </c>
      <c r="K232" s="4">
        <v>8233</v>
      </c>
      <c r="L232" s="4">
        <v>65</v>
      </c>
      <c r="M232" s="4">
        <v>5361</v>
      </c>
      <c r="N232" s="4">
        <v>7643</v>
      </c>
      <c r="O232" s="4">
        <v>4</v>
      </c>
      <c r="P232" s="3">
        <v>6381.0065999999997</v>
      </c>
      <c r="Q232"/>
      <c r="R232"/>
      <c r="S232"/>
      <c r="T232"/>
      <c r="U232"/>
      <c r="V232"/>
      <c r="W232"/>
      <c r="X232"/>
    </row>
    <row r="233" spans="1:24">
      <c r="A233" t="s">
        <v>92</v>
      </c>
      <c r="B233" t="s">
        <v>729</v>
      </c>
      <c r="C233" t="s">
        <v>746</v>
      </c>
      <c r="D233" t="s">
        <v>54</v>
      </c>
      <c r="E233" t="s">
        <v>60</v>
      </c>
      <c r="F233" t="s">
        <v>747</v>
      </c>
      <c r="G233" t="s">
        <v>460</v>
      </c>
      <c r="H233" t="s">
        <v>261</v>
      </c>
      <c r="I233" t="s">
        <v>44</v>
      </c>
      <c r="J233" t="s">
        <v>47</v>
      </c>
      <c r="K233" s="4">
        <v>190592</v>
      </c>
      <c r="L233" s="4">
        <v>601</v>
      </c>
      <c r="M233" s="4">
        <v>28906</v>
      </c>
      <c r="N233" s="4">
        <v>172515</v>
      </c>
      <c r="O233" s="4">
        <v>25</v>
      </c>
      <c r="P233" s="3">
        <v>4742.0478000000003</v>
      </c>
      <c r="Q233"/>
      <c r="R233"/>
      <c r="S233"/>
      <c r="T233"/>
      <c r="U233"/>
      <c r="V233"/>
      <c r="W233"/>
      <c r="X233"/>
    </row>
    <row r="234" spans="1:24">
      <c r="A234" t="s">
        <v>92</v>
      </c>
      <c r="B234" t="s">
        <v>729</v>
      </c>
      <c r="C234" t="s">
        <v>748</v>
      </c>
      <c r="D234" t="s">
        <v>58</v>
      </c>
      <c r="E234" t="s">
        <v>57</v>
      </c>
      <c r="F234" t="s">
        <v>486</v>
      </c>
      <c r="G234" t="s">
        <v>487</v>
      </c>
      <c r="H234" t="s">
        <v>284</v>
      </c>
      <c r="I234" t="s">
        <v>40</v>
      </c>
      <c r="J234" t="s">
        <v>47</v>
      </c>
      <c r="K234" s="4">
        <v>114723</v>
      </c>
      <c r="L234" s="4">
        <v>350</v>
      </c>
      <c r="M234" s="4">
        <v>14623</v>
      </c>
      <c r="N234" s="4">
        <v>92063</v>
      </c>
      <c r="O234" s="4">
        <v>6</v>
      </c>
      <c r="P234" s="3">
        <v>4742.0086000000001</v>
      </c>
      <c r="Q234"/>
      <c r="R234"/>
      <c r="S234"/>
      <c r="T234"/>
      <c r="U234"/>
      <c r="V234"/>
      <c r="W234"/>
      <c r="X234"/>
    </row>
    <row r="235" spans="1:24">
      <c r="A235" t="s">
        <v>92</v>
      </c>
      <c r="B235" t="s">
        <v>729</v>
      </c>
      <c r="C235" t="s">
        <v>749</v>
      </c>
      <c r="D235" t="s">
        <v>56</v>
      </c>
      <c r="E235" t="s">
        <v>55</v>
      </c>
      <c r="F235" t="s">
        <v>482</v>
      </c>
      <c r="G235" t="s">
        <v>483</v>
      </c>
      <c r="H235" t="s">
        <v>254</v>
      </c>
      <c r="I235" t="s">
        <v>36</v>
      </c>
      <c r="J235" t="s">
        <v>47</v>
      </c>
      <c r="K235" s="4">
        <v>198163</v>
      </c>
      <c r="L235" s="4">
        <v>469</v>
      </c>
      <c r="M235" s="4">
        <v>76695</v>
      </c>
      <c r="N235" s="4">
        <v>183585</v>
      </c>
      <c r="O235" s="4">
        <v>31</v>
      </c>
      <c r="P235" s="3">
        <v>5204.3137999999999</v>
      </c>
      <c r="Q235"/>
      <c r="R235"/>
      <c r="S235"/>
      <c r="T235"/>
      <c r="U235"/>
      <c r="V235"/>
      <c r="W235"/>
      <c r="X235"/>
    </row>
    <row r="236" spans="1:24">
      <c r="A236" t="s">
        <v>92</v>
      </c>
      <c r="B236" t="s">
        <v>729</v>
      </c>
      <c r="C236" t="s">
        <v>750</v>
      </c>
      <c r="D236" t="s">
        <v>54</v>
      </c>
      <c r="E236" t="s">
        <v>59</v>
      </c>
      <c r="F236" t="s">
        <v>572</v>
      </c>
      <c r="G236" t="s">
        <v>512</v>
      </c>
      <c r="H236" t="s">
        <v>251</v>
      </c>
      <c r="I236" t="s">
        <v>42</v>
      </c>
      <c r="J236" t="s">
        <v>47</v>
      </c>
      <c r="K236" s="4">
        <v>252170</v>
      </c>
      <c r="L236" s="4">
        <v>650</v>
      </c>
      <c r="M236" s="4">
        <v>9248</v>
      </c>
      <c r="N236" s="4">
        <v>14192</v>
      </c>
      <c r="O236" s="4">
        <v>1</v>
      </c>
      <c r="P236" s="3">
        <v>5874.0047999999997</v>
      </c>
      <c r="Q236"/>
      <c r="R236"/>
      <c r="S236"/>
      <c r="T236"/>
      <c r="U236"/>
      <c r="V236"/>
      <c r="W236"/>
      <c r="X236"/>
    </row>
    <row r="237" spans="1:24">
      <c r="A237" t="s">
        <v>92</v>
      </c>
      <c r="B237" t="s">
        <v>729</v>
      </c>
      <c r="C237" t="s">
        <v>751</v>
      </c>
      <c r="D237" t="s">
        <v>56</v>
      </c>
      <c r="E237" t="s">
        <v>60</v>
      </c>
      <c r="F237" t="s">
        <v>506</v>
      </c>
      <c r="G237" t="s">
        <v>474</v>
      </c>
      <c r="H237" t="s">
        <v>380</v>
      </c>
      <c r="I237" t="s">
        <v>36</v>
      </c>
      <c r="J237" t="s">
        <v>48</v>
      </c>
      <c r="K237" s="4">
        <v>27473</v>
      </c>
      <c r="L237" s="4">
        <v>69</v>
      </c>
      <c r="M237" s="4">
        <v>11306</v>
      </c>
      <c r="N237" s="4">
        <v>20625</v>
      </c>
      <c r="O237" s="4">
        <v>2</v>
      </c>
      <c r="P237" s="3">
        <v>2922.2860999999998</v>
      </c>
      <c r="Q237"/>
      <c r="R237"/>
      <c r="S237"/>
      <c r="T237"/>
      <c r="U237"/>
      <c r="V237"/>
      <c r="W237"/>
      <c r="X237"/>
    </row>
    <row r="238" spans="1:24">
      <c r="A238" t="s">
        <v>92</v>
      </c>
      <c r="B238" t="s">
        <v>729</v>
      </c>
      <c r="C238" t="s">
        <v>730</v>
      </c>
      <c r="D238" t="s">
        <v>56</v>
      </c>
      <c r="E238" t="s">
        <v>60</v>
      </c>
      <c r="F238" t="s">
        <v>491</v>
      </c>
      <c r="G238" t="s">
        <v>29</v>
      </c>
      <c r="H238" t="s">
        <v>228</v>
      </c>
      <c r="I238" t="s">
        <v>42</v>
      </c>
      <c r="J238" t="s">
        <v>47</v>
      </c>
      <c r="K238" s="4">
        <v>36863</v>
      </c>
      <c r="L238" s="4">
        <v>116</v>
      </c>
      <c r="M238" s="4">
        <v>3570</v>
      </c>
      <c r="N238" s="4">
        <v>29458</v>
      </c>
      <c r="O238" s="4">
        <v>15</v>
      </c>
      <c r="P238" s="3">
        <v>4752.8167000000003</v>
      </c>
      <c r="Q238"/>
      <c r="R238"/>
      <c r="S238"/>
      <c r="T238"/>
      <c r="U238"/>
      <c r="V238"/>
      <c r="W238"/>
      <c r="X238"/>
    </row>
    <row r="239" spans="1:24">
      <c r="A239" t="s">
        <v>92</v>
      </c>
      <c r="B239" t="s">
        <v>729</v>
      </c>
      <c r="C239" t="s">
        <v>752</v>
      </c>
      <c r="D239" t="s">
        <v>54</v>
      </c>
      <c r="E239" t="s">
        <v>60</v>
      </c>
      <c r="F239" t="s">
        <v>471</v>
      </c>
      <c r="G239" t="s">
        <v>464</v>
      </c>
      <c r="H239" t="s">
        <v>315</v>
      </c>
      <c r="I239" t="s">
        <v>313</v>
      </c>
      <c r="J239" t="s">
        <v>47</v>
      </c>
      <c r="K239" s="4">
        <v>10386</v>
      </c>
      <c r="L239" s="4">
        <v>65</v>
      </c>
      <c r="M239" s="4">
        <v>5876</v>
      </c>
      <c r="N239" s="4">
        <v>10048</v>
      </c>
      <c r="O239" s="4">
        <v>15</v>
      </c>
      <c r="P239" s="3">
        <v>4439.8380999999999</v>
      </c>
      <c r="Q239"/>
      <c r="R239"/>
      <c r="S239"/>
      <c r="T239"/>
      <c r="U239"/>
      <c r="V239"/>
      <c r="W239"/>
      <c r="X239"/>
    </row>
    <row r="240" spans="1:24">
      <c r="A240" t="s">
        <v>92</v>
      </c>
      <c r="B240" t="s">
        <v>753</v>
      </c>
      <c r="C240" t="s">
        <v>754</v>
      </c>
      <c r="D240" t="s">
        <v>58</v>
      </c>
      <c r="E240" t="s">
        <v>55</v>
      </c>
      <c r="F240" t="s">
        <v>497</v>
      </c>
      <c r="G240" t="s">
        <v>460</v>
      </c>
      <c r="H240" t="s">
        <v>426</v>
      </c>
      <c r="I240" t="s">
        <v>36</v>
      </c>
      <c r="J240" t="s">
        <v>47</v>
      </c>
      <c r="K240" s="4">
        <v>10906</v>
      </c>
      <c r="L240" s="4">
        <v>46</v>
      </c>
      <c r="M240" s="4">
        <v>4735</v>
      </c>
      <c r="N240" s="4">
        <v>6390</v>
      </c>
      <c r="O240" s="4">
        <v>3</v>
      </c>
      <c r="P240" s="3">
        <v>5694.2709000000004</v>
      </c>
      <c r="Q240"/>
      <c r="R240"/>
      <c r="S240"/>
      <c r="T240"/>
      <c r="U240"/>
      <c r="V240"/>
      <c r="W240"/>
      <c r="X240"/>
    </row>
    <row r="241" spans="1:24">
      <c r="A241" t="s">
        <v>92</v>
      </c>
      <c r="B241" t="s">
        <v>753</v>
      </c>
      <c r="C241" t="s">
        <v>755</v>
      </c>
      <c r="D241" t="s">
        <v>54</v>
      </c>
      <c r="E241" t="s">
        <v>57</v>
      </c>
      <c r="F241" t="s">
        <v>506</v>
      </c>
      <c r="G241" t="s">
        <v>474</v>
      </c>
      <c r="H241" t="s">
        <v>264</v>
      </c>
      <c r="I241" t="s">
        <v>36</v>
      </c>
      <c r="J241" t="s">
        <v>47</v>
      </c>
      <c r="K241" s="4">
        <v>48947</v>
      </c>
      <c r="L241" s="4">
        <v>230</v>
      </c>
      <c r="M241" s="4">
        <v>32089</v>
      </c>
      <c r="N241" s="4">
        <v>45597</v>
      </c>
      <c r="O241" s="4">
        <v>21</v>
      </c>
      <c r="P241" s="3">
        <v>5702.2902999999997</v>
      </c>
      <c r="Q241"/>
      <c r="R241"/>
      <c r="S241"/>
      <c r="T241"/>
      <c r="U241"/>
      <c r="V241"/>
      <c r="W241"/>
      <c r="X241"/>
    </row>
    <row r="242" spans="1:24">
      <c r="A242" t="s">
        <v>92</v>
      </c>
      <c r="B242" t="s">
        <v>756</v>
      </c>
      <c r="C242" t="s">
        <v>757</v>
      </c>
      <c r="D242" t="s">
        <v>54</v>
      </c>
      <c r="E242" t="s">
        <v>60</v>
      </c>
      <c r="F242" t="s">
        <v>511</v>
      </c>
      <c r="G242" t="s">
        <v>512</v>
      </c>
      <c r="H242" t="s">
        <v>211</v>
      </c>
      <c r="I242" t="s">
        <v>40</v>
      </c>
      <c r="J242" t="s">
        <v>47</v>
      </c>
      <c r="K242" s="4">
        <v>207685</v>
      </c>
      <c r="L242" s="4">
        <v>512</v>
      </c>
      <c r="M242" s="4">
        <v>20134</v>
      </c>
      <c r="N242" s="4">
        <v>30708</v>
      </c>
      <c r="O242" s="4">
        <v>34</v>
      </c>
      <c r="P242" s="3">
        <v>5239.2048000000004</v>
      </c>
      <c r="Q242"/>
      <c r="R242"/>
      <c r="S242"/>
      <c r="T242"/>
      <c r="U242"/>
      <c r="V242"/>
      <c r="W242"/>
      <c r="X242"/>
    </row>
    <row r="243" spans="1:24">
      <c r="A243" t="s">
        <v>92</v>
      </c>
      <c r="B243" t="s">
        <v>756</v>
      </c>
      <c r="C243" t="s">
        <v>758</v>
      </c>
      <c r="D243" t="s">
        <v>54</v>
      </c>
      <c r="E243" t="s">
        <v>59</v>
      </c>
      <c r="F243" t="s">
        <v>467</v>
      </c>
      <c r="G243" t="s">
        <v>468</v>
      </c>
      <c r="H243" t="s">
        <v>268</v>
      </c>
      <c r="I243" t="s">
        <v>40</v>
      </c>
      <c r="J243" t="s">
        <v>47</v>
      </c>
      <c r="K243" s="4">
        <v>28553</v>
      </c>
      <c r="L243" s="4">
        <v>90</v>
      </c>
      <c r="M243" s="4">
        <v>11390</v>
      </c>
      <c r="N243" s="4">
        <v>23355</v>
      </c>
      <c r="O243" s="4">
        <v>13</v>
      </c>
      <c r="P243" s="3">
        <v>5573.1124</v>
      </c>
      <c r="Q243"/>
      <c r="R243"/>
      <c r="S243"/>
      <c r="T243"/>
      <c r="U243"/>
      <c r="V243"/>
      <c r="W243"/>
      <c r="X243"/>
    </row>
    <row r="244" spans="1:24">
      <c r="A244" t="s">
        <v>92</v>
      </c>
      <c r="B244" t="s">
        <v>756</v>
      </c>
      <c r="C244" t="s">
        <v>759</v>
      </c>
      <c r="D244" t="s">
        <v>54</v>
      </c>
      <c r="E244" t="s">
        <v>59</v>
      </c>
      <c r="F244" t="s">
        <v>467</v>
      </c>
      <c r="G244" t="s">
        <v>468</v>
      </c>
      <c r="H244" t="s">
        <v>211</v>
      </c>
      <c r="I244" t="s">
        <v>445</v>
      </c>
      <c r="J244" t="s">
        <v>47</v>
      </c>
      <c r="K244" s="4">
        <v>742281</v>
      </c>
      <c r="L244" s="4">
        <v>1999</v>
      </c>
      <c r="M244" s="4">
        <v>432673</v>
      </c>
      <c r="N244" s="4">
        <v>642404</v>
      </c>
      <c r="O244" s="4">
        <v>11</v>
      </c>
      <c r="P244" s="3">
        <v>6024.4224999999997</v>
      </c>
      <c r="Q244"/>
      <c r="R244"/>
      <c r="S244"/>
      <c r="T244"/>
      <c r="U244"/>
      <c r="V244"/>
      <c r="W244"/>
      <c r="X244"/>
    </row>
    <row r="245" spans="1:24">
      <c r="A245" t="s">
        <v>92</v>
      </c>
      <c r="B245" t="s">
        <v>756</v>
      </c>
      <c r="C245" t="s">
        <v>760</v>
      </c>
      <c r="D245" t="s">
        <v>56</v>
      </c>
      <c r="E245" t="s">
        <v>55</v>
      </c>
      <c r="F245" t="s">
        <v>473</v>
      </c>
      <c r="G245" t="s">
        <v>474</v>
      </c>
      <c r="H245" t="s">
        <v>407</v>
      </c>
      <c r="I245" t="s">
        <v>36</v>
      </c>
      <c r="J245" t="s">
        <v>49</v>
      </c>
      <c r="K245" s="4">
        <v>10524</v>
      </c>
      <c r="L245" s="4">
        <v>55</v>
      </c>
      <c r="M245" s="4">
        <v>7601</v>
      </c>
      <c r="N245" s="4">
        <v>10242</v>
      </c>
      <c r="O245" s="4">
        <v>11</v>
      </c>
      <c r="P245" s="3">
        <v>6136.1338999999998</v>
      </c>
      <c r="Q245"/>
      <c r="R245"/>
      <c r="S245"/>
      <c r="T245"/>
      <c r="U245"/>
      <c r="V245"/>
      <c r="W245"/>
      <c r="X245"/>
    </row>
    <row r="246" spans="1:24">
      <c r="A246" t="s">
        <v>92</v>
      </c>
      <c r="B246" t="s">
        <v>756</v>
      </c>
      <c r="C246" t="s">
        <v>761</v>
      </c>
      <c r="D246" t="s">
        <v>56</v>
      </c>
      <c r="E246" t="s">
        <v>60</v>
      </c>
      <c r="F246" t="s">
        <v>473</v>
      </c>
      <c r="G246" t="s">
        <v>474</v>
      </c>
      <c r="H246" t="s">
        <v>276</v>
      </c>
      <c r="I246" t="s">
        <v>43</v>
      </c>
      <c r="J246" t="s">
        <v>47</v>
      </c>
      <c r="K246" s="4">
        <v>8273</v>
      </c>
      <c r="L246" s="4">
        <v>24</v>
      </c>
      <c r="M246" s="4">
        <v>1929</v>
      </c>
      <c r="N246" s="4">
        <v>7441</v>
      </c>
      <c r="O246" s="4">
        <v>3</v>
      </c>
      <c r="P246" s="3">
        <v>4689.5209999999997</v>
      </c>
      <c r="Q246"/>
      <c r="R246"/>
      <c r="S246"/>
      <c r="T246"/>
      <c r="U246"/>
      <c r="V246"/>
      <c r="W246"/>
      <c r="X246"/>
    </row>
    <row r="247" spans="1:24">
      <c r="A247" t="s">
        <v>92</v>
      </c>
      <c r="B247" t="s">
        <v>756</v>
      </c>
      <c r="C247" t="s">
        <v>762</v>
      </c>
      <c r="D247" t="s">
        <v>54</v>
      </c>
      <c r="E247" t="s">
        <v>59</v>
      </c>
      <c r="F247" t="s">
        <v>497</v>
      </c>
      <c r="G247" t="s">
        <v>460</v>
      </c>
      <c r="H247" t="s">
        <v>217</v>
      </c>
      <c r="I247" t="s">
        <v>38</v>
      </c>
      <c r="J247" t="s">
        <v>47</v>
      </c>
      <c r="K247" s="4">
        <v>264580</v>
      </c>
      <c r="L247" s="4">
        <v>691</v>
      </c>
      <c r="M247" s="4">
        <v>217526</v>
      </c>
      <c r="N247" s="4">
        <v>240731</v>
      </c>
      <c r="O247" s="4">
        <v>9</v>
      </c>
      <c r="P247" s="3">
        <v>4874.6517000000003</v>
      </c>
      <c r="Q247"/>
      <c r="R247"/>
      <c r="S247"/>
      <c r="T247"/>
      <c r="U247"/>
      <c r="V247"/>
      <c r="W247"/>
      <c r="X247"/>
    </row>
    <row r="248" spans="1:24">
      <c r="A248" t="s">
        <v>92</v>
      </c>
      <c r="B248" t="s">
        <v>756</v>
      </c>
      <c r="C248" t="s">
        <v>763</v>
      </c>
      <c r="D248" t="s">
        <v>56</v>
      </c>
      <c r="E248" t="s">
        <v>55</v>
      </c>
      <c r="F248" t="s">
        <v>547</v>
      </c>
      <c r="G248" t="s">
        <v>460</v>
      </c>
      <c r="H248" t="s">
        <v>211</v>
      </c>
      <c r="I248" t="s">
        <v>36</v>
      </c>
      <c r="J248" t="s">
        <v>47</v>
      </c>
      <c r="K248" s="4">
        <v>766674</v>
      </c>
      <c r="L248" s="4">
        <v>1984</v>
      </c>
      <c r="M248" s="4">
        <v>344201</v>
      </c>
      <c r="N248" s="4">
        <v>720606</v>
      </c>
      <c r="O248" s="4">
        <v>17</v>
      </c>
      <c r="P248" s="3">
        <v>5816.2345999999998</v>
      </c>
      <c r="Q248"/>
      <c r="R248"/>
      <c r="S248"/>
      <c r="T248"/>
      <c r="U248"/>
      <c r="V248"/>
      <c r="W248"/>
      <c r="X248"/>
    </row>
    <row r="249" spans="1:24">
      <c r="A249" t="s">
        <v>92</v>
      </c>
      <c r="B249" t="s">
        <v>756</v>
      </c>
      <c r="C249" t="s">
        <v>764</v>
      </c>
      <c r="D249" t="s">
        <v>56</v>
      </c>
      <c r="E249" t="s">
        <v>59</v>
      </c>
      <c r="F249" t="s">
        <v>480</v>
      </c>
      <c r="G249" t="s">
        <v>460</v>
      </c>
      <c r="H249" t="s">
        <v>283</v>
      </c>
      <c r="I249" t="s">
        <v>40</v>
      </c>
      <c r="J249" t="s">
        <v>47</v>
      </c>
      <c r="K249" s="4">
        <v>121991</v>
      </c>
      <c r="L249" s="4">
        <v>369</v>
      </c>
      <c r="M249" s="4">
        <v>43079</v>
      </c>
      <c r="N249" s="4">
        <v>99312</v>
      </c>
      <c r="O249" s="4">
        <v>4</v>
      </c>
      <c r="P249" s="3">
        <v>3993.2145999999998</v>
      </c>
      <c r="Q249"/>
      <c r="R249"/>
      <c r="S249"/>
      <c r="T249"/>
      <c r="U249"/>
      <c r="V249"/>
      <c r="W249"/>
      <c r="X249"/>
    </row>
    <row r="250" spans="1:24">
      <c r="A250" t="s">
        <v>92</v>
      </c>
      <c r="B250" t="s">
        <v>756</v>
      </c>
      <c r="C250" t="s">
        <v>765</v>
      </c>
      <c r="D250" t="s">
        <v>54</v>
      </c>
      <c r="E250" t="s">
        <v>55</v>
      </c>
      <c r="F250" t="s">
        <v>473</v>
      </c>
      <c r="G250" t="s">
        <v>474</v>
      </c>
      <c r="H250" t="s">
        <v>241</v>
      </c>
      <c r="I250" t="s">
        <v>36</v>
      </c>
      <c r="J250" t="s">
        <v>47</v>
      </c>
      <c r="K250" s="4">
        <v>43117</v>
      </c>
      <c r="L250" s="4">
        <v>100</v>
      </c>
      <c r="M250" s="4">
        <v>6478</v>
      </c>
      <c r="N250" s="4">
        <v>27405</v>
      </c>
      <c r="O250" s="4">
        <v>8</v>
      </c>
      <c r="P250" s="3">
        <v>4250.4304000000002</v>
      </c>
      <c r="Q250"/>
      <c r="R250"/>
      <c r="S250"/>
      <c r="T250"/>
      <c r="U250"/>
      <c r="V250"/>
      <c r="W250"/>
      <c r="X250"/>
    </row>
    <row r="251" spans="1:24">
      <c r="A251" t="s">
        <v>92</v>
      </c>
      <c r="B251" t="s">
        <v>756</v>
      </c>
      <c r="C251" t="s">
        <v>766</v>
      </c>
      <c r="D251" t="s">
        <v>56</v>
      </c>
      <c r="E251" t="s">
        <v>55</v>
      </c>
      <c r="F251" t="s">
        <v>473</v>
      </c>
      <c r="G251" t="s">
        <v>474</v>
      </c>
      <c r="H251" t="s">
        <v>243</v>
      </c>
      <c r="I251" t="s">
        <v>36</v>
      </c>
      <c r="J251" t="s">
        <v>47</v>
      </c>
      <c r="K251" s="4">
        <v>52006</v>
      </c>
      <c r="L251" s="4">
        <v>160</v>
      </c>
      <c r="M251" s="4">
        <v>24711</v>
      </c>
      <c r="N251" s="4">
        <v>48019</v>
      </c>
      <c r="O251" s="4">
        <v>12</v>
      </c>
      <c r="P251" s="3">
        <v>5200.0101000000004</v>
      </c>
      <c r="Q251"/>
      <c r="R251"/>
      <c r="S251"/>
      <c r="T251"/>
      <c r="U251"/>
      <c r="V251"/>
      <c r="W251"/>
      <c r="X251"/>
    </row>
    <row r="252" spans="1:24">
      <c r="A252" t="s">
        <v>92</v>
      </c>
      <c r="B252" t="s">
        <v>756</v>
      </c>
      <c r="C252" t="s">
        <v>767</v>
      </c>
      <c r="D252" t="s">
        <v>54</v>
      </c>
      <c r="E252" t="s">
        <v>57</v>
      </c>
      <c r="F252" t="s">
        <v>467</v>
      </c>
      <c r="G252" t="s">
        <v>468</v>
      </c>
      <c r="H252" t="s">
        <v>233</v>
      </c>
      <c r="I252" t="s">
        <v>36</v>
      </c>
      <c r="J252" t="s">
        <v>47</v>
      </c>
      <c r="K252" s="4">
        <v>232470</v>
      </c>
      <c r="L252" s="4">
        <v>504</v>
      </c>
      <c r="M252" s="4">
        <v>40870</v>
      </c>
      <c r="N252" s="4">
        <v>195447</v>
      </c>
      <c r="O252" s="4">
        <v>36</v>
      </c>
      <c r="P252" s="3">
        <v>5401.3651</v>
      </c>
      <c r="Q252"/>
      <c r="R252"/>
      <c r="S252"/>
      <c r="T252"/>
      <c r="U252"/>
      <c r="V252"/>
      <c r="W252"/>
      <c r="X252"/>
    </row>
    <row r="253" spans="1:24">
      <c r="A253" t="s">
        <v>92</v>
      </c>
      <c r="B253" t="s">
        <v>756</v>
      </c>
      <c r="C253" t="s">
        <v>768</v>
      </c>
      <c r="D253" t="s">
        <v>54</v>
      </c>
      <c r="E253" t="s">
        <v>60</v>
      </c>
      <c r="F253" t="s">
        <v>506</v>
      </c>
      <c r="G253" t="s">
        <v>474</v>
      </c>
      <c r="H253" t="s">
        <v>344</v>
      </c>
      <c r="I253" t="s">
        <v>38</v>
      </c>
      <c r="J253" t="s">
        <v>47</v>
      </c>
      <c r="K253" s="4">
        <v>10835</v>
      </c>
      <c r="L253" s="4">
        <v>25</v>
      </c>
      <c r="M253" s="4">
        <v>2888</v>
      </c>
      <c r="N253" s="4">
        <v>10487</v>
      </c>
      <c r="O253" s="4">
        <v>3</v>
      </c>
      <c r="P253" s="3">
        <v>4704.25</v>
      </c>
      <c r="Q253"/>
      <c r="R253"/>
      <c r="S253"/>
      <c r="T253"/>
      <c r="U253"/>
      <c r="V253"/>
      <c r="W253"/>
      <c r="X253"/>
    </row>
    <row r="254" spans="1:24">
      <c r="A254" t="s">
        <v>92</v>
      </c>
      <c r="B254" t="s">
        <v>756</v>
      </c>
      <c r="C254" t="s">
        <v>769</v>
      </c>
      <c r="D254" t="s">
        <v>56</v>
      </c>
      <c r="E254" t="s">
        <v>60</v>
      </c>
      <c r="F254" t="s">
        <v>467</v>
      </c>
      <c r="G254" t="s">
        <v>468</v>
      </c>
      <c r="H254" t="s">
        <v>231</v>
      </c>
      <c r="I254" t="s">
        <v>38</v>
      </c>
      <c r="J254" t="s">
        <v>49</v>
      </c>
      <c r="K254" s="4">
        <v>10815</v>
      </c>
      <c r="L254" s="4">
        <v>25</v>
      </c>
      <c r="M254" s="4">
        <v>4321</v>
      </c>
      <c r="N254" s="4">
        <v>9646</v>
      </c>
      <c r="O254" s="4">
        <v>2</v>
      </c>
      <c r="P254" s="3">
        <v>4921.5947999999999</v>
      </c>
      <c r="Q254"/>
      <c r="R254"/>
      <c r="S254"/>
      <c r="T254"/>
      <c r="U254"/>
      <c r="V254"/>
      <c r="W254"/>
      <c r="X254"/>
    </row>
    <row r="255" spans="1:24">
      <c r="A255" t="s">
        <v>92</v>
      </c>
      <c r="B255" t="s">
        <v>756</v>
      </c>
      <c r="C255" t="s">
        <v>770</v>
      </c>
      <c r="D255" t="s">
        <v>56</v>
      </c>
      <c r="E255" t="s">
        <v>59</v>
      </c>
      <c r="F255" t="s">
        <v>471</v>
      </c>
      <c r="G255" t="s">
        <v>464</v>
      </c>
      <c r="H255" t="s">
        <v>228</v>
      </c>
      <c r="I255" t="s">
        <v>36</v>
      </c>
      <c r="J255" t="s">
        <v>47</v>
      </c>
      <c r="K255" s="4">
        <v>14730</v>
      </c>
      <c r="L255" s="4">
        <v>88</v>
      </c>
      <c r="M255" s="4">
        <v>1272</v>
      </c>
      <c r="N255" s="4">
        <v>12427</v>
      </c>
      <c r="O255" s="4">
        <v>3</v>
      </c>
      <c r="P255" s="3">
        <v>5190.5360000000001</v>
      </c>
      <c r="Q255"/>
      <c r="R255"/>
      <c r="S255"/>
      <c r="T255"/>
      <c r="U255"/>
      <c r="V255"/>
      <c r="W255"/>
      <c r="X255"/>
    </row>
    <row r="256" spans="1:24">
      <c r="A256" t="s">
        <v>92</v>
      </c>
      <c r="B256" t="s">
        <v>756</v>
      </c>
      <c r="C256" t="s">
        <v>771</v>
      </c>
      <c r="D256" t="s">
        <v>56</v>
      </c>
      <c r="E256" t="s">
        <v>57</v>
      </c>
      <c r="F256" t="s">
        <v>480</v>
      </c>
      <c r="G256" t="s">
        <v>460</v>
      </c>
      <c r="H256" t="s">
        <v>352</v>
      </c>
      <c r="I256" t="s">
        <v>38</v>
      </c>
      <c r="J256" t="s">
        <v>47</v>
      </c>
      <c r="K256" s="4">
        <v>9702</v>
      </c>
      <c r="L256" s="4">
        <v>40</v>
      </c>
      <c r="M256" s="4">
        <v>5564</v>
      </c>
      <c r="N256" s="4">
        <v>8210</v>
      </c>
      <c r="O256" s="4">
        <v>1</v>
      </c>
      <c r="P256" s="3">
        <v>5711.3919999999998</v>
      </c>
      <c r="Q256"/>
      <c r="R256"/>
      <c r="S256"/>
      <c r="T256"/>
      <c r="U256"/>
      <c r="V256"/>
      <c r="W256"/>
      <c r="X256"/>
    </row>
    <row r="257" spans="1:24">
      <c r="A257" t="s">
        <v>92</v>
      </c>
      <c r="B257" t="s">
        <v>756</v>
      </c>
      <c r="C257" t="s">
        <v>772</v>
      </c>
      <c r="D257" t="s">
        <v>54</v>
      </c>
      <c r="E257" t="s">
        <v>55</v>
      </c>
      <c r="F257" t="s">
        <v>467</v>
      </c>
      <c r="G257" t="s">
        <v>468</v>
      </c>
      <c r="H257" t="s">
        <v>265</v>
      </c>
      <c r="I257" t="s">
        <v>44</v>
      </c>
      <c r="J257" t="s">
        <v>47</v>
      </c>
      <c r="K257" s="4">
        <v>47016</v>
      </c>
      <c r="L257" s="4">
        <v>199</v>
      </c>
      <c r="M257" s="4">
        <v>12210</v>
      </c>
      <c r="N257" s="4">
        <v>38039</v>
      </c>
      <c r="O257" s="4">
        <v>13</v>
      </c>
      <c r="P257" s="3">
        <v>5974.8751000000002</v>
      </c>
      <c r="Q257"/>
      <c r="R257"/>
      <c r="S257"/>
      <c r="T257"/>
      <c r="U257"/>
      <c r="V257"/>
      <c r="W257"/>
      <c r="X257"/>
    </row>
    <row r="258" spans="1:24">
      <c r="A258" t="s">
        <v>92</v>
      </c>
      <c r="B258" t="s">
        <v>756</v>
      </c>
      <c r="C258" t="s">
        <v>773</v>
      </c>
      <c r="D258" t="s">
        <v>56</v>
      </c>
      <c r="E258" t="s">
        <v>59</v>
      </c>
      <c r="F258" t="s">
        <v>471</v>
      </c>
      <c r="G258" t="s">
        <v>464</v>
      </c>
      <c r="H258" t="s">
        <v>232</v>
      </c>
      <c r="I258" t="s">
        <v>36</v>
      </c>
      <c r="J258" t="s">
        <v>49</v>
      </c>
      <c r="K258" s="4">
        <v>47394</v>
      </c>
      <c r="L258" s="4">
        <v>184</v>
      </c>
      <c r="M258" s="4">
        <v>22712</v>
      </c>
      <c r="N258" s="4">
        <v>41918</v>
      </c>
      <c r="O258" s="4">
        <v>24</v>
      </c>
      <c r="P258" s="3">
        <v>4701.4961999999996</v>
      </c>
      <c r="Q258"/>
      <c r="R258"/>
      <c r="S258"/>
      <c r="T258"/>
      <c r="U258"/>
      <c r="V258"/>
      <c r="W258"/>
      <c r="X258"/>
    </row>
    <row r="259" spans="1:24">
      <c r="A259" t="s">
        <v>92</v>
      </c>
      <c r="B259" t="s">
        <v>756</v>
      </c>
      <c r="C259" t="s">
        <v>774</v>
      </c>
      <c r="D259" t="s">
        <v>56</v>
      </c>
      <c r="E259" t="s">
        <v>55</v>
      </c>
      <c r="F259" t="s">
        <v>467</v>
      </c>
      <c r="G259" t="s">
        <v>468</v>
      </c>
      <c r="H259" t="s">
        <v>369</v>
      </c>
      <c r="I259" t="s">
        <v>451</v>
      </c>
      <c r="J259" t="s">
        <v>47</v>
      </c>
      <c r="K259" s="4">
        <v>9725</v>
      </c>
      <c r="L259" s="4">
        <v>80</v>
      </c>
      <c r="M259" s="4">
        <v>6616</v>
      </c>
      <c r="N259" s="4">
        <v>8778</v>
      </c>
      <c r="O259" s="4">
        <v>1</v>
      </c>
      <c r="P259" s="3">
        <v>4942.2839999999997</v>
      </c>
      <c r="Q259"/>
      <c r="R259"/>
      <c r="S259"/>
      <c r="T259"/>
      <c r="U259"/>
      <c r="V259"/>
      <c r="W259"/>
      <c r="X259"/>
    </row>
    <row r="260" spans="1:24">
      <c r="A260" t="s">
        <v>92</v>
      </c>
      <c r="B260" t="s">
        <v>756</v>
      </c>
      <c r="C260" t="s">
        <v>775</v>
      </c>
      <c r="D260" t="s">
        <v>56</v>
      </c>
      <c r="E260" t="s">
        <v>60</v>
      </c>
      <c r="F260" t="s">
        <v>467</v>
      </c>
      <c r="G260" t="s">
        <v>468</v>
      </c>
      <c r="H260" t="s">
        <v>260</v>
      </c>
      <c r="I260" t="s">
        <v>43</v>
      </c>
      <c r="J260" t="s">
        <v>49</v>
      </c>
      <c r="K260" s="4">
        <v>48707</v>
      </c>
      <c r="L260" s="4">
        <v>185</v>
      </c>
      <c r="M260" s="4">
        <v>25182</v>
      </c>
      <c r="N260" s="4">
        <v>44696</v>
      </c>
      <c r="O260" s="4">
        <v>13</v>
      </c>
      <c r="P260" s="3">
        <v>5600.3555999999999</v>
      </c>
      <c r="Q260"/>
      <c r="R260"/>
      <c r="S260"/>
      <c r="T260"/>
      <c r="U260"/>
      <c r="V260"/>
      <c r="W260"/>
      <c r="X260"/>
    </row>
    <row r="261" spans="1:24">
      <c r="A261" t="s">
        <v>92</v>
      </c>
      <c r="B261" t="s">
        <v>756</v>
      </c>
      <c r="C261" t="s">
        <v>776</v>
      </c>
      <c r="D261" t="s">
        <v>54</v>
      </c>
      <c r="E261" t="s">
        <v>57</v>
      </c>
      <c r="F261" t="s">
        <v>482</v>
      </c>
      <c r="G261" t="s">
        <v>483</v>
      </c>
      <c r="H261" t="s">
        <v>398</v>
      </c>
      <c r="I261" t="s">
        <v>445</v>
      </c>
      <c r="J261" t="s">
        <v>47</v>
      </c>
      <c r="K261" s="4">
        <v>44361</v>
      </c>
      <c r="L261" s="4">
        <v>166</v>
      </c>
      <c r="M261" s="4">
        <v>36040</v>
      </c>
      <c r="N261" s="4">
        <v>40684</v>
      </c>
      <c r="O261" s="4">
        <v>17</v>
      </c>
      <c r="P261" s="3">
        <v>5048.8526000000002</v>
      </c>
      <c r="Q261"/>
      <c r="R261"/>
      <c r="S261"/>
      <c r="T261"/>
      <c r="U261"/>
      <c r="V261"/>
      <c r="W261"/>
      <c r="X261"/>
    </row>
    <row r="262" spans="1:24">
      <c r="A262" t="s">
        <v>94</v>
      </c>
      <c r="B262" t="s">
        <v>777</v>
      </c>
      <c r="C262" t="s">
        <v>778</v>
      </c>
      <c r="D262" t="s">
        <v>56</v>
      </c>
      <c r="E262" t="s">
        <v>57</v>
      </c>
      <c r="F262" t="s">
        <v>473</v>
      </c>
      <c r="G262" t="s">
        <v>474</v>
      </c>
      <c r="H262" t="s">
        <v>215</v>
      </c>
      <c r="I262" t="s">
        <v>36</v>
      </c>
      <c r="J262" t="s">
        <v>48</v>
      </c>
      <c r="K262" s="4">
        <v>74164</v>
      </c>
      <c r="L262" s="4">
        <v>241</v>
      </c>
      <c r="M262" s="4">
        <v>25104</v>
      </c>
      <c r="N262" s="4">
        <v>61242</v>
      </c>
      <c r="O262" s="4">
        <v>19</v>
      </c>
      <c r="P262" s="3">
        <v>1902.3014000000001</v>
      </c>
      <c r="Q262"/>
      <c r="R262"/>
      <c r="S262"/>
      <c r="T262"/>
      <c r="U262"/>
      <c r="V262"/>
      <c r="W262"/>
      <c r="X262"/>
    </row>
    <row r="263" spans="1:24">
      <c r="A263" t="s">
        <v>94</v>
      </c>
      <c r="B263" t="s">
        <v>777</v>
      </c>
      <c r="C263" t="s">
        <v>779</v>
      </c>
      <c r="D263" t="s">
        <v>54</v>
      </c>
      <c r="E263" t="s">
        <v>60</v>
      </c>
      <c r="F263" t="s">
        <v>497</v>
      </c>
      <c r="G263" t="s">
        <v>460</v>
      </c>
      <c r="H263" t="s">
        <v>320</v>
      </c>
      <c r="I263" t="s">
        <v>38</v>
      </c>
      <c r="J263" t="s">
        <v>47</v>
      </c>
      <c r="K263" s="4">
        <v>82916</v>
      </c>
      <c r="L263" s="4">
        <v>199</v>
      </c>
      <c r="M263" s="4">
        <v>24951</v>
      </c>
      <c r="N263" s="4">
        <v>77333</v>
      </c>
      <c r="O263" s="4">
        <v>12</v>
      </c>
      <c r="P263" s="3">
        <v>1584.8212000000001</v>
      </c>
      <c r="Q263"/>
      <c r="R263"/>
      <c r="S263"/>
      <c r="T263"/>
      <c r="U263"/>
      <c r="V263"/>
      <c r="W263"/>
      <c r="X263"/>
    </row>
    <row r="264" spans="1:24">
      <c r="A264" t="s">
        <v>94</v>
      </c>
      <c r="B264" t="s">
        <v>19</v>
      </c>
      <c r="C264" t="s">
        <v>780</v>
      </c>
      <c r="D264" t="s">
        <v>56</v>
      </c>
      <c r="E264" t="s">
        <v>55</v>
      </c>
      <c r="F264" t="s">
        <v>486</v>
      </c>
      <c r="G264" t="s">
        <v>487</v>
      </c>
      <c r="H264" t="s">
        <v>406</v>
      </c>
      <c r="I264" t="s">
        <v>36</v>
      </c>
      <c r="J264" t="s">
        <v>47</v>
      </c>
      <c r="K264" s="4">
        <v>11214</v>
      </c>
      <c r="L264" s="4">
        <v>49</v>
      </c>
      <c r="M264" s="4">
        <v>5523</v>
      </c>
      <c r="N264" s="4">
        <v>10267</v>
      </c>
      <c r="O264" s="4">
        <v>2</v>
      </c>
      <c r="P264" s="3">
        <v>1554.3892000000001</v>
      </c>
      <c r="Q264"/>
      <c r="R264"/>
      <c r="S264"/>
      <c r="T264"/>
      <c r="U264"/>
      <c r="V264"/>
      <c r="W264"/>
      <c r="X264"/>
    </row>
    <row r="265" spans="1:24">
      <c r="A265" t="s">
        <v>94</v>
      </c>
      <c r="B265" t="s">
        <v>19</v>
      </c>
      <c r="C265" t="s">
        <v>781</v>
      </c>
      <c r="D265" t="s">
        <v>54</v>
      </c>
      <c r="E265" t="s">
        <v>60</v>
      </c>
      <c r="F265" t="s">
        <v>782</v>
      </c>
      <c r="G265" t="s">
        <v>783</v>
      </c>
      <c r="H265" t="s">
        <v>217</v>
      </c>
      <c r="I265" t="s">
        <v>36</v>
      </c>
      <c r="J265" t="s">
        <v>47</v>
      </c>
      <c r="K265" s="4">
        <v>55274</v>
      </c>
      <c r="L265" s="4">
        <v>219</v>
      </c>
      <c r="M265" s="4">
        <v>47583</v>
      </c>
      <c r="N265" s="4">
        <v>51275</v>
      </c>
      <c r="O265" s="4">
        <v>3</v>
      </c>
      <c r="P265" s="3">
        <v>1532.7579000000001</v>
      </c>
      <c r="Q265"/>
      <c r="R265"/>
      <c r="S265"/>
      <c r="T265"/>
      <c r="U265"/>
      <c r="V265"/>
      <c r="W265"/>
      <c r="X265"/>
    </row>
    <row r="266" spans="1:24">
      <c r="A266" t="s">
        <v>97</v>
      </c>
      <c r="B266" t="s">
        <v>784</v>
      </c>
      <c r="C266" t="s">
        <v>785</v>
      </c>
      <c r="D266" t="s">
        <v>56</v>
      </c>
      <c r="E266" t="s">
        <v>59</v>
      </c>
      <c r="F266" t="s">
        <v>519</v>
      </c>
      <c r="G266" t="s">
        <v>460</v>
      </c>
      <c r="H266" t="s">
        <v>297</v>
      </c>
      <c r="I266" t="s">
        <v>36</v>
      </c>
      <c r="J266" t="s">
        <v>47</v>
      </c>
      <c r="K266" s="4">
        <v>7427</v>
      </c>
      <c r="L266" s="4">
        <v>0</v>
      </c>
      <c r="M266" s="4">
        <v>4752</v>
      </c>
      <c r="N266" s="4">
        <v>6566</v>
      </c>
      <c r="O266" s="4">
        <v>1</v>
      </c>
      <c r="P266" s="3">
        <v>1504.7842000000001</v>
      </c>
      <c r="Q266"/>
      <c r="R266"/>
      <c r="S266"/>
      <c r="T266"/>
      <c r="U266"/>
      <c r="V266"/>
      <c r="W266"/>
      <c r="X266"/>
    </row>
    <row r="267" spans="1:24">
      <c r="A267" t="s">
        <v>97</v>
      </c>
      <c r="B267" t="s">
        <v>784</v>
      </c>
      <c r="C267" t="s">
        <v>786</v>
      </c>
      <c r="D267" t="s">
        <v>58</v>
      </c>
      <c r="E267" t="s">
        <v>55</v>
      </c>
      <c r="F267" t="s">
        <v>473</v>
      </c>
      <c r="G267" t="s">
        <v>474</v>
      </c>
      <c r="H267" t="s">
        <v>270</v>
      </c>
      <c r="I267" t="s">
        <v>36</v>
      </c>
      <c r="J267" t="s">
        <v>47</v>
      </c>
      <c r="K267" s="4">
        <v>9178</v>
      </c>
      <c r="L267" s="4">
        <v>25</v>
      </c>
      <c r="M267" s="4">
        <v>4644</v>
      </c>
      <c r="N267" s="4">
        <v>8462</v>
      </c>
      <c r="O267" s="4">
        <v>2</v>
      </c>
      <c r="P267" s="3">
        <v>1503.2052000000001</v>
      </c>
      <c r="Q267"/>
      <c r="R267"/>
      <c r="S267"/>
      <c r="T267"/>
      <c r="U267"/>
      <c r="V267"/>
      <c r="W267"/>
      <c r="X267"/>
    </row>
    <row r="268" spans="1:24">
      <c r="A268" t="s">
        <v>97</v>
      </c>
      <c r="B268" t="s">
        <v>784</v>
      </c>
      <c r="C268" t="s">
        <v>787</v>
      </c>
      <c r="D268" t="s">
        <v>56</v>
      </c>
      <c r="E268" t="s">
        <v>60</v>
      </c>
      <c r="F268" t="s">
        <v>480</v>
      </c>
      <c r="G268" t="s">
        <v>460</v>
      </c>
      <c r="H268" t="s">
        <v>213</v>
      </c>
      <c r="I268" t="s">
        <v>38</v>
      </c>
      <c r="J268" t="s">
        <v>48</v>
      </c>
      <c r="K268" s="4">
        <v>74436</v>
      </c>
      <c r="L268" s="4">
        <v>175</v>
      </c>
      <c r="M268" s="4">
        <v>30158</v>
      </c>
      <c r="N268" s="4">
        <v>69150</v>
      </c>
      <c r="O268" s="4">
        <v>21</v>
      </c>
      <c r="P268" s="3">
        <v>1558.5491</v>
      </c>
      <c r="Q268"/>
      <c r="R268"/>
      <c r="S268"/>
      <c r="T268"/>
      <c r="U268"/>
      <c r="V268"/>
      <c r="W268"/>
      <c r="X268"/>
    </row>
    <row r="269" spans="1:24">
      <c r="A269" t="s">
        <v>97</v>
      </c>
      <c r="B269" t="s">
        <v>784</v>
      </c>
      <c r="C269" t="s">
        <v>788</v>
      </c>
      <c r="D269" t="s">
        <v>54</v>
      </c>
      <c r="E269" t="s">
        <v>60</v>
      </c>
      <c r="F269" t="s">
        <v>482</v>
      </c>
      <c r="G269" t="s">
        <v>483</v>
      </c>
      <c r="H269" t="s">
        <v>233</v>
      </c>
      <c r="I269" t="s">
        <v>36</v>
      </c>
      <c r="J269" t="s">
        <v>47</v>
      </c>
      <c r="K269" s="4">
        <v>22163</v>
      </c>
      <c r="L269" s="4">
        <v>55</v>
      </c>
      <c r="M269" s="4">
        <v>2368</v>
      </c>
      <c r="N269" s="4">
        <v>8130</v>
      </c>
      <c r="O269" s="4">
        <v>3</v>
      </c>
      <c r="P269" s="3">
        <v>1493.7792999999999</v>
      </c>
      <c r="Q269"/>
      <c r="R269"/>
      <c r="S269"/>
      <c r="T269"/>
      <c r="U269"/>
      <c r="V269"/>
      <c r="W269"/>
      <c r="X269"/>
    </row>
    <row r="270" spans="1:24">
      <c r="A270" t="s">
        <v>97</v>
      </c>
      <c r="B270" t="s">
        <v>784</v>
      </c>
      <c r="C270" t="s">
        <v>789</v>
      </c>
      <c r="D270" t="s">
        <v>56</v>
      </c>
      <c r="E270" t="s">
        <v>59</v>
      </c>
      <c r="F270" t="s">
        <v>459</v>
      </c>
      <c r="G270" t="s">
        <v>460</v>
      </c>
      <c r="H270" t="s">
        <v>233</v>
      </c>
      <c r="I270" t="s">
        <v>212</v>
      </c>
      <c r="J270" t="s">
        <v>48</v>
      </c>
      <c r="K270" s="4">
        <v>74426</v>
      </c>
      <c r="L270" s="4">
        <v>150</v>
      </c>
      <c r="M270" s="4">
        <v>39257</v>
      </c>
      <c r="N270" s="4">
        <v>67151</v>
      </c>
      <c r="O270" s="4">
        <v>15</v>
      </c>
      <c r="P270" s="3">
        <v>1519.5966000000001</v>
      </c>
      <c r="Q270"/>
      <c r="R270"/>
      <c r="S270"/>
      <c r="T270"/>
      <c r="U270"/>
      <c r="V270"/>
      <c r="W270"/>
      <c r="X270"/>
    </row>
    <row r="271" spans="1:24">
      <c r="A271" t="s">
        <v>97</v>
      </c>
      <c r="B271" t="s">
        <v>784</v>
      </c>
      <c r="C271" t="s">
        <v>615</v>
      </c>
      <c r="D271" t="s">
        <v>54</v>
      </c>
      <c r="E271" t="s">
        <v>59</v>
      </c>
      <c r="F271" t="s">
        <v>480</v>
      </c>
      <c r="G271" t="s">
        <v>460</v>
      </c>
      <c r="H271" t="s">
        <v>281</v>
      </c>
      <c r="I271" t="s">
        <v>313</v>
      </c>
      <c r="J271" t="s">
        <v>47</v>
      </c>
      <c r="K271" s="4">
        <v>22175</v>
      </c>
      <c r="L271" s="4">
        <v>140</v>
      </c>
      <c r="M271" s="4">
        <v>14910</v>
      </c>
      <c r="N271" s="4">
        <v>20074</v>
      </c>
      <c r="O271" s="4">
        <v>6</v>
      </c>
      <c r="P271" s="3">
        <v>1909.2774999999999</v>
      </c>
      <c r="Q271"/>
      <c r="R271"/>
      <c r="S271"/>
      <c r="T271"/>
      <c r="U271"/>
      <c r="V271"/>
      <c r="W271"/>
      <c r="X271"/>
    </row>
    <row r="272" spans="1:24">
      <c r="A272" t="s">
        <v>97</v>
      </c>
      <c r="B272" t="s">
        <v>591</v>
      </c>
      <c r="C272" t="s">
        <v>615</v>
      </c>
      <c r="D272" t="s">
        <v>56</v>
      </c>
      <c r="E272" t="s">
        <v>59</v>
      </c>
      <c r="F272" t="s">
        <v>463</v>
      </c>
      <c r="G272" t="s">
        <v>464</v>
      </c>
      <c r="H272" t="s">
        <v>334</v>
      </c>
      <c r="I272" t="s">
        <v>38</v>
      </c>
      <c r="J272" t="s">
        <v>49</v>
      </c>
      <c r="K272" s="4">
        <v>17645</v>
      </c>
      <c r="L272" s="4">
        <v>40</v>
      </c>
      <c r="M272" s="4">
        <v>9673</v>
      </c>
      <c r="N272" s="4">
        <v>15088</v>
      </c>
      <c r="O272" s="4">
        <v>15</v>
      </c>
      <c r="P272" s="3">
        <v>1591.7722000000001</v>
      </c>
      <c r="Q272"/>
      <c r="R272"/>
      <c r="S272"/>
      <c r="T272"/>
      <c r="U272"/>
      <c r="V272"/>
      <c r="W272"/>
      <c r="X272"/>
    </row>
    <row r="273" spans="1:24">
      <c r="A273" t="s">
        <v>99</v>
      </c>
      <c r="B273" t="s">
        <v>99</v>
      </c>
      <c r="D273" t="s">
        <v>56</v>
      </c>
      <c r="E273" t="s">
        <v>60</v>
      </c>
      <c r="F273" t="s">
        <v>480</v>
      </c>
      <c r="G273" t="s">
        <v>460</v>
      </c>
      <c r="H273" t="s">
        <v>346</v>
      </c>
      <c r="I273" t="s">
        <v>42</v>
      </c>
      <c r="J273" t="s">
        <v>47</v>
      </c>
      <c r="K273" s="4">
        <v>8545</v>
      </c>
      <c r="L273" s="4">
        <v>20</v>
      </c>
      <c r="M273" s="4">
        <v>3454</v>
      </c>
      <c r="N273" s="4">
        <v>5510</v>
      </c>
      <c r="O273" s="4">
        <v>2</v>
      </c>
      <c r="P273" s="3">
        <v>2181.2478999999998</v>
      </c>
      <c r="Q273"/>
      <c r="R273"/>
      <c r="S273"/>
      <c r="T273"/>
      <c r="U273"/>
      <c r="V273"/>
      <c r="W273"/>
      <c r="X273"/>
    </row>
    <row r="274" spans="1:24">
      <c r="A274" t="s">
        <v>19</v>
      </c>
      <c r="B274" t="s">
        <v>790</v>
      </c>
      <c r="C274" t="s">
        <v>790</v>
      </c>
      <c r="D274" t="s">
        <v>56</v>
      </c>
      <c r="E274" t="s">
        <v>55</v>
      </c>
      <c r="F274" t="s">
        <v>467</v>
      </c>
      <c r="G274" t="s">
        <v>468</v>
      </c>
      <c r="H274" t="s">
        <v>215</v>
      </c>
      <c r="I274" t="s">
        <v>445</v>
      </c>
      <c r="J274" t="s">
        <v>47</v>
      </c>
      <c r="K274" s="4">
        <v>1767940</v>
      </c>
      <c r="L274" s="4">
        <v>4852</v>
      </c>
      <c r="M274" s="4">
        <v>881525</v>
      </c>
      <c r="N274" s="4">
        <v>1550866</v>
      </c>
      <c r="O274" s="4">
        <v>78</v>
      </c>
      <c r="P274" s="3">
        <v>7511.6562000000004</v>
      </c>
      <c r="Q274"/>
      <c r="R274"/>
      <c r="S274"/>
      <c r="T274"/>
      <c r="U274"/>
      <c r="V274"/>
      <c r="W274"/>
      <c r="X274"/>
    </row>
    <row r="275" spans="1:24">
      <c r="A275" t="s">
        <v>19</v>
      </c>
      <c r="B275" t="s">
        <v>790</v>
      </c>
      <c r="C275" t="s">
        <v>791</v>
      </c>
      <c r="D275" t="s">
        <v>54</v>
      </c>
      <c r="E275" t="s">
        <v>60</v>
      </c>
      <c r="F275" t="s">
        <v>559</v>
      </c>
      <c r="G275" t="s">
        <v>560</v>
      </c>
      <c r="H275" t="s">
        <v>264</v>
      </c>
      <c r="I275" t="s">
        <v>38</v>
      </c>
      <c r="J275" t="s">
        <v>47</v>
      </c>
      <c r="K275" s="4">
        <v>69523</v>
      </c>
      <c r="L275" s="4">
        <v>174</v>
      </c>
      <c r="M275" s="4">
        <v>48273</v>
      </c>
      <c r="N275" s="4">
        <v>65800</v>
      </c>
      <c r="O275" s="4">
        <v>9</v>
      </c>
      <c r="P275" s="3">
        <v>2649.9978000000001</v>
      </c>
      <c r="Q275"/>
      <c r="R275"/>
      <c r="S275"/>
      <c r="T275"/>
      <c r="U275"/>
      <c r="V275"/>
      <c r="W275"/>
      <c r="X275"/>
    </row>
    <row r="276" spans="1:24">
      <c r="A276" t="s">
        <v>19</v>
      </c>
      <c r="B276" t="s">
        <v>790</v>
      </c>
      <c r="C276" t="s">
        <v>792</v>
      </c>
      <c r="D276" t="s">
        <v>56</v>
      </c>
      <c r="E276" t="s">
        <v>60</v>
      </c>
      <c r="F276" t="s">
        <v>467</v>
      </c>
      <c r="G276" t="s">
        <v>468</v>
      </c>
      <c r="H276" t="s">
        <v>221</v>
      </c>
      <c r="I276" t="s">
        <v>36</v>
      </c>
      <c r="J276" t="s">
        <v>48</v>
      </c>
      <c r="K276" s="4">
        <v>24962</v>
      </c>
      <c r="L276" s="4">
        <v>75</v>
      </c>
      <c r="M276" s="4">
        <v>18450</v>
      </c>
      <c r="N276" s="4">
        <v>24128</v>
      </c>
      <c r="O276" s="4">
        <v>16</v>
      </c>
      <c r="P276" s="3">
        <v>6809.0560999999998</v>
      </c>
      <c r="Q276"/>
      <c r="R276"/>
      <c r="S276"/>
      <c r="T276"/>
      <c r="U276"/>
      <c r="V276"/>
      <c r="W276"/>
      <c r="X276"/>
    </row>
    <row r="277" spans="1:24">
      <c r="A277" t="s">
        <v>19</v>
      </c>
      <c r="B277" t="s">
        <v>568</v>
      </c>
      <c r="C277" t="s">
        <v>793</v>
      </c>
      <c r="D277" t="s">
        <v>54</v>
      </c>
      <c r="E277" t="s">
        <v>55</v>
      </c>
      <c r="F277" t="s">
        <v>473</v>
      </c>
      <c r="G277" t="s">
        <v>474</v>
      </c>
      <c r="H277" t="s">
        <v>222</v>
      </c>
      <c r="I277" t="s">
        <v>209</v>
      </c>
      <c r="J277" t="s">
        <v>47</v>
      </c>
      <c r="K277" s="4">
        <v>39212</v>
      </c>
      <c r="L277" s="4">
        <v>260</v>
      </c>
      <c r="M277" s="4">
        <v>31317</v>
      </c>
      <c r="N277" s="4">
        <v>37660</v>
      </c>
      <c r="O277" s="4">
        <v>1</v>
      </c>
      <c r="P277" s="3">
        <v>3621.4177</v>
      </c>
      <c r="Q277"/>
      <c r="R277"/>
      <c r="S277"/>
      <c r="T277"/>
      <c r="U277"/>
      <c r="V277"/>
      <c r="W277"/>
      <c r="X277"/>
    </row>
    <row r="278" spans="1:24">
      <c r="A278" t="s">
        <v>19</v>
      </c>
      <c r="B278" t="s">
        <v>568</v>
      </c>
      <c r="C278" t="s">
        <v>568</v>
      </c>
      <c r="D278" t="s">
        <v>54</v>
      </c>
      <c r="E278" t="s">
        <v>60</v>
      </c>
      <c r="F278" t="s">
        <v>473</v>
      </c>
      <c r="G278" t="s">
        <v>474</v>
      </c>
      <c r="H278" t="s">
        <v>218</v>
      </c>
      <c r="I278" t="s">
        <v>36</v>
      </c>
      <c r="J278" t="s">
        <v>47</v>
      </c>
      <c r="K278" s="4">
        <v>921791</v>
      </c>
      <c r="L278" s="4">
        <v>2150</v>
      </c>
      <c r="M278" s="4">
        <v>668449</v>
      </c>
      <c r="N278" s="4">
        <v>852442</v>
      </c>
      <c r="O278" s="4">
        <v>69</v>
      </c>
      <c r="P278" s="3">
        <v>8042.8978999999999</v>
      </c>
      <c r="Q278"/>
      <c r="R278"/>
      <c r="S278"/>
      <c r="T278"/>
      <c r="U278"/>
      <c r="V278"/>
      <c r="W278"/>
      <c r="X278"/>
    </row>
    <row r="279" spans="1:24">
      <c r="A279" t="s">
        <v>19</v>
      </c>
      <c r="B279" t="s">
        <v>568</v>
      </c>
      <c r="C279" t="s">
        <v>794</v>
      </c>
      <c r="D279" t="s">
        <v>56</v>
      </c>
      <c r="E279" t="s">
        <v>55</v>
      </c>
      <c r="F279" t="s">
        <v>467</v>
      </c>
      <c r="G279" t="s">
        <v>468</v>
      </c>
      <c r="H279" t="s">
        <v>353</v>
      </c>
      <c r="I279" t="s">
        <v>38</v>
      </c>
      <c r="J279" t="s">
        <v>47</v>
      </c>
      <c r="K279" s="4">
        <v>8362</v>
      </c>
      <c r="L279" s="4">
        <v>31</v>
      </c>
      <c r="M279" s="4">
        <v>5959</v>
      </c>
      <c r="N279" s="4">
        <v>7947</v>
      </c>
      <c r="O279" s="4">
        <v>7</v>
      </c>
      <c r="P279" s="3">
        <v>6997.4690000000001</v>
      </c>
      <c r="Q279"/>
      <c r="R279"/>
      <c r="S279"/>
      <c r="T279"/>
      <c r="U279"/>
      <c r="V279"/>
      <c r="W279"/>
      <c r="X279"/>
    </row>
    <row r="280" spans="1:24">
      <c r="A280" t="s">
        <v>19</v>
      </c>
      <c r="B280" t="s">
        <v>568</v>
      </c>
      <c r="C280" t="s">
        <v>795</v>
      </c>
      <c r="D280" t="s">
        <v>54</v>
      </c>
      <c r="E280" t="s">
        <v>55</v>
      </c>
      <c r="F280" t="s">
        <v>482</v>
      </c>
      <c r="G280" t="s">
        <v>483</v>
      </c>
      <c r="H280" t="s">
        <v>213</v>
      </c>
      <c r="I280" t="s">
        <v>36</v>
      </c>
      <c r="J280" t="s">
        <v>47</v>
      </c>
      <c r="K280" s="4">
        <v>221720</v>
      </c>
      <c r="L280" s="4">
        <v>499</v>
      </c>
      <c r="M280" s="4">
        <v>35178</v>
      </c>
      <c r="N280" s="4">
        <v>196583</v>
      </c>
      <c r="O280" s="4">
        <v>69</v>
      </c>
      <c r="P280" s="3">
        <v>7890.2219999999998</v>
      </c>
      <c r="Q280"/>
      <c r="R280"/>
      <c r="S280"/>
      <c r="T280"/>
      <c r="U280"/>
      <c r="V280"/>
      <c r="W280"/>
      <c r="X280"/>
    </row>
    <row r="281" spans="1:24">
      <c r="A281" t="s">
        <v>19</v>
      </c>
      <c r="B281" t="s">
        <v>568</v>
      </c>
      <c r="C281" t="s">
        <v>796</v>
      </c>
      <c r="D281" t="s">
        <v>56</v>
      </c>
      <c r="E281" t="s">
        <v>55</v>
      </c>
      <c r="F281" t="s">
        <v>467</v>
      </c>
      <c r="G281" t="s">
        <v>468</v>
      </c>
      <c r="H281" t="s">
        <v>260</v>
      </c>
      <c r="I281" t="s">
        <v>36</v>
      </c>
      <c r="J281" t="s">
        <v>47</v>
      </c>
      <c r="K281" s="4">
        <v>357707</v>
      </c>
      <c r="L281" s="4">
        <v>951</v>
      </c>
      <c r="M281" s="4">
        <v>203987</v>
      </c>
      <c r="N281" s="4">
        <v>338107</v>
      </c>
      <c r="O281" s="4">
        <v>74</v>
      </c>
      <c r="P281" s="3">
        <v>6749.2024000000001</v>
      </c>
      <c r="Q281"/>
      <c r="R281"/>
      <c r="S281"/>
      <c r="T281"/>
      <c r="U281"/>
      <c r="V281"/>
      <c r="W281"/>
      <c r="X281"/>
    </row>
    <row r="282" spans="1:24">
      <c r="A282" t="s">
        <v>19</v>
      </c>
      <c r="B282" t="s">
        <v>797</v>
      </c>
      <c r="C282" t="s">
        <v>798</v>
      </c>
      <c r="D282" t="s">
        <v>58</v>
      </c>
      <c r="E282" t="s">
        <v>60</v>
      </c>
      <c r="F282" t="s">
        <v>572</v>
      </c>
      <c r="G282" t="s">
        <v>512</v>
      </c>
      <c r="H282" t="s">
        <v>230</v>
      </c>
      <c r="I282" t="s">
        <v>36</v>
      </c>
      <c r="J282" t="s">
        <v>47</v>
      </c>
      <c r="K282" s="4">
        <v>7394</v>
      </c>
      <c r="L282" s="4">
        <v>20</v>
      </c>
      <c r="M282" s="4">
        <v>3441</v>
      </c>
      <c r="N282" s="4">
        <v>6663</v>
      </c>
      <c r="O282" s="4">
        <v>1</v>
      </c>
      <c r="P282" s="3">
        <v>1624.8407999999999</v>
      </c>
      <c r="Q282"/>
      <c r="R282"/>
      <c r="S282"/>
      <c r="T282"/>
      <c r="U282"/>
      <c r="V282"/>
      <c r="W282"/>
      <c r="X282"/>
    </row>
    <row r="283" spans="1:24">
      <c r="A283" t="s">
        <v>19</v>
      </c>
      <c r="B283" t="s">
        <v>799</v>
      </c>
      <c r="C283" t="s">
        <v>800</v>
      </c>
      <c r="D283" t="s">
        <v>54</v>
      </c>
      <c r="E283" t="s">
        <v>57</v>
      </c>
      <c r="F283" t="s">
        <v>471</v>
      </c>
      <c r="G283" t="s">
        <v>464</v>
      </c>
      <c r="H283" t="s">
        <v>217</v>
      </c>
      <c r="I283" t="s">
        <v>209</v>
      </c>
      <c r="J283" t="s">
        <v>47</v>
      </c>
      <c r="K283" s="4">
        <v>183230</v>
      </c>
      <c r="L283" s="4">
        <v>666</v>
      </c>
      <c r="M283" s="4">
        <v>155260</v>
      </c>
      <c r="N283" s="4">
        <v>169583</v>
      </c>
      <c r="O283" s="4">
        <v>34</v>
      </c>
      <c r="P283" s="3">
        <v>7863.4696999999996</v>
      </c>
      <c r="Q283"/>
      <c r="R283"/>
      <c r="S283"/>
      <c r="T283"/>
      <c r="U283"/>
      <c r="V283"/>
      <c r="W283"/>
      <c r="X283"/>
    </row>
    <row r="284" spans="1:24">
      <c r="A284" t="s">
        <v>19</v>
      </c>
      <c r="B284" t="s">
        <v>799</v>
      </c>
      <c r="C284" t="s">
        <v>799</v>
      </c>
      <c r="D284" t="s">
        <v>54</v>
      </c>
      <c r="E284" t="s">
        <v>60</v>
      </c>
      <c r="F284" t="s">
        <v>467</v>
      </c>
      <c r="G284" t="s">
        <v>468</v>
      </c>
      <c r="H284" t="s">
        <v>218</v>
      </c>
      <c r="I284" t="s">
        <v>40</v>
      </c>
      <c r="J284" t="s">
        <v>47</v>
      </c>
      <c r="K284" s="4">
        <v>4154911</v>
      </c>
      <c r="L284" s="4">
        <v>1254</v>
      </c>
      <c r="M284" s="4">
        <v>2338732</v>
      </c>
      <c r="N284" s="4">
        <v>3445626</v>
      </c>
      <c r="O284" s="4">
        <v>154</v>
      </c>
      <c r="P284" s="3">
        <v>8038.5703999999996</v>
      </c>
      <c r="Q284"/>
      <c r="R284"/>
      <c r="S284"/>
      <c r="T284"/>
      <c r="U284"/>
      <c r="V284"/>
      <c r="W284"/>
      <c r="X284"/>
    </row>
    <row r="285" spans="1:24">
      <c r="A285" t="s">
        <v>19</v>
      </c>
      <c r="B285" t="s">
        <v>799</v>
      </c>
      <c r="C285" t="s">
        <v>801</v>
      </c>
      <c r="D285" t="s">
        <v>56</v>
      </c>
      <c r="E285" t="s">
        <v>55</v>
      </c>
      <c r="F285" t="s">
        <v>467</v>
      </c>
      <c r="G285" t="s">
        <v>468</v>
      </c>
      <c r="H285" t="s">
        <v>213</v>
      </c>
      <c r="I285" t="s">
        <v>36</v>
      </c>
      <c r="J285" t="s">
        <v>47</v>
      </c>
      <c r="K285" s="4">
        <v>1100942</v>
      </c>
      <c r="L285" s="4">
        <v>2984</v>
      </c>
      <c r="M285" s="4">
        <v>629973</v>
      </c>
      <c r="N285" s="4">
        <v>1041225</v>
      </c>
      <c r="O285" s="4">
        <v>147</v>
      </c>
      <c r="P285" s="3">
        <v>7979.3486000000003</v>
      </c>
      <c r="Q285"/>
      <c r="R285"/>
      <c r="S285"/>
      <c r="T285"/>
      <c r="U285"/>
      <c r="V285"/>
      <c r="W285"/>
      <c r="X285"/>
    </row>
    <row r="286" spans="1:24">
      <c r="A286" t="s">
        <v>19</v>
      </c>
      <c r="B286" t="s">
        <v>802</v>
      </c>
      <c r="C286" t="s">
        <v>803</v>
      </c>
      <c r="D286" t="s">
        <v>56</v>
      </c>
      <c r="E286" t="s">
        <v>60</v>
      </c>
      <c r="F286" t="s">
        <v>473</v>
      </c>
      <c r="G286" t="s">
        <v>474</v>
      </c>
      <c r="H286" t="s">
        <v>217</v>
      </c>
      <c r="I286" t="s">
        <v>36</v>
      </c>
      <c r="J286" t="s">
        <v>47</v>
      </c>
      <c r="K286" s="4">
        <v>21088</v>
      </c>
      <c r="L286" s="4">
        <v>60</v>
      </c>
      <c r="M286" s="4">
        <v>17930</v>
      </c>
      <c r="N286" s="4">
        <v>19822</v>
      </c>
      <c r="O286" s="4">
        <v>4</v>
      </c>
      <c r="P286" s="3">
        <v>1623.6815999999999</v>
      </c>
      <c r="Q286"/>
      <c r="R286"/>
      <c r="S286"/>
      <c r="T286"/>
      <c r="U286"/>
      <c r="V286"/>
      <c r="W286"/>
      <c r="X286"/>
    </row>
    <row r="287" spans="1:24">
      <c r="A287" t="s">
        <v>19</v>
      </c>
      <c r="B287" t="s">
        <v>804</v>
      </c>
      <c r="C287" t="s">
        <v>805</v>
      </c>
      <c r="D287" t="s">
        <v>54</v>
      </c>
      <c r="E287" t="s">
        <v>59</v>
      </c>
      <c r="F287" t="s">
        <v>467</v>
      </c>
      <c r="G287" t="s">
        <v>468</v>
      </c>
      <c r="H287" t="s">
        <v>213</v>
      </c>
      <c r="I287" t="s">
        <v>36</v>
      </c>
      <c r="J287" t="s">
        <v>47</v>
      </c>
      <c r="K287" s="4">
        <v>126337</v>
      </c>
      <c r="L287" s="4">
        <v>325</v>
      </c>
      <c r="M287" s="4">
        <v>51394</v>
      </c>
      <c r="N287" s="4">
        <v>117635</v>
      </c>
      <c r="O287" s="4">
        <v>5</v>
      </c>
      <c r="P287" s="3">
        <v>1487.0882999999999</v>
      </c>
      <c r="Q287"/>
      <c r="R287"/>
      <c r="S287"/>
      <c r="T287"/>
      <c r="U287"/>
      <c r="V287"/>
      <c r="W287"/>
      <c r="X287"/>
    </row>
    <row r="288" spans="1:24">
      <c r="A288" t="s">
        <v>19</v>
      </c>
      <c r="B288" t="s">
        <v>806</v>
      </c>
      <c r="C288" t="s">
        <v>807</v>
      </c>
      <c r="D288" t="s">
        <v>54</v>
      </c>
      <c r="E288" t="s">
        <v>60</v>
      </c>
      <c r="F288" t="s">
        <v>471</v>
      </c>
      <c r="G288" t="s">
        <v>464</v>
      </c>
      <c r="H288" t="s">
        <v>405</v>
      </c>
      <c r="I288" t="s">
        <v>36</v>
      </c>
      <c r="J288" t="s">
        <v>47</v>
      </c>
      <c r="K288" s="4">
        <v>10779</v>
      </c>
      <c r="L288" s="4">
        <v>86</v>
      </c>
      <c r="M288" s="4">
        <v>6420</v>
      </c>
      <c r="N288" s="4">
        <v>10287</v>
      </c>
      <c r="O288" s="4">
        <v>3</v>
      </c>
      <c r="P288" s="3">
        <v>1759.7048</v>
      </c>
      <c r="Q288"/>
      <c r="R288"/>
      <c r="S288"/>
      <c r="T288"/>
      <c r="U288"/>
      <c r="V288"/>
      <c r="W288"/>
      <c r="X288"/>
    </row>
    <row r="289" spans="1:24">
      <c r="A289" t="s">
        <v>19</v>
      </c>
      <c r="B289" t="s">
        <v>808</v>
      </c>
      <c r="C289" t="s">
        <v>809</v>
      </c>
      <c r="D289" t="s">
        <v>56</v>
      </c>
      <c r="E289" t="s">
        <v>55</v>
      </c>
      <c r="F289" t="s">
        <v>540</v>
      </c>
      <c r="G289" t="s">
        <v>468</v>
      </c>
      <c r="H289" t="s">
        <v>230</v>
      </c>
      <c r="I289" t="s">
        <v>44</v>
      </c>
      <c r="J289" t="s">
        <v>48</v>
      </c>
      <c r="K289" s="4">
        <v>21143</v>
      </c>
      <c r="L289" s="4">
        <v>56</v>
      </c>
      <c r="M289" s="4">
        <v>3798</v>
      </c>
      <c r="N289" s="4">
        <v>19588</v>
      </c>
      <c r="O289" s="4">
        <v>3</v>
      </c>
      <c r="P289" s="3">
        <v>1500.4182000000001</v>
      </c>
      <c r="Q289"/>
      <c r="R289"/>
      <c r="S289"/>
      <c r="T289"/>
      <c r="U289"/>
      <c r="V289"/>
      <c r="W289"/>
      <c r="X289"/>
    </row>
    <row r="290" spans="1:24">
      <c r="A290" t="s">
        <v>19</v>
      </c>
      <c r="B290" t="s">
        <v>810</v>
      </c>
      <c r="C290" t="s">
        <v>811</v>
      </c>
      <c r="D290" t="s">
        <v>56</v>
      </c>
      <c r="E290" t="s">
        <v>55</v>
      </c>
      <c r="F290" t="s">
        <v>467</v>
      </c>
      <c r="G290" t="s">
        <v>468</v>
      </c>
      <c r="H290" t="s">
        <v>412</v>
      </c>
      <c r="I290" t="s">
        <v>36</v>
      </c>
      <c r="J290" t="s">
        <v>47</v>
      </c>
      <c r="K290" s="4">
        <v>9328</v>
      </c>
      <c r="L290" s="4">
        <v>56</v>
      </c>
      <c r="M290" s="4">
        <v>7102</v>
      </c>
      <c r="N290" s="4">
        <v>8925</v>
      </c>
      <c r="O290" s="4">
        <v>5</v>
      </c>
      <c r="P290" s="3">
        <v>3408.076</v>
      </c>
      <c r="Q290"/>
      <c r="R290"/>
      <c r="S290"/>
      <c r="T290"/>
      <c r="U290"/>
      <c r="V290"/>
      <c r="W290"/>
      <c r="X290"/>
    </row>
    <row r="291" spans="1:24">
      <c r="A291" t="s">
        <v>19</v>
      </c>
      <c r="B291" t="s">
        <v>810</v>
      </c>
      <c r="C291" t="s">
        <v>810</v>
      </c>
      <c r="D291" t="s">
        <v>54</v>
      </c>
      <c r="E291" t="s">
        <v>60</v>
      </c>
      <c r="F291" t="s">
        <v>467</v>
      </c>
      <c r="G291" t="s">
        <v>468</v>
      </c>
      <c r="H291" t="s">
        <v>211</v>
      </c>
      <c r="I291" t="s">
        <v>209</v>
      </c>
      <c r="J291" t="s">
        <v>47</v>
      </c>
      <c r="K291" s="4">
        <v>1323451</v>
      </c>
      <c r="L291" s="4">
        <v>3414</v>
      </c>
      <c r="M291" s="4">
        <v>737990</v>
      </c>
      <c r="N291" s="4">
        <v>1177859</v>
      </c>
      <c r="O291" s="4">
        <v>123</v>
      </c>
      <c r="P291" s="3">
        <v>8187.1144999999997</v>
      </c>
      <c r="Q291"/>
      <c r="R291"/>
      <c r="S291"/>
      <c r="T291"/>
      <c r="U291"/>
      <c r="V291"/>
      <c r="W291"/>
      <c r="X291"/>
    </row>
    <row r="292" spans="1:24">
      <c r="A292" t="s">
        <v>19</v>
      </c>
      <c r="B292" t="s">
        <v>810</v>
      </c>
      <c r="C292" t="s">
        <v>812</v>
      </c>
      <c r="D292" t="s">
        <v>54</v>
      </c>
      <c r="E292" t="s">
        <v>57</v>
      </c>
      <c r="F292" t="s">
        <v>467</v>
      </c>
      <c r="G292" t="s">
        <v>468</v>
      </c>
      <c r="H292" t="s">
        <v>371</v>
      </c>
      <c r="I292" t="s">
        <v>43</v>
      </c>
      <c r="J292" t="s">
        <v>47</v>
      </c>
      <c r="K292" s="4">
        <v>115673</v>
      </c>
      <c r="L292" s="4">
        <v>410</v>
      </c>
      <c r="M292" s="4">
        <v>52475</v>
      </c>
      <c r="N292" s="4">
        <v>97166</v>
      </c>
      <c r="O292" s="4">
        <v>22</v>
      </c>
      <c r="P292" s="3">
        <v>5045.9378999999999</v>
      </c>
      <c r="Q292"/>
      <c r="R292"/>
      <c r="S292"/>
      <c r="T292"/>
      <c r="U292"/>
      <c r="V292"/>
      <c r="W292"/>
      <c r="X292"/>
    </row>
    <row r="293" spans="1:24">
      <c r="A293" t="s">
        <v>19</v>
      </c>
      <c r="B293" t="s">
        <v>810</v>
      </c>
      <c r="C293" t="s">
        <v>813</v>
      </c>
      <c r="D293" t="s">
        <v>54</v>
      </c>
      <c r="E293" t="s">
        <v>57</v>
      </c>
      <c r="F293" t="s">
        <v>459</v>
      </c>
      <c r="G293" t="s">
        <v>460</v>
      </c>
      <c r="H293" t="s">
        <v>228</v>
      </c>
      <c r="I293" t="s">
        <v>40</v>
      </c>
      <c r="J293" t="s">
        <v>47</v>
      </c>
      <c r="K293" s="4">
        <v>18324</v>
      </c>
      <c r="L293" s="4">
        <v>60</v>
      </c>
      <c r="M293" s="4">
        <v>3145</v>
      </c>
      <c r="N293" s="4">
        <v>13703</v>
      </c>
      <c r="O293" s="4">
        <v>8</v>
      </c>
      <c r="P293" s="3">
        <v>6996.2317999999996</v>
      </c>
      <c r="Q293"/>
      <c r="R293"/>
      <c r="S293"/>
      <c r="T293"/>
      <c r="U293"/>
      <c r="V293"/>
      <c r="W293"/>
      <c r="X293"/>
    </row>
    <row r="294" spans="1:24">
      <c r="A294" t="s">
        <v>19</v>
      </c>
      <c r="B294" t="s">
        <v>814</v>
      </c>
      <c r="C294" t="s">
        <v>815</v>
      </c>
      <c r="D294" t="s">
        <v>56</v>
      </c>
      <c r="E294" t="s">
        <v>55</v>
      </c>
      <c r="F294" t="s">
        <v>480</v>
      </c>
      <c r="G294" t="s">
        <v>460</v>
      </c>
      <c r="H294" t="s">
        <v>293</v>
      </c>
      <c r="I294" t="s">
        <v>38</v>
      </c>
      <c r="J294" t="s">
        <v>47</v>
      </c>
      <c r="K294" s="4">
        <v>14350</v>
      </c>
      <c r="L294" s="4">
        <v>60</v>
      </c>
      <c r="M294" s="4">
        <v>8228</v>
      </c>
      <c r="N294" s="4">
        <v>13396</v>
      </c>
      <c r="O294" s="4">
        <v>6</v>
      </c>
      <c r="P294" s="3">
        <v>6114.0348999999997</v>
      </c>
      <c r="Q294"/>
      <c r="R294"/>
      <c r="S294"/>
      <c r="T294"/>
      <c r="U294"/>
      <c r="V294"/>
      <c r="W294"/>
      <c r="X294"/>
    </row>
    <row r="295" spans="1:24">
      <c r="A295" t="s">
        <v>19</v>
      </c>
      <c r="B295" t="s">
        <v>814</v>
      </c>
      <c r="C295" t="s">
        <v>816</v>
      </c>
      <c r="D295" t="s">
        <v>58</v>
      </c>
      <c r="E295" t="s">
        <v>60</v>
      </c>
      <c r="F295" t="s">
        <v>459</v>
      </c>
      <c r="G295" t="s">
        <v>460</v>
      </c>
      <c r="H295" t="s">
        <v>257</v>
      </c>
      <c r="I295" t="s">
        <v>36</v>
      </c>
      <c r="J295" t="s">
        <v>47</v>
      </c>
      <c r="K295" s="4">
        <v>39844</v>
      </c>
      <c r="L295" s="4">
        <v>101</v>
      </c>
      <c r="M295" s="4">
        <v>28001</v>
      </c>
      <c r="N295" s="4">
        <v>36335</v>
      </c>
      <c r="O295" s="4">
        <v>3</v>
      </c>
      <c r="P295" s="3">
        <v>4439.3680999999997</v>
      </c>
      <c r="Q295"/>
      <c r="R295"/>
      <c r="S295"/>
      <c r="T295"/>
      <c r="U295"/>
      <c r="V295"/>
      <c r="W295"/>
      <c r="X295"/>
    </row>
    <row r="296" spans="1:24">
      <c r="A296" t="s">
        <v>19</v>
      </c>
      <c r="B296" t="s">
        <v>817</v>
      </c>
      <c r="C296" t="s">
        <v>818</v>
      </c>
      <c r="D296" t="s">
        <v>54</v>
      </c>
      <c r="E296" t="s">
        <v>57</v>
      </c>
      <c r="F296" t="s">
        <v>506</v>
      </c>
      <c r="G296" t="s">
        <v>474</v>
      </c>
      <c r="H296" t="s">
        <v>290</v>
      </c>
      <c r="I296" t="s">
        <v>40</v>
      </c>
      <c r="J296" t="s">
        <v>47</v>
      </c>
      <c r="K296" s="4">
        <v>39881</v>
      </c>
      <c r="L296" s="4">
        <v>125</v>
      </c>
      <c r="M296" s="4">
        <v>6331</v>
      </c>
      <c r="N296" s="4">
        <v>36245</v>
      </c>
      <c r="O296" s="4">
        <v>10</v>
      </c>
      <c r="P296" s="3">
        <v>7098.8896999999997</v>
      </c>
      <c r="Q296"/>
      <c r="R296"/>
      <c r="S296"/>
      <c r="T296"/>
      <c r="U296"/>
      <c r="V296"/>
      <c r="W296"/>
      <c r="X296"/>
    </row>
    <row r="297" spans="1:24">
      <c r="A297" t="s">
        <v>19</v>
      </c>
      <c r="B297" t="s">
        <v>817</v>
      </c>
      <c r="C297" t="s">
        <v>819</v>
      </c>
      <c r="D297" t="s">
        <v>56</v>
      </c>
      <c r="E297" t="s">
        <v>57</v>
      </c>
      <c r="F297" t="s">
        <v>489</v>
      </c>
      <c r="G297" t="s">
        <v>460</v>
      </c>
      <c r="H297" t="s">
        <v>292</v>
      </c>
      <c r="I297" t="s">
        <v>36</v>
      </c>
      <c r="J297" t="s">
        <v>47</v>
      </c>
      <c r="K297" s="4">
        <v>53464</v>
      </c>
      <c r="L297" s="4">
        <v>212</v>
      </c>
      <c r="M297" s="4">
        <v>22151</v>
      </c>
      <c r="N297" s="4">
        <v>49058</v>
      </c>
      <c r="O297" s="4">
        <v>9</v>
      </c>
      <c r="P297" s="3">
        <v>5741.098</v>
      </c>
      <c r="Q297"/>
      <c r="R297"/>
      <c r="S297"/>
      <c r="T297"/>
      <c r="U297"/>
      <c r="V297"/>
      <c r="W297"/>
      <c r="X297"/>
    </row>
    <row r="298" spans="1:24">
      <c r="A298" t="s">
        <v>19</v>
      </c>
      <c r="B298" t="s">
        <v>817</v>
      </c>
      <c r="C298" t="s">
        <v>817</v>
      </c>
      <c r="D298" t="s">
        <v>54</v>
      </c>
      <c r="E298" t="s">
        <v>59</v>
      </c>
      <c r="F298" t="s">
        <v>467</v>
      </c>
      <c r="G298" t="s">
        <v>468</v>
      </c>
      <c r="H298" t="s">
        <v>250</v>
      </c>
      <c r="I298" t="s">
        <v>42</v>
      </c>
      <c r="J298" t="s">
        <v>47</v>
      </c>
      <c r="K298" s="4">
        <v>122086</v>
      </c>
      <c r="L298" s="4">
        <v>299</v>
      </c>
      <c r="M298" s="4">
        <v>82898</v>
      </c>
      <c r="N298" s="4">
        <v>116235</v>
      </c>
      <c r="O298" s="4">
        <v>16</v>
      </c>
      <c r="P298" s="3">
        <v>7663.6953000000003</v>
      </c>
      <c r="Q298"/>
      <c r="R298"/>
      <c r="S298"/>
      <c r="T298"/>
      <c r="U298"/>
      <c r="V298"/>
      <c r="W298"/>
      <c r="X298"/>
    </row>
    <row r="299" spans="1:24">
      <c r="A299" t="s">
        <v>19</v>
      </c>
      <c r="B299" t="s">
        <v>817</v>
      </c>
      <c r="C299" t="s">
        <v>820</v>
      </c>
      <c r="D299" t="s">
        <v>54</v>
      </c>
      <c r="E299" t="s">
        <v>55</v>
      </c>
      <c r="F299" t="s">
        <v>473</v>
      </c>
      <c r="G299" t="s">
        <v>474</v>
      </c>
      <c r="H299" t="s">
        <v>255</v>
      </c>
      <c r="I299" t="s">
        <v>42</v>
      </c>
      <c r="J299" t="s">
        <v>47</v>
      </c>
      <c r="K299" s="4">
        <v>18401</v>
      </c>
      <c r="L299" s="4">
        <v>66</v>
      </c>
      <c r="M299" s="4">
        <v>11051</v>
      </c>
      <c r="N299" s="4">
        <v>17202</v>
      </c>
      <c r="O299" s="4">
        <v>26</v>
      </c>
      <c r="P299" s="3">
        <v>6571.4916000000003</v>
      </c>
      <c r="Q299"/>
      <c r="R299"/>
      <c r="S299"/>
      <c r="T299"/>
      <c r="U299"/>
      <c r="V299"/>
      <c r="W299"/>
      <c r="X299"/>
    </row>
    <row r="300" spans="1:24">
      <c r="A300" t="s">
        <v>19</v>
      </c>
      <c r="B300" t="s">
        <v>817</v>
      </c>
      <c r="C300" t="s">
        <v>821</v>
      </c>
      <c r="D300" t="s">
        <v>56</v>
      </c>
      <c r="E300" t="s">
        <v>60</v>
      </c>
      <c r="F300" t="s">
        <v>471</v>
      </c>
      <c r="G300" t="s">
        <v>464</v>
      </c>
      <c r="H300" t="s">
        <v>254</v>
      </c>
      <c r="I300" t="s">
        <v>42</v>
      </c>
      <c r="J300" t="s">
        <v>47</v>
      </c>
      <c r="K300" s="4">
        <v>61574</v>
      </c>
      <c r="L300" s="4">
        <v>280</v>
      </c>
      <c r="M300" s="4">
        <v>18717</v>
      </c>
      <c r="N300" s="4">
        <v>46367</v>
      </c>
      <c r="O300" s="4">
        <v>8</v>
      </c>
      <c r="P300" s="3">
        <v>4999.6652000000004</v>
      </c>
      <c r="Q300"/>
      <c r="R300"/>
      <c r="S300"/>
      <c r="T300"/>
      <c r="U300"/>
      <c r="V300"/>
      <c r="W300"/>
      <c r="X300"/>
    </row>
    <row r="301" spans="1:24">
      <c r="A301" t="s">
        <v>19</v>
      </c>
      <c r="B301" t="s">
        <v>822</v>
      </c>
      <c r="C301" t="s">
        <v>823</v>
      </c>
      <c r="D301" t="s">
        <v>56</v>
      </c>
      <c r="E301" t="s">
        <v>60</v>
      </c>
      <c r="F301" t="s">
        <v>583</v>
      </c>
      <c r="G301" t="s">
        <v>464</v>
      </c>
      <c r="H301" t="s">
        <v>379</v>
      </c>
      <c r="I301" t="s">
        <v>36</v>
      </c>
      <c r="J301" t="s">
        <v>49</v>
      </c>
      <c r="K301" s="4">
        <v>7695</v>
      </c>
      <c r="L301" s="4">
        <v>20</v>
      </c>
      <c r="M301" s="4">
        <v>3481</v>
      </c>
      <c r="N301" s="4">
        <v>7050</v>
      </c>
      <c r="O301" s="4">
        <v>14</v>
      </c>
      <c r="P301" s="3">
        <v>6727.4404999999997</v>
      </c>
      <c r="Q301"/>
      <c r="R301"/>
      <c r="S301"/>
      <c r="T301"/>
      <c r="U301"/>
      <c r="V301"/>
      <c r="W301"/>
      <c r="X301"/>
    </row>
    <row r="302" spans="1:24">
      <c r="A302" t="s">
        <v>19</v>
      </c>
      <c r="B302" t="s">
        <v>822</v>
      </c>
      <c r="C302" t="s">
        <v>824</v>
      </c>
      <c r="D302" t="s">
        <v>56</v>
      </c>
      <c r="E302" t="s">
        <v>59</v>
      </c>
      <c r="F302" t="s">
        <v>473</v>
      </c>
      <c r="G302" t="s">
        <v>474</v>
      </c>
      <c r="H302" t="s">
        <v>401</v>
      </c>
      <c r="I302" t="s">
        <v>36</v>
      </c>
      <c r="J302" t="s">
        <v>47</v>
      </c>
      <c r="K302" s="4">
        <v>11476</v>
      </c>
      <c r="L302" s="4">
        <v>45</v>
      </c>
      <c r="M302" s="4">
        <v>4963</v>
      </c>
      <c r="N302" s="4">
        <v>10991</v>
      </c>
      <c r="O302" s="4">
        <v>8</v>
      </c>
      <c r="P302" s="3">
        <v>7227.4173000000001</v>
      </c>
      <c r="Q302"/>
      <c r="R302"/>
      <c r="S302"/>
      <c r="T302"/>
      <c r="U302"/>
      <c r="V302"/>
      <c r="W302"/>
      <c r="X302"/>
    </row>
    <row r="303" spans="1:24">
      <c r="A303" t="s">
        <v>19</v>
      </c>
      <c r="B303" t="s">
        <v>822</v>
      </c>
      <c r="C303" t="s">
        <v>825</v>
      </c>
      <c r="D303" t="s">
        <v>54</v>
      </c>
      <c r="E303" t="s">
        <v>60</v>
      </c>
      <c r="F303" t="s">
        <v>467</v>
      </c>
      <c r="G303" t="s">
        <v>468</v>
      </c>
      <c r="H303" t="s">
        <v>237</v>
      </c>
      <c r="I303" t="s">
        <v>43</v>
      </c>
      <c r="J303" t="s">
        <v>47</v>
      </c>
      <c r="K303" s="4">
        <v>114384</v>
      </c>
      <c r="L303" s="4">
        <v>100</v>
      </c>
      <c r="M303" s="4">
        <v>61524</v>
      </c>
      <c r="N303" s="4">
        <v>105104</v>
      </c>
      <c r="O303" s="4">
        <v>12</v>
      </c>
      <c r="P303" s="3">
        <v>5803.3315000000002</v>
      </c>
      <c r="Q303"/>
      <c r="R303"/>
      <c r="S303"/>
      <c r="T303"/>
      <c r="U303"/>
      <c r="V303"/>
      <c r="W303"/>
      <c r="X303"/>
    </row>
    <row r="304" spans="1:24">
      <c r="A304" t="s">
        <v>19</v>
      </c>
      <c r="B304" t="s">
        <v>822</v>
      </c>
      <c r="C304" t="s">
        <v>822</v>
      </c>
      <c r="D304" t="s">
        <v>54</v>
      </c>
      <c r="E304" t="s">
        <v>55</v>
      </c>
      <c r="F304" t="s">
        <v>497</v>
      </c>
      <c r="G304" t="s">
        <v>460</v>
      </c>
      <c r="H304" t="s">
        <v>218</v>
      </c>
      <c r="I304" t="s">
        <v>36</v>
      </c>
      <c r="J304" t="s">
        <v>47</v>
      </c>
      <c r="K304" s="4">
        <v>1222302</v>
      </c>
      <c r="L304" s="4">
        <v>3142</v>
      </c>
      <c r="M304" s="4">
        <v>553773</v>
      </c>
      <c r="N304" s="4">
        <v>1120128</v>
      </c>
      <c r="O304" s="4">
        <v>42</v>
      </c>
      <c r="P304" s="3">
        <v>7880.7704000000003</v>
      </c>
      <c r="Q304"/>
      <c r="R304"/>
      <c r="S304"/>
      <c r="T304"/>
      <c r="U304"/>
      <c r="V304"/>
      <c r="W304"/>
      <c r="X304"/>
    </row>
    <row r="305" spans="1:24">
      <c r="A305" t="s">
        <v>19</v>
      </c>
      <c r="B305" t="s">
        <v>822</v>
      </c>
      <c r="C305" t="s">
        <v>826</v>
      </c>
      <c r="D305" t="s">
        <v>54</v>
      </c>
      <c r="E305" t="s">
        <v>55</v>
      </c>
      <c r="F305" t="s">
        <v>497</v>
      </c>
      <c r="G305" t="s">
        <v>460</v>
      </c>
      <c r="H305" t="s">
        <v>213</v>
      </c>
      <c r="I305" t="s">
        <v>445</v>
      </c>
      <c r="J305" t="s">
        <v>47</v>
      </c>
      <c r="K305" s="4">
        <v>680912</v>
      </c>
      <c r="L305" s="4">
        <v>2000</v>
      </c>
      <c r="M305" s="4">
        <v>388915</v>
      </c>
      <c r="N305" s="4">
        <v>648524</v>
      </c>
      <c r="O305" s="4">
        <v>39</v>
      </c>
      <c r="P305" s="3">
        <v>7814.2624999999998</v>
      </c>
      <c r="Q305"/>
      <c r="R305"/>
      <c r="S305"/>
      <c r="T305"/>
      <c r="U305"/>
      <c r="V305"/>
      <c r="W305"/>
      <c r="X305"/>
    </row>
    <row r="306" spans="1:24">
      <c r="A306" t="s">
        <v>19</v>
      </c>
      <c r="B306" t="s">
        <v>827</v>
      </c>
      <c r="C306" t="s">
        <v>828</v>
      </c>
      <c r="D306" t="s">
        <v>58</v>
      </c>
      <c r="E306" t="s">
        <v>57</v>
      </c>
      <c r="F306" t="s">
        <v>459</v>
      </c>
      <c r="G306" t="s">
        <v>460</v>
      </c>
      <c r="H306" t="s">
        <v>311</v>
      </c>
      <c r="I306" t="s">
        <v>40</v>
      </c>
      <c r="J306" t="s">
        <v>47</v>
      </c>
      <c r="K306" s="4">
        <v>8862</v>
      </c>
      <c r="L306" s="4">
        <v>30</v>
      </c>
      <c r="M306" s="4">
        <v>1359</v>
      </c>
      <c r="N306" s="4">
        <v>7114</v>
      </c>
      <c r="O306" s="4">
        <v>1</v>
      </c>
      <c r="P306" s="3">
        <v>1481.9452000000001</v>
      </c>
      <c r="Q306"/>
      <c r="R306"/>
      <c r="S306"/>
      <c r="T306"/>
      <c r="U306"/>
      <c r="V306"/>
      <c r="W306"/>
      <c r="X306"/>
    </row>
    <row r="307" spans="1:24">
      <c r="A307" t="s">
        <v>19</v>
      </c>
      <c r="B307" t="s">
        <v>827</v>
      </c>
      <c r="C307" t="s">
        <v>829</v>
      </c>
      <c r="D307" t="s">
        <v>56</v>
      </c>
      <c r="E307" t="s">
        <v>55</v>
      </c>
      <c r="F307" t="s">
        <v>482</v>
      </c>
      <c r="G307" t="s">
        <v>483</v>
      </c>
      <c r="H307" t="s">
        <v>389</v>
      </c>
      <c r="I307" t="s">
        <v>36</v>
      </c>
      <c r="J307" t="s">
        <v>48</v>
      </c>
      <c r="K307" s="4">
        <v>16175</v>
      </c>
      <c r="L307" s="4">
        <v>35</v>
      </c>
      <c r="M307" s="4">
        <v>1923</v>
      </c>
      <c r="N307" s="4">
        <v>15085</v>
      </c>
      <c r="O307" s="4">
        <v>2</v>
      </c>
      <c r="P307" s="3">
        <v>1649.0695000000001</v>
      </c>
      <c r="Q307"/>
      <c r="R307"/>
      <c r="S307"/>
      <c r="T307"/>
      <c r="U307"/>
      <c r="V307"/>
      <c r="W307"/>
      <c r="X307"/>
    </row>
    <row r="308" spans="1:24">
      <c r="A308" t="s">
        <v>19</v>
      </c>
      <c r="B308" t="s">
        <v>830</v>
      </c>
      <c r="C308" t="s">
        <v>831</v>
      </c>
      <c r="D308" t="s">
        <v>56</v>
      </c>
      <c r="E308" t="s">
        <v>57</v>
      </c>
      <c r="F308" t="s">
        <v>685</v>
      </c>
      <c r="G308" t="s">
        <v>686</v>
      </c>
      <c r="H308" t="s">
        <v>218</v>
      </c>
      <c r="I308" t="s">
        <v>42</v>
      </c>
      <c r="J308" t="s">
        <v>47</v>
      </c>
      <c r="K308" s="4">
        <v>177632</v>
      </c>
      <c r="L308" s="4">
        <v>485</v>
      </c>
      <c r="M308" s="4">
        <v>70865</v>
      </c>
      <c r="N308" s="4">
        <v>95871</v>
      </c>
      <c r="O308" s="4">
        <v>5</v>
      </c>
      <c r="P308" s="3">
        <v>1483.3843999999999</v>
      </c>
      <c r="Q308"/>
      <c r="R308"/>
      <c r="S308"/>
      <c r="T308"/>
      <c r="U308"/>
      <c r="V308"/>
      <c r="W308"/>
      <c r="X308"/>
    </row>
    <row r="309" spans="1:24">
      <c r="A309" t="s">
        <v>19</v>
      </c>
      <c r="B309" t="s">
        <v>832</v>
      </c>
      <c r="C309" t="s">
        <v>833</v>
      </c>
      <c r="D309" t="s">
        <v>56</v>
      </c>
      <c r="E309" t="s">
        <v>60</v>
      </c>
      <c r="F309" t="s">
        <v>583</v>
      </c>
      <c r="G309" t="s">
        <v>464</v>
      </c>
      <c r="H309" t="s">
        <v>273</v>
      </c>
      <c r="I309" t="s">
        <v>36</v>
      </c>
      <c r="J309" t="s">
        <v>47</v>
      </c>
      <c r="K309" s="4">
        <v>37554</v>
      </c>
      <c r="L309" s="4">
        <v>92</v>
      </c>
      <c r="M309" s="4">
        <v>13128</v>
      </c>
      <c r="N309" s="4">
        <v>27596</v>
      </c>
      <c r="O309" s="4">
        <v>8</v>
      </c>
      <c r="P309" s="3">
        <v>1737.8434999999999</v>
      </c>
      <c r="Q309"/>
      <c r="R309"/>
      <c r="S309"/>
      <c r="T309"/>
      <c r="U309"/>
      <c r="V309"/>
      <c r="W309"/>
      <c r="X309"/>
    </row>
    <row r="310" spans="1:24">
      <c r="A310" t="s">
        <v>19</v>
      </c>
      <c r="B310" t="s">
        <v>832</v>
      </c>
      <c r="C310" t="s">
        <v>834</v>
      </c>
      <c r="D310" t="s">
        <v>56</v>
      </c>
      <c r="E310" t="s">
        <v>55</v>
      </c>
      <c r="F310" t="s">
        <v>506</v>
      </c>
      <c r="G310" t="s">
        <v>474</v>
      </c>
      <c r="H310" t="s">
        <v>228</v>
      </c>
      <c r="I310" t="s">
        <v>38</v>
      </c>
      <c r="J310" t="s">
        <v>47</v>
      </c>
      <c r="K310" s="4">
        <v>10811</v>
      </c>
      <c r="L310" s="4">
        <v>25</v>
      </c>
      <c r="M310" s="4">
        <v>988</v>
      </c>
      <c r="N310" s="4">
        <v>2975</v>
      </c>
      <c r="O310" s="4">
        <v>3</v>
      </c>
      <c r="P310" s="3">
        <v>1679.8338000000001</v>
      </c>
      <c r="Q310"/>
      <c r="R310"/>
      <c r="S310"/>
      <c r="T310"/>
      <c r="U310"/>
      <c r="V310"/>
      <c r="W310"/>
      <c r="X310"/>
    </row>
    <row r="311" spans="1:24">
      <c r="A311" t="s">
        <v>19</v>
      </c>
      <c r="B311" t="s">
        <v>835</v>
      </c>
      <c r="C311" t="s">
        <v>836</v>
      </c>
      <c r="D311" t="s">
        <v>56</v>
      </c>
      <c r="E311" t="s">
        <v>57</v>
      </c>
      <c r="F311" t="s">
        <v>467</v>
      </c>
      <c r="G311" t="s">
        <v>468</v>
      </c>
      <c r="H311" t="s">
        <v>293</v>
      </c>
      <c r="I311" t="s">
        <v>42</v>
      </c>
      <c r="J311" t="s">
        <v>48</v>
      </c>
      <c r="K311" s="4">
        <v>35335</v>
      </c>
      <c r="L311" s="4">
        <v>120</v>
      </c>
      <c r="M311" s="4">
        <v>22566</v>
      </c>
      <c r="N311" s="4">
        <v>30685</v>
      </c>
      <c r="O311" s="4">
        <v>15</v>
      </c>
      <c r="P311" s="3">
        <v>1866.3475000000001</v>
      </c>
      <c r="Q311"/>
      <c r="R311"/>
      <c r="S311"/>
      <c r="T311"/>
      <c r="U311"/>
      <c r="V311"/>
      <c r="W311"/>
      <c r="X311"/>
    </row>
    <row r="312" spans="1:24">
      <c r="A312" t="s">
        <v>19</v>
      </c>
      <c r="B312" t="s">
        <v>835</v>
      </c>
      <c r="C312" t="s">
        <v>837</v>
      </c>
      <c r="D312" t="s">
        <v>56</v>
      </c>
      <c r="E312" t="s">
        <v>59</v>
      </c>
      <c r="F312" t="s">
        <v>473</v>
      </c>
      <c r="G312" t="s">
        <v>474</v>
      </c>
      <c r="H312" t="s">
        <v>427</v>
      </c>
      <c r="I312" t="s">
        <v>36</v>
      </c>
      <c r="J312" t="s">
        <v>47</v>
      </c>
      <c r="K312" s="4">
        <v>8944</v>
      </c>
      <c r="L312" s="4">
        <v>45</v>
      </c>
      <c r="M312" s="4">
        <v>3002</v>
      </c>
      <c r="N312" s="4">
        <v>6361</v>
      </c>
      <c r="O312" s="4">
        <v>6</v>
      </c>
      <c r="P312" s="3">
        <v>1755.4845</v>
      </c>
      <c r="Q312"/>
      <c r="R312"/>
      <c r="S312"/>
      <c r="T312"/>
      <c r="U312"/>
      <c r="V312"/>
      <c r="W312"/>
      <c r="X312"/>
    </row>
    <row r="313" spans="1:24">
      <c r="A313" t="s">
        <v>19</v>
      </c>
      <c r="B313" t="s">
        <v>838</v>
      </c>
      <c r="C313" t="s">
        <v>839</v>
      </c>
      <c r="D313" t="s">
        <v>54</v>
      </c>
      <c r="E313" t="s">
        <v>55</v>
      </c>
      <c r="F313" t="s">
        <v>506</v>
      </c>
      <c r="G313" t="s">
        <v>474</v>
      </c>
      <c r="H313" t="s">
        <v>346</v>
      </c>
      <c r="I313" t="s">
        <v>42</v>
      </c>
      <c r="J313" t="s">
        <v>47</v>
      </c>
      <c r="K313" s="4">
        <v>15311</v>
      </c>
      <c r="L313" s="4">
        <v>10</v>
      </c>
      <c r="M313" s="4">
        <v>7757</v>
      </c>
      <c r="N313" s="4">
        <v>12630</v>
      </c>
      <c r="O313" s="4">
        <v>19</v>
      </c>
      <c r="P313" s="3">
        <v>1471.1871000000001</v>
      </c>
      <c r="Q313"/>
      <c r="R313"/>
      <c r="S313"/>
      <c r="T313"/>
      <c r="U313"/>
      <c r="V313"/>
      <c r="W313"/>
      <c r="X313"/>
    </row>
    <row r="314" spans="1:24">
      <c r="A314" t="s">
        <v>102</v>
      </c>
      <c r="B314" t="s">
        <v>840</v>
      </c>
      <c r="D314" t="s">
        <v>56</v>
      </c>
      <c r="E314" t="s">
        <v>57</v>
      </c>
      <c r="F314" t="s">
        <v>556</v>
      </c>
      <c r="G314" t="s">
        <v>464</v>
      </c>
      <c r="H314" t="s">
        <v>218</v>
      </c>
      <c r="I314" t="s">
        <v>36</v>
      </c>
      <c r="J314" t="s">
        <v>47</v>
      </c>
      <c r="K314" s="4">
        <v>311753</v>
      </c>
      <c r="L314" s="4">
        <v>763</v>
      </c>
      <c r="M314" s="4">
        <v>170122</v>
      </c>
      <c r="N314" s="4">
        <v>256841</v>
      </c>
      <c r="O314" s="4">
        <v>6</v>
      </c>
      <c r="P314" s="3">
        <v>1543.6126999999999</v>
      </c>
      <c r="Q314"/>
      <c r="R314"/>
      <c r="S314"/>
      <c r="T314"/>
      <c r="U314"/>
      <c r="V314"/>
      <c r="W314"/>
      <c r="X314"/>
    </row>
    <row r="315" spans="1:24">
      <c r="A315" t="s">
        <v>102</v>
      </c>
      <c r="B315" t="s">
        <v>841</v>
      </c>
      <c r="D315" t="s">
        <v>54</v>
      </c>
      <c r="E315" t="s">
        <v>60</v>
      </c>
      <c r="F315" t="s">
        <v>482</v>
      </c>
      <c r="G315" t="s">
        <v>483</v>
      </c>
      <c r="H315" t="s">
        <v>254</v>
      </c>
      <c r="I315" t="s">
        <v>36</v>
      </c>
      <c r="J315" t="s">
        <v>47</v>
      </c>
      <c r="K315" s="4">
        <v>12512</v>
      </c>
      <c r="L315" s="4">
        <v>69</v>
      </c>
      <c r="M315" s="4">
        <v>6240</v>
      </c>
      <c r="N315" s="4">
        <v>9672</v>
      </c>
      <c r="O315" s="4">
        <v>1</v>
      </c>
      <c r="P315" s="3">
        <v>2298.8890000000001</v>
      </c>
      <c r="Q315"/>
      <c r="R315"/>
      <c r="S315"/>
      <c r="T315"/>
      <c r="U315"/>
      <c r="V315"/>
      <c r="W315"/>
      <c r="X315"/>
    </row>
    <row r="316" spans="1:24">
      <c r="A316" t="s">
        <v>24</v>
      </c>
      <c r="B316" t="s">
        <v>842</v>
      </c>
      <c r="C316" t="s">
        <v>843</v>
      </c>
      <c r="D316" t="s">
        <v>56</v>
      </c>
      <c r="E316" t="s">
        <v>60</v>
      </c>
      <c r="F316" t="s">
        <v>467</v>
      </c>
      <c r="G316" t="s">
        <v>468</v>
      </c>
      <c r="H316" t="s">
        <v>236</v>
      </c>
      <c r="I316" t="s">
        <v>43</v>
      </c>
      <c r="J316" t="s">
        <v>49</v>
      </c>
      <c r="K316" s="4">
        <v>26212</v>
      </c>
      <c r="L316" s="4">
        <v>77</v>
      </c>
      <c r="M316" s="4">
        <v>12726</v>
      </c>
      <c r="N316" s="4">
        <v>24442</v>
      </c>
      <c r="O316" s="4">
        <v>15</v>
      </c>
      <c r="P316" s="3">
        <v>6452.9350000000004</v>
      </c>
      <c r="Q316"/>
      <c r="R316"/>
      <c r="S316"/>
      <c r="T316"/>
      <c r="U316"/>
      <c r="V316"/>
      <c r="W316"/>
      <c r="X316"/>
    </row>
    <row r="317" spans="1:24">
      <c r="A317" t="s">
        <v>24</v>
      </c>
      <c r="B317" t="s">
        <v>842</v>
      </c>
      <c r="C317" t="s">
        <v>844</v>
      </c>
      <c r="D317" t="s">
        <v>54</v>
      </c>
      <c r="E317" t="s">
        <v>59</v>
      </c>
      <c r="F317" t="s">
        <v>482</v>
      </c>
      <c r="G317" t="s">
        <v>483</v>
      </c>
      <c r="H317" t="s">
        <v>242</v>
      </c>
      <c r="I317" t="s">
        <v>36</v>
      </c>
      <c r="J317" t="s">
        <v>47</v>
      </c>
      <c r="K317" s="4">
        <v>12879</v>
      </c>
      <c r="L317" s="4">
        <v>71</v>
      </c>
      <c r="M317" s="4">
        <v>7225</v>
      </c>
      <c r="N317" s="4">
        <v>12173</v>
      </c>
      <c r="O317" s="4">
        <v>9</v>
      </c>
      <c r="P317" s="3">
        <v>5099.2825000000003</v>
      </c>
      <c r="Q317"/>
      <c r="R317"/>
      <c r="S317"/>
      <c r="T317"/>
      <c r="U317"/>
      <c r="V317"/>
      <c r="W317"/>
      <c r="X317"/>
    </row>
    <row r="318" spans="1:24">
      <c r="A318" t="s">
        <v>24</v>
      </c>
      <c r="B318" t="s">
        <v>842</v>
      </c>
      <c r="C318" t="s">
        <v>845</v>
      </c>
      <c r="D318" t="s">
        <v>54</v>
      </c>
      <c r="E318" t="s">
        <v>55</v>
      </c>
      <c r="F318" t="s">
        <v>519</v>
      </c>
      <c r="G318" t="s">
        <v>460</v>
      </c>
      <c r="H318" t="s">
        <v>250</v>
      </c>
      <c r="I318" t="s">
        <v>38</v>
      </c>
      <c r="J318" t="s">
        <v>47</v>
      </c>
      <c r="K318" s="4">
        <v>63794</v>
      </c>
      <c r="L318" s="4">
        <v>200</v>
      </c>
      <c r="M318" s="4">
        <v>46557</v>
      </c>
      <c r="N318" s="4">
        <v>60868</v>
      </c>
      <c r="O318" s="4">
        <v>9</v>
      </c>
      <c r="P318" s="3">
        <v>6832.9400999999998</v>
      </c>
      <c r="Q318"/>
      <c r="R318"/>
      <c r="S318"/>
      <c r="T318"/>
      <c r="U318"/>
      <c r="V318"/>
      <c r="W318"/>
      <c r="X318"/>
    </row>
    <row r="319" spans="1:24">
      <c r="A319" t="s">
        <v>24</v>
      </c>
      <c r="B319" t="s">
        <v>842</v>
      </c>
      <c r="C319" t="s">
        <v>846</v>
      </c>
      <c r="D319" t="s">
        <v>54</v>
      </c>
      <c r="E319" t="s">
        <v>59</v>
      </c>
      <c r="F319" t="s">
        <v>473</v>
      </c>
      <c r="G319" t="s">
        <v>474</v>
      </c>
      <c r="H319" t="s">
        <v>231</v>
      </c>
      <c r="I319" t="s">
        <v>36</v>
      </c>
      <c r="J319" t="s">
        <v>47</v>
      </c>
      <c r="K319" s="4">
        <v>40859</v>
      </c>
      <c r="L319" s="4">
        <v>144</v>
      </c>
      <c r="M319" s="4">
        <v>17695</v>
      </c>
      <c r="N319" s="4">
        <v>37108</v>
      </c>
      <c r="O319" s="4">
        <v>4</v>
      </c>
      <c r="P319" s="3">
        <v>6130.3684000000003</v>
      </c>
      <c r="Q319"/>
      <c r="R319"/>
      <c r="S319"/>
      <c r="T319"/>
      <c r="U319"/>
      <c r="V319"/>
      <c r="W319"/>
      <c r="X319"/>
    </row>
    <row r="320" spans="1:24">
      <c r="A320" t="s">
        <v>24</v>
      </c>
      <c r="B320" t="s">
        <v>842</v>
      </c>
      <c r="C320" t="s">
        <v>847</v>
      </c>
      <c r="D320" t="s">
        <v>56</v>
      </c>
      <c r="E320" t="s">
        <v>57</v>
      </c>
      <c r="F320" t="s">
        <v>463</v>
      </c>
      <c r="G320" t="s">
        <v>464</v>
      </c>
      <c r="H320" t="s">
        <v>261</v>
      </c>
      <c r="I320" t="s">
        <v>42</v>
      </c>
      <c r="J320" t="s">
        <v>47</v>
      </c>
      <c r="K320" s="4">
        <v>150457</v>
      </c>
      <c r="L320" s="4">
        <v>420</v>
      </c>
      <c r="M320" s="4">
        <v>58372</v>
      </c>
      <c r="N320" s="4">
        <v>135099</v>
      </c>
      <c r="O320" s="4">
        <v>14</v>
      </c>
      <c r="P320" s="3">
        <v>5906.83</v>
      </c>
      <c r="Q320"/>
      <c r="R320"/>
      <c r="S320"/>
      <c r="T320"/>
      <c r="U320"/>
      <c r="V320"/>
      <c r="W320"/>
      <c r="X320"/>
    </row>
    <row r="321" spans="1:24">
      <c r="A321" t="s">
        <v>24</v>
      </c>
      <c r="B321" t="s">
        <v>848</v>
      </c>
      <c r="D321" t="s">
        <v>58</v>
      </c>
      <c r="E321" t="s">
        <v>57</v>
      </c>
      <c r="F321" t="s">
        <v>467</v>
      </c>
      <c r="G321" t="s">
        <v>468</v>
      </c>
      <c r="H321" t="s">
        <v>254</v>
      </c>
      <c r="I321" t="s">
        <v>38</v>
      </c>
      <c r="J321" t="s">
        <v>47</v>
      </c>
      <c r="K321" s="4">
        <v>40929</v>
      </c>
      <c r="L321" s="4">
        <v>142</v>
      </c>
      <c r="M321" s="4">
        <v>9249</v>
      </c>
      <c r="N321" s="4">
        <v>31564</v>
      </c>
      <c r="O321" s="4">
        <v>8</v>
      </c>
      <c r="P321" s="3">
        <v>6764.5205999999998</v>
      </c>
      <c r="Q321"/>
      <c r="R321"/>
      <c r="S321"/>
      <c r="T321"/>
      <c r="U321"/>
      <c r="V321"/>
      <c r="W321"/>
      <c r="X321"/>
    </row>
    <row r="322" spans="1:24">
      <c r="A322" t="s">
        <v>24</v>
      </c>
      <c r="B322" t="s">
        <v>849</v>
      </c>
      <c r="D322" t="s">
        <v>56</v>
      </c>
      <c r="E322" t="s">
        <v>59</v>
      </c>
      <c r="F322" t="s">
        <v>467</v>
      </c>
      <c r="G322" t="s">
        <v>468</v>
      </c>
      <c r="H322" t="s">
        <v>213</v>
      </c>
      <c r="I322" t="s">
        <v>36</v>
      </c>
      <c r="J322" t="s">
        <v>47</v>
      </c>
      <c r="K322" s="4">
        <v>262807</v>
      </c>
      <c r="L322" s="4">
        <v>684</v>
      </c>
      <c r="M322" s="4">
        <v>109871</v>
      </c>
      <c r="N322" s="4">
        <v>236426</v>
      </c>
      <c r="O322" s="4">
        <v>12</v>
      </c>
      <c r="P322" s="3">
        <v>5150.4688999999998</v>
      </c>
      <c r="Q322"/>
      <c r="R322"/>
      <c r="S322"/>
      <c r="T322"/>
      <c r="U322"/>
      <c r="V322"/>
      <c r="W322"/>
      <c r="X322"/>
    </row>
    <row r="323" spans="1:24">
      <c r="A323" t="s">
        <v>24</v>
      </c>
      <c r="B323" t="s">
        <v>850</v>
      </c>
      <c r="D323" t="s">
        <v>54</v>
      </c>
      <c r="E323" t="s">
        <v>55</v>
      </c>
      <c r="F323" t="s">
        <v>635</v>
      </c>
      <c r="G323" t="s">
        <v>531</v>
      </c>
      <c r="H323" t="s">
        <v>255</v>
      </c>
      <c r="I323" t="s">
        <v>36</v>
      </c>
      <c r="J323" t="s">
        <v>47</v>
      </c>
      <c r="K323" s="4">
        <v>18412</v>
      </c>
      <c r="L323" s="4">
        <v>140</v>
      </c>
      <c r="M323" s="4">
        <v>5668</v>
      </c>
      <c r="N323" s="4">
        <v>16711</v>
      </c>
      <c r="O323" s="4">
        <v>12</v>
      </c>
      <c r="P323" s="3">
        <v>5244.3416999999999</v>
      </c>
      <c r="Q323"/>
      <c r="R323"/>
      <c r="S323"/>
      <c r="T323"/>
      <c r="U323"/>
      <c r="V323"/>
      <c r="W323"/>
      <c r="X323"/>
    </row>
    <row r="324" spans="1:24">
      <c r="A324" t="s">
        <v>24</v>
      </c>
      <c r="B324" t="s">
        <v>851</v>
      </c>
      <c r="C324" t="s">
        <v>852</v>
      </c>
      <c r="D324" t="s">
        <v>56</v>
      </c>
      <c r="E324" t="s">
        <v>55</v>
      </c>
      <c r="F324" t="s">
        <v>506</v>
      </c>
      <c r="G324" t="s">
        <v>474</v>
      </c>
      <c r="H324" t="s">
        <v>387</v>
      </c>
      <c r="I324" t="s">
        <v>36</v>
      </c>
      <c r="J324" t="s">
        <v>48</v>
      </c>
      <c r="K324" s="4">
        <v>16354</v>
      </c>
      <c r="L324" s="4">
        <v>40</v>
      </c>
      <c r="M324" s="4">
        <v>8061</v>
      </c>
      <c r="N324" s="4">
        <v>15667</v>
      </c>
      <c r="O324" s="4">
        <v>4</v>
      </c>
      <c r="P324" s="3">
        <v>1610.32</v>
      </c>
      <c r="Q324"/>
      <c r="R324"/>
      <c r="S324"/>
      <c r="T324"/>
      <c r="U324"/>
      <c r="V324"/>
      <c r="W324"/>
      <c r="X324"/>
    </row>
    <row r="325" spans="1:24">
      <c r="A325" t="s">
        <v>24</v>
      </c>
      <c r="B325" t="s">
        <v>851</v>
      </c>
      <c r="C325" t="s">
        <v>853</v>
      </c>
      <c r="D325" t="s">
        <v>56</v>
      </c>
      <c r="E325" t="s">
        <v>59</v>
      </c>
      <c r="F325" t="s">
        <v>506</v>
      </c>
      <c r="G325" t="s">
        <v>474</v>
      </c>
      <c r="H325" t="s">
        <v>217</v>
      </c>
      <c r="I325" t="s">
        <v>38</v>
      </c>
      <c r="J325" t="s">
        <v>49</v>
      </c>
      <c r="K325" s="4">
        <v>87245</v>
      </c>
      <c r="L325" s="4">
        <v>350</v>
      </c>
      <c r="M325" s="4">
        <v>71903</v>
      </c>
      <c r="N325" s="4">
        <v>80390</v>
      </c>
      <c r="O325" s="4">
        <v>2</v>
      </c>
      <c r="P325" s="3">
        <v>1500.8388</v>
      </c>
      <c r="Q325"/>
      <c r="R325"/>
      <c r="S325"/>
      <c r="T325"/>
      <c r="U325"/>
      <c r="V325"/>
      <c r="W325"/>
      <c r="X325"/>
    </row>
    <row r="326" spans="1:24">
      <c r="A326" t="s">
        <v>24</v>
      </c>
      <c r="B326" t="s">
        <v>851</v>
      </c>
      <c r="C326" t="s">
        <v>854</v>
      </c>
      <c r="D326" t="s">
        <v>56</v>
      </c>
      <c r="E326" t="s">
        <v>60</v>
      </c>
      <c r="F326" t="s">
        <v>467</v>
      </c>
      <c r="G326" t="s">
        <v>468</v>
      </c>
      <c r="H326" t="s">
        <v>213</v>
      </c>
      <c r="I326" t="s">
        <v>38</v>
      </c>
      <c r="J326" t="s">
        <v>47</v>
      </c>
      <c r="K326" s="4">
        <v>9210</v>
      </c>
      <c r="L326" s="4">
        <v>80</v>
      </c>
      <c r="M326" s="4">
        <v>3798</v>
      </c>
      <c r="N326" s="4">
        <v>8619</v>
      </c>
      <c r="O326" s="4">
        <v>2</v>
      </c>
      <c r="P326" s="3">
        <v>1536.6291000000001</v>
      </c>
      <c r="Q326"/>
      <c r="R326"/>
      <c r="S326"/>
      <c r="T326"/>
      <c r="U326"/>
      <c r="V326"/>
      <c r="W326"/>
      <c r="X326"/>
    </row>
    <row r="327" spans="1:24">
      <c r="A327" t="s">
        <v>24</v>
      </c>
      <c r="B327" t="s">
        <v>851</v>
      </c>
      <c r="C327" t="s">
        <v>855</v>
      </c>
      <c r="D327" t="s">
        <v>58</v>
      </c>
      <c r="E327" t="s">
        <v>60</v>
      </c>
      <c r="F327" t="s">
        <v>486</v>
      </c>
      <c r="G327" t="s">
        <v>487</v>
      </c>
      <c r="H327" t="s">
        <v>307</v>
      </c>
      <c r="I327" t="s">
        <v>40</v>
      </c>
      <c r="J327" t="s">
        <v>47</v>
      </c>
      <c r="K327" s="4">
        <v>13608</v>
      </c>
      <c r="L327" s="4">
        <v>66</v>
      </c>
      <c r="M327" s="4">
        <v>2714</v>
      </c>
      <c r="N327" s="4">
        <v>9332</v>
      </c>
      <c r="O327" s="4">
        <v>1</v>
      </c>
      <c r="P327" s="3">
        <v>1762.6632</v>
      </c>
      <c r="Q327"/>
      <c r="R327"/>
      <c r="S327"/>
      <c r="T327"/>
      <c r="U327"/>
      <c r="V327"/>
      <c r="W327"/>
      <c r="X327"/>
    </row>
    <row r="328" spans="1:24">
      <c r="A328" t="s">
        <v>24</v>
      </c>
      <c r="B328" t="s">
        <v>851</v>
      </c>
      <c r="C328" t="s">
        <v>856</v>
      </c>
      <c r="D328" t="s">
        <v>54</v>
      </c>
      <c r="E328" t="s">
        <v>57</v>
      </c>
      <c r="F328" t="s">
        <v>480</v>
      </c>
      <c r="G328" t="s">
        <v>460</v>
      </c>
      <c r="H328" t="s">
        <v>433</v>
      </c>
      <c r="I328" t="s">
        <v>43</v>
      </c>
      <c r="J328" t="s">
        <v>47</v>
      </c>
      <c r="K328" s="4">
        <v>21903</v>
      </c>
      <c r="L328" s="4">
        <v>124</v>
      </c>
      <c r="M328" s="4">
        <v>18831</v>
      </c>
      <c r="N328" s="4">
        <v>20922</v>
      </c>
      <c r="O328" s="4">
        <v>4</v>
      </c>
      <c r="P328" s="3">
        <v>1661.1678999999999</v>
      </c>
      <c r="Q328"/>
      <c r="R328"/>
      <c r="S328"/>
      <c r="T328"/>
      <c r="U328"/>
      <c r="V328"/>
      <c r="W328"/>
      <c r="X328"/>
    </row>
    <row r="329" spans="1:24">
      <c r="A329" t="s">
        <v>24</v>
      </c>
      <c r="B329" t="s">
        <v>851</v>
      </c>
      <c r="C329" t="s">
        <v>857</v>
      </c>
      <c r="D329" t="s">
        <v>56</v>
      </c>
      <c r="E329" t="s">
        <v>55</v>
      </c>
      <c r="F329" t="s">
        <v>467</v>
      </c>
      <c r="G329" t="s">
        <v>468</v>
      </c>
      <c r="H329" t="s">
        <v>247</v>
      </c>
      <c r="I329" t="s">
        <v>214</v>
      </c>
      <c r="J329" t="s">
        <v>47</v>
      </c>
      <c r="K329" s="4">
        <v>11296</v>
      </c>
      <c r="L329" s="4">
        <v>54</v>
      </c>
      <c r="M329" s="4">
        <v>6822</v>
      </c>
      <c r="N329" s="4">
        <v>9274</v>
      </c>
      <c r="O329" s="4">
        <v>4</v>
      </c>
      <c r="P329" s="3">
        <v>1682.3385000000001</v>
      </c>
      <c r="Q329"/>
      <c r="R329"/>
      <c r="S329"/>
      <c r="T329"/>
      <c r="U329"/>
      <c r="V329"/>
      <c r="W329"/>
      <c r="X329"/>
    </row>
    <row r="330" spans="1:24">
      <c r="A330" t="s">
        <v>24</v>
      </c>
      <c r="B330" t="s">
        <v>851</v>
      </c>
      <c r="C330" t="s">
        <v>858</v>
      </c>
      <c r="D330" t="s">
        <v>56</v>
      </c>
      <c r="E330" t="s">
        <v>57</v>
      </c>
      <c r="F330" t="s">
        <v>467</v>
      </c>
      <c r="G330" t="s">
        <v>468</v>
      </c>
      <c r="H330" t="s">
        <v>287</v>
      </c>
      <c r="I330" t="s">
        <v>38</v>
      </c>
      <c r="J330" t="s">
        <v>47</v>
      </c>
      <c r="K330" s="4">
        <v>57917</v>
      </c>
      <c r="L330" s="4">
        <v>212</v>
      </c>
      <c r="M330" s="4">
        <v>3650</v>
      </c>
      <c r="N330" s="4">
        <v>55128</v>
      </c>
      <c r="O330" s="4">
        <v>5</v>
      </c>
      <c r="P330" s="3">
        <v>1669.7289000000001</v>
      </c>
      <c r="Q330"/>
      <c r="R330"/>
      <c r="S330"/>
      <c r="T330"/>
      <c r="U330"/>
      <c r="V330"/>
      <c r="W330"/>
      <c r="X330"/>
    </row>
    <row r="331" spans="1:24">
      <c r="A331" t="s">
        <v>24</v>
      </c>
      <c r="B331" t="s">
        <v>851</v>
      </c>
      <c r="C331" t="s">
        <v>859</v>
      </c>
      <c r="D331" t="s">
        <v>56</v>
      </c>
      <c r="E331" t="s">
        <v>57</v>
      </c>
      <c r="F331" t="s">
        <v>482</v>
      </c>
      <c r="G331" t="s">
        <v>483</v>
      </c>
      <c r="H331" t="s">
        <v>309</v>
      </c>
      <c r="I331" t="s">
        <v>38</v>
      </c>
      <c r="J331" t="s">
        <v>49</v>
      </c>
      <c r="K331" s="4">
        <v>18028</v>
      </c>
      <c r="L331" s="4">
        <v>89</v>
      </c>
      <c r="M331" s="4">
        <v>1851</v>
      </c>
      <c r="N331" s="4">
        <v>14926</v>
      </c>
      <c r="O331" s="4">
        <v>24</v>
      </c>
      <c r="P331" s="3">
        <v>1572.2417</v>
      </c>
      <c r="Q331"/>
      <c r="R331"/>
      <c r="S331"/>
      <c r="T331"/>
      <c r="U331"/>
      <c r="V331"/>
      <c r="W331"/>
      <c r="X331"/>
    </row>
    <row r="332" spans="1:24">
      <c r="A332" t="s">
        <v>24</v>
      </c>
      <c r="B332" t="s">
        <v>176</v>
      </c>
      <c r="D332" t="s">
        <v>56</v>
      </c>
      <c r="E332" t="s">
        <v>57</v>
      </c>
      <c r="F332" t="s">
        <v>473</v>
      </c>
      <c r="G332" t="s">
        <v>474</v>
      </c>
      <c r="H332" t="s">
        <v>211</v>
      </c>
      <c r="I332" t="s">
        <v>212</v>
      </c>
      <c r="J332" t="s">
        <v>47</v>
      </c>
      <c r="K332" s="4">
        <v>908899</v>
      </c>
      <c r="L332" s="4">
        <v>1984</v>
      </c>
      <c r="M332" s="4">
        <v>644697</v>
      </c>
      <c r="N332" s="4">
        <v>853964</v>
      </c>
      <c r="O332" s="4">
        <v>32</v>
      </c>
      <c r="P332" s="3">
        <v>5181.0874000000003</v>
      </c>
      <c r="Q332"/>
      <c r="R332"/>
      <c r="S332"/>
      <c r="T332"/>
      <c r="U332"/>
      <c r="V332"/>
      <c r="W332"/>
      <c r="X332"/>
    </row>
    <row r="333" spans="1:24">
      <c r="A333" t="s">
        <v>24</v>
      </c>
      <c r="B333" t="s">
        <v>176</v>
      </c>
      <c r="C333" t="s">
        <v>860</v>
      </c>
      <c r="D333" t="s">
        <v>54</v>
      </c>
      <c r="E333" t="s">
        <v>59</v>
      </c>
      <c r="F333" t="s">
        <v>467</v>
      </c>
      <c r="G333" t="s">
        <v>468</v>
      </c>
      <c r="H333" t="s">
        <v>310</v>
      </c>
      <c r="I333" t="s">
        <v>43</v>
      </c>
      <c r="J333" t="s">
        <v>47</v>
      </c>
      <c r="K333" s="4">
        <v>116926</v>
      </c>
      <c r="L333" s="4">
        <v>321</v>
      </c>
      <c r="M333" s="4">
        <v>69132</v>
      </c>
      <c r="N333" s="4">
        <v>111957</v>
      </c>
      <c r="O333" s="4">
        <v>22</v>
      </c>
      <c r="P333" s="3">
        <v>4918.0410000000002</v>
      </c>
      <c r="Q333"/>
      <c r="R333"/>
      <c r="S333"/>
      <c r="T333"/>
      <c r="U333"/>
      <c r="V333"/>
      <c r="W333"/>
      <c r="X333"/>
    </row>
    <row r="334" spans="1:24">
      <c r="A334" t="s">
        <v>24</v>
      </c>
      <c r="B334" t="s">
        <v>176</v>
      </c>
      <c r="C334" t="s">
        <v>861</v>
      </c>
      <c r="D334" t="s">
        <v>58</v>
      </c>
      <c r="E334" t="s">
        <v>59</v>
      </c>
      <c r="F334" t="s">
        <v>467</v>
      </c>
      <c r="G334" t="s">
        <v>468</v>
      </c>
      <c r="H334" t="s">
        <v>301</v>
      </c>
      <c r="I334" t="s">
        <v>36</v>
      </c>
      <c r="J334" t="s">
        <v>47</v>
      </c>
      <c r="K334" s="4">
        <v>7822</v>
      </c>
      <c r="L334" s="4">
        <v>25</v>
      </c>
      <c r="M334" s="4">
        <v>3786</v>
      </c>
      <c r="N334" s="4">
        <v>7232</v>
      </c>
      <c r="O334" s="4">
        <v>13</v>
      </c>
      <c r="P334" s="3">
        <v>6781.8216000000002</v>
      </c>
      <c r="Q334"/>
      <c r="R334"/>
      <c r="S334"/>
      <c r="T334"/>
      <c r="U334"/>
      <c r="V334"/>
      <c r="W334"/>
      <c r="X334"/>
    </row>
    <row r="335" spans="1:24">
      <c r="A335" t="s">
        <v>24</v>
      </c>
      <c r="B335" t="s">
        <v>176</v>
      </c>
      <c r="C335" t="s">
        <v>862</v>
      </c>
      <c r="D335" t="s">
        <v>56</v>
      </c>
      <c r="E335" t="s">
        <v>59</v>
      </c>
      <c r="F335" t="s">
        <v>482</v>
      </c>
      <c r="G335" t="s">
        <v>483</v>
      </c>
      <c r="H335" t="s">
        <v>287</v>
      </c>
      <c r="I335" t="s">
        <v>36</v>
      </c>
      <c r="J335" t="s">
        <v>48</v>
      </c>
      <c r="K335" s="4">
        <v>95655</v>
      </c>
      <c r="L335" s="4">
        <v>275</v>
      </c>
      <c r="M335" s="4">
        <v>9202</v>
      </c>
      <c r="N335" s="4">
        <v>85273</v>
      </c>
      <c r="O335" s="4">
        <v>24</v>
      </c>
      <c r="P335" s="3">
        <v>6189.4161000000004</v>
      </c>
      <c r="Q335"/>
      <c r="R335"/>
      <c r="S335"/>
      <c r="T335"/>
      <c r="U335"/>
      <c r="V335"/>
      <c r="W335"/>
      <c r="X335"/>
    </row>
    <row r="336" spans="1:24">
      <c r="A336" t="s">
        <v>105</v>
      </c>
      <c r="B336" t="s">
        <v>727</v>
      </c>
      <c r="C336" t="s">
        <v>863</v>
      </c>
      <c r="D336" t="s">
        <v>54</v>
      </c>
      <c r="E336" t="s">
        <v>55</v>
      </c>
      <c r="F336" t="s">
        <v>539</v>
      </c>
      <c r="G336" t="s">
        <v>468</v>
      </c>
      <c r="H336" t="s">
        <v>260</v>
      </c>
      <c r="I336" t="s">
        <v>42</v>
      </c>
      <c r="J336" t="s">
        <v>47</v>
      </c>
      <c r="K336" s="4">
        <v>16372</v>
      </c>
      <c r="L336" s="4">
        <v>90</v>
      </c>
      <c r="M336" s="4">
        <v>4731</v>
      </c>
      <c r="N336" s="4">
        <v>15332</v>
      </c>
      <c r="O336" s="4">
        <v>9</v>
      </c>
      <c r="P336" s="3">
        <v>1704.5110999999999</v>
      </c>
      <c r="Q336"/>
      <c r="R336"/>
      <c r="S336"/>
      <c r="T336"/>
      <c r="U336"/>
      <c r="V336"/>
      <c r="W336"/>
      <c r="X336"/>
    </row>
    <row r="337" spans="1:24">
      <c r="A337" t="s">
        <v>107</v>
      </c>
      <c r="B337" t="s">
        <v>864</v>
      </c>
      <c r="D337" t="s">
        <v>54</v>
      </c>
      <c r="E337" t="s">
        <v>57</v>
      </c>
      <c r="F337" t="s">
        <v>547</v>
      </c>
      <c r="G337" t="s">
        <v>460</v>
      </c>
      <c r="H337" t="s">
        <v>215</v>
      </c>
      <c r="I337" t="s">
        <v>38</v>
      </c>
      <c r="J337" t="s">
        <v>47</v>
      </c>
      <c r="K337" s="4">
        <v>120603</v>
      </c>
      <c r="L337" s="4">
        <v>298</v>
      </c>
      <c r="M337" s="4">
        <v>47405</v>
      </c>
      <c r="N337" s="4">
        <v>100881</v>
      </c>
      <c r="O337" s="4">
        <v>10</v>
      </c>
      <c r="P337" s="3">
        <v>6633.5325999999995</v>
      </c>
      <c r="Q337"/>
      <c r="R337"/>
      <c r="S337"/>
      <c r="T337"/>
      <c r="U337"/>
      <c r="V337"/>
      <c r="W337"/>
      <c r="X337"/>
    </row>
    <row r="338" spans="1:24">
      <c r="A338" t="s">
        <v>107</v>
      </c>
      <c r="B338" t="s">
        <v>865</v>
      </c>
      <c r="D338" t="s">
        <v>54</v>
      </c>
      <c r="E338" t="s">
        <v>60</v>
      </c>
      <c r="F338" t="s">
        <v>506</v>
      </c>
      <c r="G338" t="s">
        <v>474</v>
      </c>
      <c r="H338" t="s">
        <v>325</v>
      </c>
      <c r="I338" t="s">
        <v>36</v>
      </c>
      <c r="J338" t="s">
        <v>47</v>
      </c>
      <c r="K338" s="4">
        <v>11511</v>
      </c>
      <c r="L338" s="4">
        <v>33</v>
      </c>
      <c r="M338" s="4">
        <v>8268</v>
      </c>
      <c r="N338" s="4">
        <v>11042</v>
      </c>
      <c r="O338" s="4">
        <v>3</v>
      </c>
      <c r="P338" s="3">
        <v>6815.7123000000001</v>
      </c>
      <c r="Q338"/>
      <c r="R338"/>
      <c r="S338"/>
      <c r="T338"/>
      <c r="U338"/>
      <c r="V338"/>
      <c r="W338"/>
      <c r="X338"/>
    </row>
    <row r="339" spans="1:24">
      <c r="A339" t="s">
        <v>107</v>
      </c>
      <c r="B339" t="s">
        <v>866</v>
      </c>
      <c r="D339" t="s">
        <v>56</v>
      </c>
      <c r="E339" t="s">
        <v>55</v>
      </c>
      <c r="F339" t="s">
        <v>467</v>
      </c>
      <c r="G339" t="s">
        <v>468</v>
      </c>
      <c r="H339" t="s">
        <v>292</v>
      </c>
      <c r="I339" t="s">
        <v>40</v>
      </c>
      <c r="J339" t="s">
        <v>49</v>
      </c>
      <c r="K339" s="4">
        <v>26558</v>
      </c>
      <c r="L339" s="4">
        <v>111</v>
      </c>
      <c r="M339" s="4">
        <v>15761</v>
      </c>
      <c r="N339" s="4">
        <v>23532</v>
      </c>
      <c r="O339" s="4">
        <v>14</v>
      </c>
      <c r="P339" s="3">
        <v>6751.5590000000002</v>
      </c>
      <c r="Q339"/>
      <c r="R339"/>
      <c r="S339"/>
      <c r="T339"/>
      <c r="U339"/>
      <c r="V339"/>
      <c r="W339"/>
      <c r="X339"/>
    </row>
    <row r="340" spans="1:24">
      <c r="A340" t="s">
        <v>107</v>
      </c>
      <c r="B340" t="s">
        <v>867</v>
      </c>
      <c r="D340" t="s">
        <v>58</v>
      </c>
      <c r="E340" t="s">
        <v>57</v>
      </c>
      <c r="F340" t="s">
        <v>497</v>
      </c>
      <c r="G340" t="s">
        <v>460</v>
      </c>
      <c r="H340" t="s">
        <v>242</v>
      </c>
      <c r="I340" t="s">
        <v>36</v>
      </c>
      <c r="J340" t="s">
        <v>47</v>
      </c>
      <c r="K340" s="4">
        <v>119280</v>
      </c>
      <c r="L340" s="4">
        <v>400</v>
      </c>
      <c r="M340" s="4">
        <v>55665</v>
      </c>
      <c r="N340" s="4">
        <v>112913</v>
      </c>
      <c r="O340" s="4">
        <v>23</v>
      </c>
      <c r="P340" s="3">
        <v>6492.6763000000001</v>
      </c>
      <c r="Q340"/>
      <c r="R340"/>
      <c r="S340"/>
      <c r="T340"/>
      <c r="U340"/>
      <c r="V340"/>
      <c r="W340"/>
      <c r="X340"/>
    </row>
    <row r="341" spans="1:24">
      <c r="A341" t="s">
        <v>107</v>
      </c>
      <c r="B341" t="s">
        <v>868</v>
      </c>
      <c r="D341" t="s">
        <v>56</v>
      </c>
      <c r="E341" t="s">
        <v>59</v>
      </c>
      <c r="F341" t="s">
        <v>473</v>
      </c>
      <c r="G341" t="s">
        <v>474</v>
      </c>
      <c r="H341" t="s">
        <v>303</v>
      </c>
      <c r="I341" t="s">
        <v>38</v>
      </c>
      <c r="J341" t="s">
        <v>48</v>
      </c>
      <c r="K341" s="4">
        <v>25021</v>
      </c>
      <c r="L341" s="4">
        <v>50</v>
      </c>
      <c r="M341" s="4">
        <v>11084</v>
      </c>
      <c r="N341" s="4">
        <v>18079</v>
      </c>
      <c r="O341" s="4">
        <v>9</v>
      </c>
      <c r="P341" s="3">
        <v>4961.4789000000001</v>
      </c>
      <c r="Q341"/>
      <c r="R341"/>
      <c r="S341"/>
      <c r="T341"/>
      <c r="U341"/>
      <c r="V341"/>
      <c r="W341"/>
      <c r="X341"/>
    </row>
    <row r="342" spans="1:24">
      <c r="A342" t="s">
        <v>109</v>
      </c>
      <c r="D342" t="s">
        <v>54</v>
      </c>
      <c r="E342" t="s">
        <v>55</v>
      </c>
      <c r="F342" t="s">
        <v>497</v>
      </c>
      <c r="G342" t="s">
        <v>460</v>
      </c>
      <c r="H342" t="s">
        <v>241</v>
      </c>
      <c r="I342" t="s">
        <v>253</v>
      </c>
      <c r="J342" t="s">
        <v>47</v>
      </c>
      <c r="K342" s="4">
        <v>69540</v>
      </c>
      <c r="L342" s="4">
        <v>204</v>
      </c>
      <c r="M342" s="4">
        <v>28713</v>
      </c>
      <c r="N342" s="4">
        <v>62829</v>
      </c>
      <c r="O342" s="4">
        <v>15</v>
      </c>
      <c r="P342" s="3">
        <v>1838.9876999999999</v>
      </c>
      <c r="Q342"/>
      <c r="R342"/>
      <c r="S342"/>
      <c r="T342"/>
      <c r="U342"/>
      <c r="V342"/>
      <c r="W342"/>
      <c r="X342"/>
    </row>
    <row r="343" spans="1:24">
      <c r="A343" t="s">
        <v>111</v>
      </c>
      <c r="B343" t="s">
        <v>124</v>
      </c>
      <c r="C343" t="s">
        <v>700</v>
      </c>
      <c r="D343" t="s">
        <v>58</v>
      </c>
      <c r="E343" t="s">
        <v>60</v>
      </c>
      <c r="F343" t="s">
        <v>506</v>
      </c>
      <c r="G343" t="s">
        <v>474</v>
      </c>
      <c r="H343" t="s">
        <v>231</v>
      </c>
      <c r="I343" t="s">
        <v>38</v>
      </c>
      <c r="J343" t="s">
        <v>47</v>
      </c>
      <c r="K343" s="4">
        <v>10819</v>
      </c>
      <c r="L343" s="4">
        <v>20</v>
      </c>
      <c r="M343" s="4">
        <v>4168</v>
      </c>
      <c r="N343" s="4">
        <v>9768</v>
      </c>
      <c r="O343" s="4">
        <v>2</v>
      </c>
      <c r="P343" s="3">
        <v>1504.3291999999999</v>
      </c>
      <c r="Q343"/>
      <c r="R343"/>
      <c r="S343"/>
      <c r="T343"/>
      <c r="U343"/>
      <c r="V343"/>
      <c r="W343"/>
      <c r="X343"/>
    </row>
    <row r="344" spans="1:24">
      <c r="A344" t="s">
        <v>113</v>
      </c>
      <c r="B344" t="s">
        <v>113</v>
      </c>
      <c r="D344" t="s">
        <v>54</v>
      </c>
      <c r="E344" t="s">
        <v>57</v>
      </c>
      <c r="F344" t="s">
        <v>467</v>
      </c>
      <c r="G344" t="s">
        <v>468</v>
      </c>
      <c r="H344" t="s">
        <v>334</v>
      </c>
      <c r="I344" t="s">
        <v>42</v>
      </c>
      <c r="J344" t="s">
        <v>47</v>
      </c>
      <c r="K344" s="4">
        <v>9881</v>
      </c>
      <c r="L344" s="4">
        <v>15</v>
      </c>
      <c r="M344" s="4">
        <v>2344</v>
      </c>
      <c r="N344" s="4">
        <v>7324</v>
      </c>
      <c r="O344" s="4">
        <v>1</v>
      </c>
      <c r="P344" s="3">
        <v>1505.0116</v>
      </c>
      <c r="Q344"/>
      <c r="R344"/>
      <c r="S344"/>
      <c r="T344"/>
      <c r="U344"/>
      <c r="V344"/>
      <c r="W344"/>
      <c r="X344"/>
    </row>
    <row r="345" spans="1:24">
      <c r="A345" t="s">
        <v>115</v>
      </c>
      <c r="B345" t="s">
        <v>869</v>
      </c>
      <c r="D345" t="s">
        <v>58</v>
      </c>
      <c r="E345" t="s">
        <v>55</v>
      </c>
      <c r="F345" t="s">
        <v>467</v>
      </c>
      <c r="G345" t="s">
        <v>468</v>
      </c>
      <c r="H345" t="s">
        <v>254</v>
      </c>
      <c r="I345" t="s">
        <v>36</v>
      </c>
      <c r="J345" t="s">
        <v>47</v>
      </c>
      <c r="K345" s="4">
        <v>207823</v>
      </c>
      <c r="L345" s="4">
        <v>600</v>
      </c>
      <c r="M345" s="4">
        <v>33602</v>
      </c>
      <c r="N345" s="4">
        <v>167814</v>
      </c>
      <c r="O345" s="4">
        <v>13</v>
      </c>
      <c r="P345" s="3">
        <v>6048.9556000000002</v>
      </c>
      <c r="Q345"/>
      <c r="R345"/>
      <c r="S345"/>
      <c r="T345"/>
      <c r="U345"/>
      <c r="V345"/>
      <c r="W345"/>
      <c r="X345"/>
    </row>
    <row r="346" spans="1:24">
      <c r="A346" t="s">
        <v>115</v>
      </c>
      <c r="B346" t="s">
        <v>870</v>
      </c>
      <c r="D346" t="s">
        <v>56</v>
      </c>
      <c r="E346" t="s">
        <v>55</v>
      </c>
      <c r="F346" t="s">
        <v>473</v>
      </c>
      <c r="G346" t="s">
        <v>474</v>
      </c>
      <c r="H346" t="s">
        <v>321</v>
      </c>
      <c r="I346" t="s">
        <v>38</v>
      </c>
      <c r="J346" t="s">
        <v>49</v>
      </c>
      <c r="K346" s="4">
        <v>120902</v>
      </c>
      <c r="L346" s="4">
        <v>333</v>
      </c>
      <c r="M346" s="4">
        <v>9964</v>
      </c>
      <c r="N346" s="4">
        <v>70015</v>
      </c>
      <c r="O346" s="4">
        <v>15</v>
      </c>
      <c r="P346" s="3">
        <v>4669.0137000000004</v>
      </c>
      <c r="Q346"/>
      <c r="R346"/>
      <c r="S346"/>
      <c r="T346"/>
      <c r="U346"/>
      <c r="V346"/>
      <c r="W346"/>
      <c r="X346"/>
    </row>
    <row r="347" spans="1:24">
      <c r="A347" t="s">
        <v>115</v>
      </c>
      <c r="B347" t="s">
        <v>871</v>
      </c>
      <c r="D347" t="s">
        <v>54</v>
      </c>
      <c r="E347" t="s">
        <v>55</v>
      </c>
      <c r="F347" t="s">
        <v>486</v>
      </c>
      <c r="G347" t="s">
        <v>487</v>
      </c>
      <c r="H347" t="s">
        <v>243</v>
      </c>
      <c r="I347" t="s">
        <v>214</v>
      </c>
      <c r="J347" t="s">
        <v>47</v>
      </c>
      <c r="K347" s="4">
        <v>41513</v>
      </c>
      <c r="L347" s="4">
        <v>113</v>
      </c>
      <c r="M347" s="4">
        <v>20872</v>
      </c>
      <c r="N347" s="4">
        <v>39250</v>
      </c>
      <c r="O347" s="4">
        <v>9</v>
      </c>
      <c r="P347" s="3">
        <v>6789.5334000000003</v>
      </c>
      <c r="Q347"/>
      <c r="R347"/>
      <c r="S347"/>
      <c r="T347"/>
      <c r="U347"/>
      <c r="V347"/>
      <c r="W347"/>
      <c r="X347"/>
    </row>
    <row r="348" spans="1:24">
      <c r="A348" t="s">
        <v>115</v>
      </c>
      <c r="B348" t="s">
        <v>872</v>
      </c>
      <c r="C348" t="s">
        <v>873</v>
      </c>
      <c r="D348" t="s">
        <v>56</v>
      </c>
      <c r="E348" t="s">
        <v>55</v>
      </c>
      <c r="F348" t="s">
        <v>506</v>
      </c>
      <c r="G348" t="s">
        <v>474</v>
      </c>
      <c r="H348" t="s">
        <v>228</v>
      </c>
      <c r="I348" t="s">
        <v>36</v>
      </c>
      <c r="J348" t="s">
        <v>47</v>
      </c>
      <c r="K348" s="4">
        <v>7862</v>
      </c>
      <c r="L348" s="4">
        <v>20</v>
      </c>
      <c r="M348" s="4">
        <v>2152</v>
      </c>
      <c r="N348" s="4">
        <v>6039</v>
      </c>
      <c r="O348" s="4">
        <v>2</v>
      </c>
      <c r="P348" s="3">
        <v>6506.4336999999996</v>
      </c>
      <c r="Q348"/>
      <c r="R348"/>
      <c r="S348"/>
      <c r="T348"/>
      <c r="U348"/>
      <c r="V348"/>
      <c r="W348"/>
      <c r="X348"/>
    </row>
    <row r="349" spans="1:24">
      <c r="A349" t="s">
        <v>115</v>
      </c>
      <c r="B349" t="s">
        <v>872</v>
      </c>
      <c r="C349" t="s">
        <v>874</v>
      </c>
      <c r="D349" t="s">
        <v>56</v>
      </c>
      <c r="E349" t="s">
        <v>57</v>
      </c>
      <c r="F349" t="s">
        <v>482</v>
      </c>
      <c r="G349" t="s">
        <v>483</v>
      </c>
      <c r="H349" t="s">
        <v>208</v>
      </c>
      <c r="I349" t="s">
        <v>40</v>
      </c>
      <c r="J349" t="s">
        <v>48</v>
      </c>
      <c r="K349" s="4">
        <v>25206</v>
      </c>
      <c r="L349" s="4">
        <v>75</v>
      </c>
      <c r="M349" s="4">
        <v>3588</v>
      </c>
      <c r="N349" s="4">
        <v>23556</v>
      </c>
      <c r="O349" s="4">
        <v>19</v>
      </c>
      <c r="P349" s="3">
        <v>6846.3563999999997</v>
      </c>
      <c r="Q349"/>
      <c r="R349"/>
      <c r="S349"/>
      <c r="T349"/>
      <c r="U349"/>
      <c r="V349"/>
      <c r="W349"/>
      <c r="X349"/>
    </row>
    <row r="350" spans="1:24">
      <c r="A350" t="s">
        <v>115</v>
      </c>
      <c r="B350" t="s">
        <v>872</v>
      </c>
      <c r="C350" t="s">
        <v>875</v>
      </c>
      <c r="D350" t="s">
        <v>56</v>
      </c>
      <c r="E350" t="s">
        <v>60</v>
      </c>
      <c r="F350" t="s">
        <v>467</v>
      </c>
      <c r="G350" t="s">
        <v>468</v>
      </c>
      <c r="H350" t="s">
        <v>213</v>
      </c>
      <c r="I350" t="s">
        <v>42</v>
      </c>
      <c r="J350" t="s">
        <v>49</v>
      </c>
      <c r="K350" s="4">
        <v>27592</v>
      </c>
      <c r="L350" s="4">
        <v>80</v>
      </c>
      <c r="M350" s="4">
        <v>10901</v>
      </c>
      <c r="N350" s="4">
        <v>24980</v>
      </c>
      <c r="O350" s="4">
        <v>17</v>
      </c>
      <c r="P350" s="3">
        <v>6809.3559999999998</v>
      </c>
      <c r="Q350"/>
      <c r="R350"/>
      <c r="S350"/>
      <c r="T350"/>
      <c r="U350"/>
      <c r="V350"/>
      <c r="W350"/>
      <c r="X350"/>
    </row>
    <row r="351" spans="1:24">
      <c r="A351" t="s">
        <v>115</v>
      </c>
      <c r="B351" t="s">
        <v>876</v>
      </c>
      <c r="C351" t="s">
        <v>877</v>
      </c>
      <c r="D351" t="s">
        <v>54</v>
      </c>
      <c r="E351" t="s">
        <v>55</v>
      </c>
      <c r="F351" t="s">
        <v>482</v>
      </c>
      <c r="G351" t="s">
        <v>483</v>
      </c>
      <c r="H351" t="s">
        <v>215</v>
      </c>
      <c r="I351" t="s">
        <v>448</v>
      </c>
      <c r="J351" t="s">
        <v>47</v>
      </c>
      <c r="K351" s="4">
        <v>760502</v>
      </c>
      <c r="L351" s="4">
        <v>2140</v>
      </c>
      <c r="M351" s="4">
        <v>326721</v>
      </c>
      <c r="N351" s="4">
        <v>700814</v>
      </c>
      <c r="O351" s="4">
        <v>17</v>
      </c>
      <c r="P351" s="3">
        <v>5179.0415000000003</v>
      </c>
      <c r="Q351"/>
      <c r="R351"/>
      <c r="S351"/>
      <c r="T351"/>
      <c r="U351"/>
      <c r="V351"/>
      <c r="W351"/>
      <c r="X351"/>
    </row>
    <row r="352" spans="1:24">
      <c r="A352" t="s">
        <v>115</v>
      </c>
      <c r="B352" t="s">
        <v>876</v>
      </c>
      <c r="C352" t="s">
        <v>878</v>
      </c>
      <c r="D352" t="s">
        <v>56</v>
      </c>
      <c r="E352" t="s">
        <v>60</v>
      </c>
      <c r="F352" t="s">
        <v>506</v>
      </c>
      <c r="G352" t="s">
        <v>474</v>
      </c>
      <c r="H352" t="s">
        <v>440</v>
      </c>
      <c r="I352" t="s">
        <v>43</v>
      </c>
      <c r="J352" t="s">
        <v>47</v>
      </c>
      <c r="K352" s="4">
        <v>14398</v>
      </c>
      <c r="L352" s="4">
        <v>30</v>
      </c>
      <c r="M352" s="4">
        <v>2807</v>
      </c>
      <c r="N352" s="4">
        <v>13393</v>
      </c>
      <c r="O352" s="4">
        <v>7</v>
      </c>
      <c r="P352" s="3">
        <v>5154.6445999999996</v>
      </c>
      <c r="Q352"/>
      <c r="R352"/>
      <c r="S352"/>
      <c r="T352"/>
      <c r="U352"/>
      <c r="V352"/>
      <c r="W352"/>
      <c r="X352"/>
    </row>
    <row r="353" spans="1:24">
      <c r="A353" t="s">
        <v>115</v>
      </c>
      <c r="B353" t="s">
        <v>879</v>
      </c>
      <c r="D353" t="s">
        <v>54</v>
      </c>
      <c r="E353" t="s">
        <v>59</v>
      </c>
      <c r="F353" t="s">
        <v>782</v>
      </c>
      <c r="G353" t="s">
        <v>783</v>
      </c>
      <c r="H353" t="s">
        <v>254</v>
      </c>
      <c r="I353" t="s">
        <v>36</v>
      </c>
      <c r="J353" t="s">
        <v>47</v>
      </c>
      <c r="K353" s="4">
        <v>156427</v>
      </c>
      <c r="L353" s="4">
        <v>512</v>
      </c>
      <c r="M353" s="4">
        <v>61821</v>
      </c>
      <c r="N353" s="4">
        <v>145505</v>
      </c>
      <c r="O353" s="4">
        <v>3</v>
      </c>
      <c r="P353" s="3">
        <v>5159.7475000000004</v>
      </c>
      <c r="Q353"/>
      <c r="R353"/>
      <c r="S353"/>
      <c r="T353"/>
      <c r="U353"/>
      <c r="V353"/>
      <c r="W353"/>
      <c r="X353"/>
    </row>
    <row r="354" spans="1:24">
      <c r="A354" t="s">
        <v>117</v>
      </c>
      <c r="B354" t="s">
        <v>880</v>
      </c>
      <c r="C354" t="s">
        <v>881</v>
      </c>
      <c r="D354" t="s">
        <v>56</v>
      </c>
      <c r="E354" t="s">
        <v>60</v>
      </c>
      <c r="F354" t="s">
        <v>467</v>
      </c>
      <c r="G354" t="s">
        <v>468</v>
      </c>
      <c r="H354" t="s">
        <v>372</v>
      </c>
      <c r="I354" t="s">
        <v>36</v>
      </c>
      <c r="J354" t="s">
        <v>48</v>
      </c>
      <c r="K354" s="4">
        <v>16202</v>
      </c>
      <c r="L354" s="4">
        <v>80</v>
      </c>
      <c r="M354" s="4">
        <v>11786</v>
      </c>
      <c r="N354" s="4">
        <v>15365</v>
      </c>
      <c r="O354" s="4">
        <v>2</v>
      </c>
      <c r="P354" s="3">
        <v>1570.3427999999999</v>
      </c>
      <c r="Q354"/>
      <c r="R354"/>
      <c r="S354"/>
      <c r="T354"/>
      <c r="U354"/>
      <c r="V354"/>
      <c r="W354"/>
      <c r="X354"/>
    </row>
    <row r="355" spans="1:24">
      <c r="A355" t="s">
        <v>117</v>
      </c>
      <c r="B355" t="s">
        <v>882</v>
      </c>
      <c r="C355" t="s">
        <v>883</v>
      </c>
      <c r="D355" t="s">
        <v>54</v>
      </c>
      <c r="E355" t="s">
        <v>55</v>
      </c>
      <c r="F355" t="s">
        <v>482</v>
      </c>
      <c r="G355" t="s">
        <v>483</v>
      </c>
      <c r="H355" t="s">
        <v>231</v>
      </c>
      <c r="I355" t="s">
        <v>38</v>
      </c>
      <c r="J355" t="s">
        <v>47</v>
      </c>
      <c r="K355" s="4">
        <v>15318</v>
      </c>
      <c r="L355" s="4">
        <v>30</v>
      </c>
      <c r="M355" s="4">
        <v>5928</v>
      </c>
      <c r="N355" s="4">
        <v>13298</v>
      </c>
      <c r="O355" s="4">
        <v>19</v>
      </c>
      <c r="P355" s="3">
        <v>1570.2973999999999</v>
      </c>
      <c r="Q355"/>
      <c r="R355"/>
      <c r="S355"/>
      <c r="T355"/>
      <c r="U355"/>
      <c r="V355"/>
      <c r="W355"/>
      <c r="X355"/>
    </row>
    <row r="356" spans="1:24">
      <c r="A356" t="s">
        <v>122</v>
      </c>
      <c r="B356" t="s">
        <v>884</v>
      </c>
      <c r="D356" t="s">
        <v>56</v>
      </c>
      <c r="E356" t="s">
        <v>59</v>
      </c>
      <c r="F356" t="s">
        <v>467</v>
      </c>
      <c r="G356" t="s">
        <v>468</v>
      </c>
      <c r="H356" t="s">
        <v>390</v>
      </c>
      <c r="I356" t="s">
        <v>36</v>
      </c>
      <c r="J356" t="s">
        <v>47</v>
      </c>
      <c r="K356" s="4">
        <v>15547</v>
      </c>
      <c r="L356" s="4">
        <v>70</v>
      </c>
      <c r="M356" s="4">
        <v>7615</v>
      </c>
      <c r="N356" s="4">
        <v>14939</v>
      </c>
      <c r="O356" s="4">
        <v>3</v>
      </c>
      <c r="P356" s="3">
        <v>1767.4645</v>
      </c>
      <c r="Q356"/>
      <c r="R356"/>
      <c r="S356"/>
      <c r="T356"/>
      <c r="U356"/>
      <c r="V356"/>
      <c r="W356"/>
      <c r="X356"/>
    </row>
    <row r="357" spans="1:24">
      <c r="A357" t="s">
        <v>26</v>
      </c>
      <c r="B357" t="s">
        <v>885</v>
      </c>
      <c r="D357" t="s">
        <v>56</v>
      </c>
      <c r="E357" t="s">
        <v>60</v>
      </c>
      <c r="F357" t="s">
        <v>473</v>
      </c>
      <c r="G357" t="s">
        <v>474</v>
      </c>
      <c r="H357" t="s">
        <v>359</v>
      </c>
      <c r="I357" t="s">
        <v>36</v>
      </c>
      <c r="J357" t="s">
        <v>49</v>
      </c>
      <c r="K357" s="4">
        <v>28888</v>
      </c>
      <c r="L357" s="4">
        <v>85</v>
      </c>
      <c r="M357" s="4">
        <v>21437</v>
      </c>
      <c r="N357" s="4">
        <v>27586</v>
      </c>
      <c r="O357" s="4">
        <v>19</v>
      </c>
      <c r="P357" s="3">
        <v>6858.5780999999997</v>
      </c>
      <c r="Q357"/>
      <c r="R357"/>
      <c r="S357"/>
      <c r="T357"/>
      <c r="U357"/>
      <c r="V357"/>
      <c r="W357"/>
      <c r="X357"/>
    </row>
    <row r="358" spans="1:24">
      <c r="A358" t="s">
        <v>26</v>
      </c>
      <c r="B358" t="s">
        <v>886</v>
      </c>
      <c r="D358" t="s">
        <v>56</v>
      </c>
      <c r="E358" t="s">
        <v>60</v>
      </c>
      <c r="F358" t="s">
        <v>519</v>
      </c>
      <c r="G358" t="s">
        <v>460</v>
      </c>
      <c r="H358" t="s">
        <v>243</v>
      </c>
      <c r="I358" t="s">
        <v>38</v>
      </c>
      <c r="J358" t="s">
        <v>47</v>
      </c>
      <c r="K358" s="4">
        <v>8420</v>
      </c>
      <c r="L358" s="4">
        <v>80</v>
      </c>
      <c r="M358" s="4">
        <v>4430</v>
      </c>
      <c r="N358" s="4">
        <v>7869</v>
      </c>
      <c r="O358" s="4">
        <v>8</v>
      </c>
      <c r="P358" s="3">
        <v>5184.5853999999999</v>
      </c>
      <c r="Q358"/>
      <c r="R358"/>
      <c r="S358"/>
      <c r="T358"/>
      <c r="U358"/>
      <c r="V358"/>
      <c r="W358"/>
      <c r="X358"/>
    </row>
    <row r="359" spans="1:24">
      <c r="A359" t="s">
        <v>26</v>
      </c>
      <c r="B359" t="s">
        <v>887</v>
      </c>
      <c r="D359" t="s">
        <v>54</v>
      </c>
      <c r="E359" t="s">
        <v>59</v>
      </c>
      <c r="F359" t="s">
        <v>467</v>
      </c>
      <c r="G359" t="s">
        <v>468</v>
      </c>
      <c r="H359" t="s">
        <v>219</v>
      </c>
      <c r="I359" t="s">
        <v>36</v>
      </c>
      <c r="J359" t="s">
        <v>47</v>
      </c>
      <c r="K359" s="4">
        <v>25377</v>
      </c>
      <c r="L359" s="4">
        <v>101</v>
      </c>
      <c r="M359" s="4">
        <v>16698</v>
      </c>
      <c r="N359" s="4">
        <v>23798</v>
      </c>
      <c r="O359" s="4">
        <v>2</v>
      </c>
      <c r="P359" s="3">
        <v>5175.1428999999998</v>
      </c>
      <c r="Q359"/>
      <c r="R359"/>
      <c r="S359"/>
      <c r="T359"/>
      <c r="U359"/>
      <c r="V359"/>
      <c r="W359"/>
      <c r="X359"/>
    </row>
    <row r="360" spans="1:24">
      <c r="A360" t="s">
        <v>26</v>
      </c>
      <c r="B360" t="s">
        <v>599</v>
      </c>
      <c r="D360" t="s">
        <v>54</v>
      </c>
      <c r="E360" t="s">
        <v>60</v>
      </c>
      <c r="F360" t="s">
        <v>482</v>
      </c>
      <c r="G360" t="s">
        <v>483</v>
      </c>
      <c r="H360" t="s">
        <v>233</v>
      </c>
      <c r="I360" t="s">
        <v>42</v>
      </c>
      <c r="J360" t="s">
        <v>47</v>
      </c>
      <c r="K360" s="4">
        <v>76049</v>
      </c>
      <c r="L360" s="4">
        <v>199</v>
      </c>
      <c r="M360" s="4">
        <v>34921</v>
      </c>
      <c r="N360" s="4">
        <v>69138</v>
      </c>
      <c r="O360" s="4">
        <v>8</v>
      </c>
      <c r="P360" s="3">
        <v>6942.8005000000003</v>
      </c>
      <c r="Q360"/>
      <c r="R360"/>
      <c r="S360"/>
      <c r="T360"/>
      <c r="U360"/>
      <c r="V360"/>
      <c r="W360"/>
      <c r="X360"/>
    </row>
    <row r="361" spans="1:24">
      <c r="A361" t="s">
        <v>26</v>
      </c>
      <c r="B361" t="s">
        <v>888</v>
      </c>
      <c r="D361" t="s">
        <v>56</v>
      </c>
      <c r="E361" t="s">
        <v>60</v>
      </c>
      <c r="F361" t="s">
        <v>473</v>
      </c>
      <c r="G361" t="s">
        <v>474</v>
      </c>
      <c r="H361" t="s">
        <v>381</v>
      </c>
      <c r="I361" t="s">
        <v>36</v>
      </c>
      <c r="J361" t="s">
        <v>47</v>
      </c>
      <c r="K361" s="4">
        <v>7921</v>
      </c>
      <c r="L361" s="4">
        <v>50</v>
      </c>
      <c r="M361" s="4">
        <v>4727</v>
      </c>
      <c r="N361" s="4">
        <v>6513</v>
      </c>
      <c r="O361" s="4">
        <v>11</v>
      </c>
      <c r="P361" s="3">
        <v>5379.0014000000001</v>
      </c>
      <c r="Q361"/>
      <c r="R361"/>
      <c r="S361"/>
      <c r="T361"/>
      <c r="U361"/>
      <c r="V361"/>
      <c r="W361"/>
      <c r="X361"/>
    </row>
    <row r="362" spans="1:24">
      <c r="A362" t="s">
        <v>26</v>
      </c>
      <c r="B362" t="s">
        <v>889</v>
      </c>
      <c r="D362" t="s">
        <v>56</v>
      </c>
      <c r="E362" t="s">
        <v>55</v>
      </c>
      <c r="F362" t="s">
        <v>486</v>
      </c>
      <c r="G362" t="s">
        <v>487</v>
      </c>
      <c r="H362" t="s">
        <v>361</v>
      </c>
      <c r="I362" t="s">
        <v>43</v>
      </c>
      <c r="J362" t="s">
        <v>49</v>
      </c>
      <c r="K362" s="4">
        <v>123430</v>
      </c>
      <c r="L362" s="4">
        <v>360</v>
      </c>
      <c r="M362" s="4">
        <v>45294</v>
      </c>
      <c r="N362" s="4">
        <v>77646</v>
      </c>
      <c r="O362" s="4">
        <v>15</v>
      </c>
      <c r="P362" s="3">
        <v>6808.5626000000002</v>
      </c>
      <c r="Q362"/>
      <c r="R362"/>
      <c r="S362"/>
      <c r="T362"/>
      <c r="U362"/>
      <c r="V362"/>
      <c r="W362"/>
      <c r="X362"/>
    </row>
    <row r="363" spans="1:24">
      <c r="A363" t="s">
        <v>26</v>
      </c>
      <c r="B363" t="s">
        <v>890</v>
      </c>
      <c r="D363" t="s">
        <v>56</v>
      </c>
      <c r="E363" t="s">
        <v>55</v>
      </c>
      <c r="F363" t="s">
        <v>473</v>
      </c>
      <c r="G363" t="s">
        <v>474</v>
      </c>
      <c r="H363" t="s">
        <v>326</v>
      </c>
      <c r="I363" t="s">
        <v>43</v>
      </c>
      <c r="J363" t="s">
        <v>47</v>
      </c>
      <c r="K363" s="4">
        <v>11607</v>
      </c>
      <c r="L363" s="4">
        <v>184</v>
      </c>
      <c r="M363" s="4">
        <v>5218</v>
      </c>
      <c r="N363" s="4">
        <v>10763</v>
      </c>
      <c r="O363" s="4">
        <v>12</v>
      </c>
      <c r="P363" s="3">
        <v>6909.7322999999997</v>
      </c>
      <c r="Q363"/>
      <c r="R363"/>
      <c r="S363"/>
      <c r="T363"/>
      <c r="U363"/>
      <c r="V363"/>
      <c r="W363"/>
      <c r="X363"/>
    </row>
    <row r="364" spans="1:24">
      <c r="A364" t="s">
        <v>120</v>
      </c>
      <c r="B364" t="s">
        <v>891</v>
      </c>
      <c r="C364" t="s">
        <v>892</v>
      </c>
      <c r="D364" t="s">
        <v>54</v>
      </c>
      <c r="E364" t="s">
        <v>55</v>
      </c>
      <c r="F364" t="s">
        <v>547</v>
      </c>
      <c r="G364" t="s">
        <v>460</v>
      </c>
      <c r="H364" t="s">
        <v>224</v>
      </c>
      <c r="I364" t="s">
        <v>40</v>
      </c>
      <c r="J364" t="s">
        <v>47</v>
      </c>
      <c r="K364" s="4">
        <v>12592</v>
      </c>
      <c r="L364" s="4">
        <v>63</v>
      </c>
      <c r="M364" s="4">
        <v>7472</v>
      </c>
      <c r="N364" s="4">
        <v>11687</v>
      </c>
      <c r="O364" s="4">
        <v>4</v>
      </c>
      <c r="P364" s="3">
        <v>1521.1851999999999</v>
      </c>
      <c r="Q364"/>
      <c r="R364"/>
      <c r="S364"/>
      <c r="T364"/>
      <c r="U364"/>
      <c r="V364"/>
      <c r="W364"/>
      <c r="X364"/>
    </row>
    <row r="365" spans="1:24">
      <c r="A365" t="s">
        <v>120</v>
      </c>
      <c r="B365" t="s">
        <v>893</v>
      </c>
      <c r="D365" t="s">
        <v>56</v>
      </c>
      <c r="E365" t="s">
        <v>55</v>
      </c>
      <c r="F365" t="s">
        <v>480</v>
      </c>
      <c r="G365" t="s">
        <v>460</v>
      </c>
      <c r="H365" t="s">
        <v>257</v>
      </c>
      <c r="I365" t="s">
        <v>43</v>
      </c>
      <c r="J365" t="s">
        <v>47</v>
      </c>
      <c r="K365" s="4">
        <v>15033</v>
      </c>
      <c r="L365" s="4">
        <v>76</v>
      </c>
      <c r="M365" s="4">
        <v>5495</v>
      </c>
      <c r="N365" s="4">
        <v>7050</v>
      </c>
      <c r="O365" s="4">
        <v>3</v>
      </c>
      <c r="P365" s="3">
        <v>1650.723</v>
      </c>
      <c r="Q365"/>
      <c r="R365"/>
      <c r="S365"/>
      <c r="T365"/>
      <c r="U365"/>
      <c r="V365"/>
      <c r="W365"/>
      <c r="X365"/>
    </row>
    <row r="366" spans="1:24">
      <c r="A366" t="s">
        <v>124</v>
      </c>
      <c r="B366" t="s">
        <v>894</v>
      </c>
      <c r="D366" t="s">
        <v>56</v>
      </c>
      <c r="E366" t="s">
        <v>55</v>
      </c>
      <c r="F366" t="s">
        <v>489</v>
      </c>
      <c r="G366" t="s">
        <v>460</v>
      </c>
      <c r="H366" t="s">
        <v>219</v>
      </c>
      <c r="I366" t="s">
        <v>40</v>
      </c>
      <c r="J366" t="s">
        <v>49</v>
      </c>
      <c r="K366" s="4">
        <v>73567</v>
      </c>
      <c r="L366" s="4">
        <v>197</v>
      </c>
      <c r="M366" s="4">
        <v>28800</v>
      </c>
      <c r="N366" s="4">
        <v>68566</v>
      </c>
      <c r="O366" s="4">
        <v>2</v>
      </c>
      <c r="P366" s="3">
        <v>1567.3661</v>
      </c>
      <c r="Q366"/>
      <c r="R366"/>
      <c r="S366"/>
      <c r="T366"/>
      <c r="U366"/>
      <c r="V366"/>
      <c r="W366"/>
      <c r="X366"/>
    </row>
    <row r="367" spans="1:24">
      <c r="A367" t="s">
        <v>124</v>
      </c>
      <c r="B367" t="s">
        <v>895</v>
      </c>
      <c r="D367" t="s">
        <v>54</v>
      </c>
      <c r="E367" t="s">
        <v>59</v>
      </c>
      <c r="F367" t="s">
        <v>482</v>
      </c>
      <c r="G367" t="s">
        <v>483</v>
      </c>
      <c r="H367" t="s">
        <v>242</v>
      </c>
      <c r="I367" t="s">
        <v>36</v>
      </c>
      <c r="J367" t="s">
        <v>47</v>
      </c>
      <c r="K367" s="4">
        <v>15441</v>
      </c>
      <c r="L367" s="4">
        <v>48</v>
      </c>
      <c r="M367" s="4">
        <v>7626</v>
      </c>
      <c r="N367" s="4">
        <v>14456</v>
      </c>
      <c r="O367" s="4">
        <v>19</v>
      </c>
      <c r="P367" s="3">
        <v>1614.309</v>
      </c>
      <c r="Q367"/>
      <c r="R367"/>
      <c r="S367"/>
      <c r="T367"/>
      <c r="U367"/>
      <c r="V367"/>
      <c r="W367"/>
      <c r="X367"/>
    </row>
    <row r="368" spans="1:24">
      <c r="A368" t="s">
        <v>124</v>
      </c>
      <c r="B368" t="s">
        <v>891</v>
      </c>
      <c r="C368" t="s">
        <v>896</v>
      </c>
      <c r="D368" t="s">
        <v>54</v>
      </c>
      <c r="E368" t="s">
        <v>59</v>
      </c>
      <c r="F368" t="s">
        <v>467</v>
      </c>
      <c r="G368" t="s">
        <v>468</v>
      </c>
      <c r="H368" t="s">
        <v>227</v>
      </c>
      <c r="I368" t="s">
        <v>209</v>
      </c>
      <c r="J368" t="s">
        <v>47</v>
      </c>
      <c r="K368" s="4">
        <v>9920</v>
      </c>
      <c r="L368" s="4">
        <v>20</v>
      </c>
      <c r="M368" s="4">
        <v>6702</v>
      </c>
      <c r="N368" s="4">
        <v>9096</v>
      </c>
      <c r="O368" s="4">
        <v>10</v>
      </c>
      <c r="P368" s="3">
        <v>1453.1143999999999</v>
      </c>
      <c r="Q368"/>
      <c r="R368"/>
      <c r="S368"/>
      <c r="T368"/>
      <c r="U368"/>
      <c r="V368"/>
      <c r="W368"/>
      <c r="X368"/>
    </row>
    <row r="369" spans="1:24">
      <c r="A369" t="s">
        <v>124</v>
      </c>
      <c r="B369" t="s">
        <v>117</v>
      </c>
      <c r="C369" t="s">
        <v>897</v>
      </c>
      <c r="D369" t="s">
        <v>54</v>
      </c>
      <c r="E369" t="s">
        <v>55</v>
      </c>
      <c r="F369" t="s">
        <v>467</v>
      </c>
      <c r="G369" t="s">
        <v>468</v>
      </c>
      <c r="H369" t="s">
        <v>241</v>
      </c>
      <c r="I369" t="s">
        <v>36</v>
      </c>
      <c r="J369" t="s">
        <v>47</v>
      </c>
      <c r="K369" s="4">
        <v>21478</v>
      </c>
      <c r="L369" s="4">
        <v>50</v>
      </c>
      <c r="M369" s="4">
        <v>15548</v>
      </c>
      <c r="N369" s="4">
        <v>20651</v>
      </c>
      <c r="O369" s="4">
        <v>24</v>
      </c>
      <c r="P369" s="3">
        <v>1541.2139999999999</v>
      </c>
      <c r="Q369"/>
      <c r="R369"/>
      <c r="S369"/>
      <c r="T369"/>
      <c r="U369"/>
      <c r="V369"/>
      <c r="W369"/>
      <c r="X369"/>
    </row>
    <row r="370" spans="1:24">
      <c r="A370" t="s">
        <v>126</v>
      </c>
      <c r="B370" t="s">
        <v>898</v>
      </c>
      <c r="C370" t="s">
        <v>899</v>
      </c>
      <c r="D370" t="s">
        <v>54</v>
      </c>
      <c r="E370" t="s">
        <v>57</v>
      </c>
      <c r="F370" t="s">
        <v>583</v>
      </c>
      <c r="G370" t="s">
        <v>464</v>
      </c>
      <c r="H370" t="s">
        <v>208</v>
      </c>
      <c r="I370" t="s">
        <v>38</v>
      </c>
      <c r="J370" t="s">
        <v>47</v>
      </c>
      <c r="K370" s="4">
        <v>32714</v>
      </c>
      <c r="L370" s="4">
        <v>69</v>
      </c>
      <c r="M370" s="4">
        <v>3756</v>
      </c>
      <c r="N370" s="4">
        <v>30764</v>
      </c>
      <c r="O370" s="4">
        <v>15</v>
      </c>
      <c r="P370" s="3">
        <v>1506.6242999999999</v>
      </c>
      <c r="Q370"/>
      <c r="R370"/>
      <c r="S370"/>
      <c r="T370"/>
      <c r="U370"/>
      <c r="V370"/>
      <c r="W370"/>
      <c r="X370"/>
    </row>
    <row r="371" spans="1:24">
      <c r="A371" t="s">
        <v>126</v>
      </c>
      <c r="B371" t="s">
        <v>898</v>
      </c>
      <c r="C371" t="s">
        <v>172</v>
      </c>
      <c r="D371" t="s">
        <v>56</v>
      </c>
      <c r="E371" t="s">
        <v>55</v>
      </c>
      <c r="F371" t="s">
        <v>497</v>
      </c>
      <c r="G371" t="s">
        <v>460</v>
      </c>
      <c r="H371" t="s">
        <v>260</v>
      </c>
      <c r="I371" t="s">
        <v>36</v>
      </c>
      <c r="J371" t="s">
        <v>47</v>
      </c>
      <c r="K371" s="4">
        <v>14799</v>
      </c>
      <c r="L371" s="4">
        <v>59</v>
      </c>
      <c r="M371" s="4">
        <v>1403</v>
      </c>
      <c r="N371" s="4">
        <v>13410</v>
      </c>
      <c r="O371" s="4">
        <v>9</v>
      </c>
      <c r="P371" s="3">
        <v>1693.7603999999999</v>
      </c>
      <c r="Q371"/>
      <c r="R371"/>
      <c r="S371"/>
      <c r="T371"/>
      <c r="U371"/>
      <c r="V371"/>
      <c r="W371"/>
      <c r="X371"/>
    </row>
    <row r="372" spans="1:24">
      <c r="A372" t="s">
        <v>126</v>
      </c>
      <c r="B372" t="s">
        <v>898</v>
      </c>
      <c r="C372" t="s">
        <v>900</v>
      </c>
      <c r="D372" t="s">
        <v>54</v>
      </c>
      <c r="E372" t="s">
        <v>55</v>
      </c>
      <c r="F372" t="s">
        <v>559</v>
      </c>
      <c r="G372" t="s">
        <v>560</v>
      </c>
      <c r="H372" t="s">
        <v>218</v>
      </c>
      <c r="I372" t="s">
        <v>209</v>
      </c>
      <c r="J372" t="s">
        <v>47</v>
      </c>
      <c r="K372" s="4">
        <v>171575</v>
      </c>
      <c r="L372" s="4">
        <v>499</v>
      </c>
      <c r="M372" s="4">
        <v>101487</v>
      </c>
      <c r="N372" s="4">
        <v>136036</v>
      </c>
      <c r="O372" s="4">
        <v>8</v>
      </c>
      <c r="P372" s="3">
        <v>1658.3324</v>
      </c>
      <c r="Q372"/>
      <c r="R372"/>
      <c r="S372"/>
      <c r="T372"/>
      <c r="U372"/>
      <c r="V372"/>
      <c r="W372"/>
      <c r="X372"/>
    </row>
    <row r="373" spans="1:24">
      <c r="A373" t="s">
        <v>126</v>
      </c>
      <c r="B373" t="s">
        <v>898</v>
      </c>
      <c r="C373" t="s">
        <v>901</v>
      </c>
      <c r="D373" t="s">
        <v>56</v>
      </c>
      <c r="E373" t="s">
        <v>55</v>
      </c>
      <c r="F373" t="s">
        <v>482</v>
      </c>
      <c r="G373" t="s">
        <v>483</v>
      </c>
      <c r="H373" t="s">
        <v>384</v>
      </c>
      <c r="I373" t="s">
        <v>36</v>
      </c>
      <c r="J373" t="s">
        <v>48</v>
      </c>
      <c r="K373" s="4">
        <v>20459</v>
      </c>
      <c r="L373" s="4">
        <v>40</v>
      </c>
      <c r="M373" s="4">
        <v>12668</v>
      </c>
      <c r="N373" s="4">
        <v>18613</v>
      </c>
      <c r="O373" s="4">
        <v>4</v>
      </c>
      <c r="P373" s="3">
        <v>1842.6065000000001</v>
      </c>
      <c r="Q373"/>
      <c r="R373"/>
      <c r="S373"/>
      <c r="T373"/>
      <c r="U373"/>
      <c r="V373"/>
      <c r="W373"/>
      <c r="X373"/>
    </row>
    <row r="374" spans="1:24">
      <c r="A374" t="s">
        <v>126</v>
      </c>
      <c r="B374" t="s">
        <v>898</v>
      </c>
      <c r="C374" t="s">
        <v>598</v>
      </c>
      <c r="D374" t="s">
        <v>56</v>
      </c>
      <c r="E374" t="s">
        <v>59</v>
      </c>
      <c r="F374" t="s">
        <v>489</v>
      </c>
      <c r="G374" t="s">
        <v>460</v>
      </c>
      <c r="H374" t="s">
        <v>213</v>
      </c>
      <c r="I374" t="s">
        <v>40</v>
      </c>
      <c r="J374" t="s">
        <v>48</v>
      </c>
      <c r="K374" s="4">
        <v>61442</v>
      </c>
      <c r="L374" s="4">
        <v>190</v>
      </c>
      <c r="M374" s="4">
        <v>17048</v>
      </c>
      <c r="N374" s="4">
        <v>54166</v>
      </c>
      <c r="O374" s="4">
        <v>1</v>
      </c>
      <c r="P374" s="3">
        <v>1609.1498999999999</v>
      </c>
      <c r="Q374"/>
      <c r="R374"/>
      <c r="S374"/>
      <c r="T374"/>
      <c r="U374"/>
      <c r="V374"/>
      <c r="W374"/>
      <c r="X374"/>
    </row>
    <row r="375" spans="1:24">
      <c r="A375" t="s">
        <v>126</v>
      </c>
      <c r="B375" t="s">
        <v>898</v>
      </c>
      <c r="C375" t="s">
        <v>902</v>
      </c>
      <c r="D375" t="s">
        <v>56</v>
      </c>
      <c r="E375" t="s">
        <v>60</v>
      </c>
      <c r="F375" t="s">
        <v>473</v>
      </c>
      <c r="G375" t="s">
        <v>474</v>
      </c>
      <c r="H375" t="s">
        <v>318</v>
      </c>
      <c r="I375" t="s">
        <v>36</v>
      </c>
      <c r="J375" t="s">
        <v>47</v>
      </c>
      <c r="K375" s="4">
        <v>12864</v>
      </c>
      <c r="L375" s="4">
        <v>84</v>
      </c>
      <c r="M375" s="4">
        <v>5549</v>
      </c>
      <c r="N375" s="4">
        <v>11852</v>
      </c>
      <c r="O375" s="4">
        <v>5</v>
      </c>
      <c r="P375" s="3">
        <v>1905.8896999999999</v>
      </c>
      <c r="Q375"/>
      <c r="R375"/>
      <c r="S375"/>
      <c r="T375"/>
      <c r="U375"/>
      <c r="V375"/>
      <c r="W375"/>
      <c r="X375"/>
    </row>
    <row r="376" spans="1:24">
      <c r="A376" t="s">
        <v>126</v>
      </c>
      <c r="B376" t="s">
        <v>898</v>
      </c>
      <c r="C376" t="s">
        <v>903</v>
      </c>
      <c r="D376" t="s">
        <v>58</v>
      </c>
      <c r="E376" t="s">
        <v>55</v>
      </c>
      <c r="F376" t="s">
        <v>539</v>
      </c>
      <c r="G376" t="s">
        <v>468</v>
      </c>
      <c r="H376" t="s">
        <v>422</v>
      </c>
      <c r="I376" t="s">
        <v>36</v>
      </c>
      <c r="J376" t="s">
        <v>47</v>
      </c>
      <c r="K376" s="4">
        <v>9946</v>
      </c>
      <c r="L376" s="4">
        <v>20</v>
      </c>
      <c r="M376" s="4">
        <v>4818</v>
      </c>
      <c r="N376" s="4">
        <v>7382</v>
      </c>
      <c r="O376" s="4">
        <v>3</v>
      </c>
      <c r="P376" s="3">
        <v>1525.9622999999999</v>
      </c>
      <c r="Q376"/>
      <c r="R376"/>
      <c r="S376"/>
      <c r="T376"/>
      <c r="U376"/>
      <c r="V376"/>
      <c r="W376"/>
      <c r="X376"/>
    </row>
    <row r="377" spans="1:24">
      <c r="A377" t="s">
        <v>126</v>
      </c>
      <c r="B377" t="s">
        <v>898</v>
      </c>
      <c r="C377" t="s">
        <v>904</v>
      </c>
      <c r="D377" t="s">
        <v>54</v>
      </c>
      <c r="E377" t="s">
        <v>57</v>
      </c>
      <c r="F377" t="s">
        <v>486</v>
      </c>
      <c r="G377" t="s">
        <v>487</v>
      </c>
      <c r="H377" t="s">
        <v>323</v>
      </c>
      <c r="I377" t="s">
        <v>42</v>
      </c>
      <c r="J377" t="s">
        <v>47</v>
      </c>
      <c r="K377" s="4">
        <v>16151</v>
      </c>
      <c r="L377" s="4">
        <v>54</v>
      </c>
      <c r="M377" s="4">
        <v>4360</v>
      </c>
      <c r="N377" s="4">
        <v>11358</v>
      </c>
      <c r="O377" s="4">
        <v>3</v>
      </c>
      <c r="P377" s="3">
        <v>1706.2243000000001</v>
      </c>
      <c r="Q377"/>
      <c r="R377"/>
      <c r="S377"/>
      <c r="T377"/>
      <c r="U377"/>
      <c r="V377"/>
      <c r="W377"/>
      <c r="X377"/>
    </row>
    <row r="378" spans="1:24">
      <c r="A378" t="s">
        <v>126</v>
      </c>
      <c r="B378" t="s">
        <v>898</v>
      </c>
      <c r="C378" t="s">
        <v>905</v>
      </c>
      <c r="D378" t="s">
        <v>54</v>
      </c>
      <c r="E378" t="s">
        <v>60</v>
      </c>
      <c r="F378" t="s">
        <v>482</v>
      </c>
      <c r="G378" t="s">
        <v>483</v>
      </c>
      <c r="H378" t="s">
        <v>330</v>
      </c>
      <c r="I378" t="s">
        <v>38</v>
      </c>
      <c r="J378" t="s">
        <v>47</v>
      </c>
      <c r="K378" s="4">
        <v>20486</v>
      </c>
      <c r="L378" s="4">
        <v>42</v>
      </c>
      <c r="M378" s="4">
        <v>14583</v>
      </c>
      <c r="N378" s="4">
        <v>19860</v>
      </c>
      <c r="O378" s="4">
        <v>2</v>
      </c>
      <c r="P378" s="3">
        <v>1718.5137999999999</v>
      </c>
      <c r="Q378"/>
      <c r="R378"/>
      <c r="S378"/>
      <c r="T378"/>
      <c r="U378"/>
      <c r="V378"/>
      <c r="W378"/>
      <c r="X378"/>
    </row>
    <row r="379" spans="1:24">
      <c r="A379" t="s">
        <v>126</v>
      </c>
      <c r="B379" t="s">
        <v>525</v>
      </c>
      <c r="C379" t="s">
        <v>906</v>
      </c>
      <c r="D379" t="s">
        <v>54</v>
      </c>
      <c r="E379" t="s">
        <v>57</v>
      </c>
      <c r="F379" t="s">
        <v>480</v>
      </c>
      <c r="G379" t="s">
        <v>460</v>
      </c>
      <c r="H379" t="s">
        <v>365</v>
      </c>
      <c r="I379" t="s">
        <v>36</v>
      </c>
      <c r="J379" t="s">
        <v>47</v>
      </c>
      <c r="K379" s="4">
        <v>61474</v>
      </c>
      <c r="L379" s="4">
        <v>250</v>
      </c>
      <c r="M379" s="4">
        <v>31245</v>
      </c>
      <c r="N379" s="4">
        <v>49089</v>
      </c>
      <c r="O379" s="4">
        <v>15</v>
      </c>
      <c r="P379" s="3">
        <v>2189.3413</v>
      </c>
      <c r="Q379"/>
      <c r="R379"/>
      <c r="S379"/>
      <c r="T379"/>
      <c r="U379"/>
      <c r="V379"/>
      <c r="W379"/>
      <c r="X379"/>
    </row>
    <row r="380" spans="1:24">
      <c r="A380" t="s">
        <v>126</v>
      </c>
      <c r="B380" t="s">
        <v>525</v>
      </c>
      <c r="C380" t="s">
        <v>907</v>
      </c>
      <c r="D380" t="s">
        <v>54</v>
      </c>
      <c r="E380" t="s">
        <v>59</v>
      </c>
      <c r="F380" t="s">
        <v>547</v>
      </c>
      <c r="G380" t="s">
        <v>460</v>
      </c>
      <c r="H380" t="s">
        <v>228</v>
      </c>
      <c r="I380" t="s">
        <v>38</v>
      </c>
      <c r="J380" t="s">
        <v>47</v>
      </c>
      <c r="K380" s="4">
        <v>213699</v>
      </c>
      <c r="L380" s="4">
        <v>270</v>
      </c>
      <c r="M380" s="4">
        <v>18395</v>
      </c>
      <c r="N380" s="4">
        <v>164487</v>
      </c>
      <c r="O380" s="4">
        <v>4</v>
      </c>
      <c r="P380" s="3">
        <v>2194.9870999999998</v>
      </c>
      <c r="Q380"/>
      <c r="R380"/>
      <c r="S380"/>
      <c r="T380"/>
      <c r="U380"/>
      <c r="V380"/>
      <c r="W380"/>
      <c r="X380"/>
    </row>
    <row r="381" spans="1:24">
      <c r="A381" t="s">
        <v>126</v>
      </c>
      <c r="B381" t="s">
        <v>908</v>
      </c>
      <c r="C381" t="s">
        <v>909</v>
      </c>
      <c r="D381" t="s">
        <v>54</v>
      </c>
      <c r="E381" t="s">
        <v>55</v>
      </c>
      <c r="F381" t="s">
        <v>482</v>
      </c>
      <c r="G381" t="s">
        <v>483</v>
      </c>
      <c r="H381" t="s">
        <v>208</v>
      </c>
      <c r="I381" t="s">
        <v>36</v>
      </c>
      <c r="J381" t="s">
        <v>47</v>
      </c>
      <c r="K381" s="4">
        <v>10012</v>
      </c>
      <c r="L381" s="4">
        <v>25</v>
      </c>
      <c r="M381" s="4">
        <v>5734</v>
      </c>
      <c r="N381" s="4">
        <v>9413</v>
      </c>
      <c r="O381" s="4">
        <v>4</v>
      </c>
      <c r="P381" s="3">
        <v>1805.9260999999999</v>
      </c>
      <c r="Q381"/>
      <c r="R381"/>
      <c r="S381"/>
      <c r="T381"/>
      <c r="U381"/>
      <c r="V381"/>
      <c r="W381"/>
      <c r="X381"/>
    </row>
    <row r="382" spans="1:24">
      <c r="A382" t="s">
        <v>126</v>
      </c>
      <c r="B382" t="s">
        <v>910</v>
      </c>
      <c r="C382" t="s">
        <v>911</v>
      </c>
      <c r="D382" t="s">
        <v>54</v>
      </c>
      <c r="E382" t="s">
        <v>57</v>
      </c>
      <c r="F382" t="s">
        <v>467</v>
      </c>
      <c r="G382" t="s">
        <v>468</v>
      </c>
      <c r="H382" t="s">
        <v>231</v>
      </c>
      <c r="I382" t="s">
        <v>36</v>
      </c>
      <c r="J382" t="s">
        <v>47</v>
      </c>
      <c r="K382" s="4">
        <v>85280</v>
      </c>
      <c r="L382" s="4">
        <v>211</v>
      </c>
      <c r="M382" s="4">
        <v>35860</v>
      </c>
      <c r="N382" s="4">
        <v>79837</v>
      </c>
      <c r="O382" s="4">
        <v>5</v>
      </c>
      <c r="P382" s="3">
        <v>2217.9321</v>
      </c>
      <c r="Q382"/>
      <c r="R382"/>
      <c r="S382"/>
      <c r="T382"/>
      <c r="U382"/>
      <c r="V382"/>
      <c r="W382"/>
      <c r="X382"/>
    </row>
    <row r="383" spans="1:24">
      <c r="A383" t="s">
        <v>126</v>
      </c>
      <c r="B383" t="s">
        <v>817</v>
      </c>
      <c r="C383" t="s">
        <v>912</v>
      </c>
      <c r="D383" t="s">
        <v>56</v>
      </c>
      <c r="E383" t="s">
        <v>60</v>
      </c>
      <c r="F383" t="s">
        <v>471</v>
      </c>
      <c r="G383" t="s">
        <v>464</v>
      </c>
      <c r="H383" t="s">
        <v>397</v>
      </c>
      <c r="I383" t="s">
        <v>36</v>
      </c>
      <c r="J383" t="s">
        <v>49</v>
      </c>
      <c r="K383" s="4">
        <v>12436</v>
      </c>
      <c r="L383" s="4">
        <v>84</v>
      </c>
      <c r="M383" s="4">
        <v>7055</v>
      </c>
      <c r="N383" s="4">
        <v>11497</v>
      </c>
      <c r="O383" s="4">
        <v>9</v>
      </c>
      <c r="P383" s="3">
        <v>1720.8701000000001</v>
      </c>
      <c r="Q383"/>
      <c r="R383"/>
      <c r="S383"/>
      <c r="T383"/>
      <c r="U383"/>
      <c r="V383"/>
      <c r="W383"/>
      <c r="X383"/>
    </row>
    <row r="384" spans="1:24">
      <c r="A384" t="s">
        <v>126</v>
      </c>
      <c r="B384" t="s">
        <v>817</v>
      </c>
      <c r="C384" t="s">
        <v>913</v>
      </c>
      <c r="D384" t="s">
        <v>58</v>
      </c>
      <c r="E384" t="s">
        <v>57</v>
      </c>
      <c r="F384" t="s">
        <v>547</v>
      </c>
      <c r="G384" t="s">
        <v>460</v>
      </c>
      <c r="H384" t="s">
        <v>208</v>
      </c>
      <c r="I384" t="s">
        <v>207</v>
      </c>
      <c r="J384" t="s">
        <v>47</v>
      </c>
      <c r="K384" s="4">
        <v>12459</v>
      </c>
      <c r="L384" s="4">
        <v>84</v>
      </c>
      <c r="M384" s="4">
        <v>7290</v>
      </c>
      <c r="N384" s="4">
        <v>11731</v>
      </c>
      <c r="O384" s="4">
        <v>14</v>
      </c>
      <c r="P384" s="3">
        <v>1593.0103999999999</v>
      </c>
      <c r="Q384"/>
      <c r="R384"/>
      <c r="S384"/>
      <c r="T384"/>
      <c r="U384"/>
      <c r="V384"/>
      <c r="W384"/>
      <c r="X384"/>
    </row>
    <row r="385" spans="1:24">
      <c r="A385" t="s">
        <v>126</v>
      </c>
      <c r="B385" t="s">
        <v>817</v>
      </c>
      <c r="C385" t="s">
        <v>914</v>
      </c>
      <c r="D385" t="s">
        <v>54</v>
      </c>
      <c r="E385" t="s">
        <v>57</v>
      </c>
      <c r="F385" t="s">
        <v>482</v>
      </c>
      <c r="G385" t="s">
        <v>483</v>
      </c>
      <c r="H385" t="s">
        <v>254</v>
      </c>
      <c r="I385" t="s">
        <v>40</v>
      </c>
      <c r="J385" t="s">
        <v>47</v>
      </c>
      <c r="K385" s="4">
        <v>61848</v>
      </c>
      <c r="L385" s="4">
        <v>213</v>
      </c>
      <c r="M385" s="4">
        <v>6581</v>
      </c>
      <c r="N385" s="4">
        <v>44917</v>
      </c>
      <c r="O385" s="4">
        <v>15</v>
      </c>
      <c r="P385" s="3">
        <v>1819.8936000000001</v>
      </c>
      <c r="Q385"/>
      <c r="R385"/>
      <c r="S385"/>
      <c r="T385"/>
      <c r="U385"/>
      <c r="V385"/>
      <c r="W385"/>
      <c r="X385"/>
    </row>
    <row r="386" spans="1:24">
      <c r="A386" t="s">
        <v>126</v>
      </c>
      <c r="B386" t="s">
        <v>817</v>
      </c>
      <c r="C386" t="s">
        <v>915</v>
      </c>
      <c r="D386" t="s">
        <v>56</v>
      </c>
      <c r="E386" t="s">
        <v>60</v>
      </c>
      <c r="F386" t="s">
        <v>482</v>
      </c>
      <c r="G386" t="s">
        <v>483</v>
      </c>
      <c r="H386" t="s">
        <v>292</v>
      </c>
      <c r="I386" t="s">
        <v>36</v>
      </c>
      <c r="J386" t="s">
        <v>48</v>
      </c>
      <c r="K386" s="4">
        <v>32845</v>
      </c>
      <c r="L386" s="4">
        <v>164</v>
      </c>
      <c r="M386" s="4">
        <v>16163</v>
      </c>
      <c r="N386" s="4">
        <v>30368</v>
      </c>
      <c r="O386" s="4">
        <v>5</v>
      </c>
      <c r="P386" s="3">
        <v>1910.4367</v>
      </c>
      <c r="Q386"/>
      <c r="R386"/>
      <c r="S386"/>
      <c r="T386"/>
      <c r="U386"/>
      <c r="V386"/>
      <c r="W386"/>
      <c r="X386"/>
    </row>
    <row r="387" spans="1:24">
      <c r="A387" t="s">
        <v>126</v>
      </c>
      <c r="B387" t="s">
        <v>817</v>
      </c>
      <c r="C387" t="s">
        <v>916</v>
      </c>
      <c r="D387" t="s">
        <v>56</v>
      </c>
      <c r="E387" t="s">
        <v>55</v>
      </c>
      <c r="F387" t="s">
        <v>467</v>
      </c>
      <c r="G387" t="s">
        <v>468</v>
      </c>
      <c r="H387" t="s">
        <v>388</v>
      </c>
      <c r="I387" t="s">
        <v>42</v>
      </c>
      <c r="J387" t="s">
        <v>47</v>
      </c>
      <c r="K387" s="4">
        <v>14932</v>
      </c>
      <c r="L387" s="4">
        <v>90</v>
      </c>
      <c r="M387" s="4">
        <v>8947</v>
      </c>
      <c r="N387" s="4">
        <v>14256</v>
      </c>
      <c r="O387" s="4">
        <v>3</v>
      </c>
      <c r="P387" s="3">
        <v>1724.4177</v>
      </c>
      <c r="Q387"/>
      <c r="R387"/>
      <c r="S387"/>
      <c r="T387"/>
      <c r="U387"/>
      <c r="V387"/>
      <c r="W387"/>
      <c r="X387"/>
    </row>
    <row r="388" spans="1:24">
      <c r="A388" t="s">
        <v>126</v>
      </c>
      <c r="B388" t="s">
        <v>817</v>
      </c>
      <c r="C388" t="s">
        <v>917</v>
      </c>
      <c r="D388" t="s">
        <v>56</v>
      </c>
      <c r="E388" t="s">
        <v>57</v>
      </c>
      <c r="F388" t="s">
        <v>467</v>
      </c>
      <c r="G388" t="s">
        <v>468</v>
      </c>
      <c r="H388" t="s">
        <v>213</v>
      </c>
      <c r="I388" t="s">
        <v>448</v>
      </c>
      <c r="J388" t="s">
        <v>47</v>
      </c>
      <c r="K388" s="4">
        <v>229908</v>
      </c>
      <c r="L388" s="4">
        <v>489</v>
      </c>
      <c r="M388" s="4">
        <v>98259</v>
      </c>
      <c r="N388" s="4">
        <v>212073</v>
      </c>
      <c r="O388" s="4">
        <v>4</v>
      </c>
      <c r="P388" s="3">
        <v>1464.3489</v>
      </c>
      <c r="Q388"/>
      <c r="R388"/>
      <c r="S388"/>
      <c r="T388"/>
      <c r="U388"/>
      <c r="V388"/>
      <c r="W388"/>
      <c r="X388"/>
    </row>
    <row r="389" spans="1:24">
      <c r="A389" t="s">
        <v>126</v>
      </c>
      <c r="B389" t="s">
        <v>817</v>
      </c>
      <c r="C389" t="s">
        <v>918</v>
      </c>
      <c r="D389" t="s">
        <v>56</v>
      </c>
      <c r="E389" t="s">
        <v>59</v>
      </c>
      <c r="F389" t="s">
        <v>467</v>
      </c>
      <c r="G389" t="s">
        <v>468</v>
      </c>
      <c r="H389" t="s">
        <v>215</v>
      </c>
      <c r="I389" t="s">
        <v>36</v>
      </c>
      <c r="J389" t="s">
        <v>49</v>
      </c>
      <c r="K389" s="4">
        <v>598460</v>
      </c>
      <c r="L389" s="4">
        <v>1654</v>
      </c>
      <c r="M389" s="4">
        <v>201153</v>
      </c>
      <c r="N389" s="4">
        <v>557263</v>
      </c>
      <c r="O389" s="4">
        <v>13</v>
      </c>
      <c r="P389" s="3">
        <v>1689.7445</v>
      </c>
      <c r="Q389"/>
      <c r="R389"/>
      <c r="S389"/>
      <c r="T389"/>
      <c r="U389"/>
      <c r="V389"/>
      <c r="W389"/>
      <c r="X389"/>
    </row>
    <row r="390" spans="1:24">
      <c r="A390" t="s">
        <v>126</v>
      </c>
      <c r="B390" t="s">
        <v>817</v>
      </c>
      <c r="C390" t="s">
        <v>919</v>
      </c>
      <c r="D390" t="s">
        <v>54</v>
      </c>
      <c r="E390" t="s">
        <v>57</v>
      </c>
      <c r="F390" t="s">
        <v>482</v>
      </c>
      <c r="G390" t="s">
        <v>483</v>
      </c>
      <c r="H390" t="s">
        <v>242</v>
      </c>
      <c r="I390" t="s">
        <v>36</v>
      </c>
      <c r="J390" t="s">
        <v>47</v>
      </c>
      <c r="K390" s="4">
        <v>33069</v>
      </c>
      <c r="L390" s="4">
        <v>140</v>
      </c>
      <c r="M390" s="4">
        <v>17744</v>
      </c>
      <c r="N390" s="4">
        <v>31192</v>
      </c>
      <c r="O390" s="4">
        <v>14</v>
      </c>
      <c r="P390" s="3">
        <v>1543.3106</v>
      </c>
      <c r="Q390"/>
      <c r="R390"/>
      <c r="S390"/>
      <c r="T390"/>
      <c r="U390"/>
      <c r="V390"/>
      <c r="W390"/>
      <c r="X390"/>
    </row>
    <row r="391" spans="1:24">
      <c r="A391" t="s">
        <v>126</v>
      </c>
      <c r="B391" t="s">
        <v>920</v>
      </c>
      <c r="C391" t="s">
        <v>921</v>
      </c>
      <c r="D391" t="s">
        <v>56</v>
      </c>
      <c r="E391" t="s">
        <v>60</v>
      </c>
      <c r="F391" t="s">
        <v>467</v>
      </c>
      <c r="G391" t="s">
        <v>468</v>
      </c>
      <c r="H391" t="s">
        <v>234</v>
      </c>
      <c r="I391" t="s">
        <v>36</v>
      </c>
      <c r="J391" t="s">
        <v>48</v>
      </c>
      <c r="K391" s="4">
        <v>62040</v>
      </c>
      <c r="L391" s="4">
        <v>174</v>
      </c>
      <c r="M391" s="4">
        <v>43853</v>
      </c>
      <c r="N391" s="4">
        <v>58642</v>
      </c>
      <c r="O391" s="4">
        <v>15</v>
      </c>
      <c r="P391" s="3">
        <v>2139.0657999999999</v>
      </c>
      <c r="Q391"/>
      <c r="R391"/>
      <c r="S391"/>
      <c r="T391"/>
      <c r="U391"/>
      <c r="V391"/>
      <c r="W391"/>
      <c r="X391"/>
    </row>
    <row r="392" spans="1:24">
      <c r="A392" t="s">
        <v>126</v>
      </c>
      <c r="B392" t="s">
        <v>920</v>
      </c>
      <c r="C392" t="s">
        <v>922</v>
      </c>
      <c r="D392" t="s">
        <v>56</v>
      </c>
      <c r="E392" t="s">
        <v>60</v>
      </c>
      <c r="F392" t="s">
        <v>480</v>
      </c>
      <c r="G392" t="s">
        <v>460</v>
      </c>
      <c r="H392" t="s">
        <v>279</v>
      </c>
      <c r="I392" t="s">
        <v>36</v>
      </c>
      <c r="J392" t="s">
        <v>47</v>
      </c>
      <c r="K392" s="4">
        <v>8716</v>
      </c>
      <c r="L392" s="4">
        <v>40</v>
      </c>
      <c r="M392" s="4">
        <v>6490</v>
      </c>
      <c r="N392" s="4">
        <v>7862</v>
      </c>
      <c r="O392" s="4">
        <v>2</v>
      </c>
      <c r="P392" s="3">
        <v>2100.8200999999999</v>
      </c>
      <c r="Q392"/>
      <c r="R392"/>
      <c r="S392"/>
      <c r="T392"/>
      <c r="U392"/>
      <c r="V392"/>
      <c r="W392"/>
      <c r="X392"/>
    </row>
    <row r="393" spans="1:24">
      <c r="A393" t="s">
        <v>126</v>
      </c>
      <c r="B393" t="s">
        <v>920</v>
      </c>
      <c r="C393" t="s">
        <v>923</v>
      </c>
      <c r="D393" t="s">
        <v>54</v>
      </c>
      <c r="E393" t="s">
        <v>57</v>
      </c>
      <c r="F393" t="s">
        <v>463</v>
      </c>
      <c r="G393" t="s">
        <v>464</v>
      </c>
      <c r="H393" t="s">
        <v>254</v>
      </c>
      <c r="I393" t="s">
        <v>36</v>
      </c>
      <c r="J393" t="s">
        <v>47</v>
      </c>
      <c r="K393" s="4">
        <v>254780</v>
      </c>
      <c r="L393" s="4">
        <v>699</v>
      </c>
      <c r="M393" s="4">
        <v>19169</v>
      </c>
      <c r="N393" s="4">
        <v>182583</v>
      </c>
      <c r="O393" s="4">
        <v>4</v>
      </c>
      <c r="P393" s="3">
        <v>1561.0219</v>
      </c>
      <c r="Q393"/>
      <c r="R393"/>
      <c r="S393"/>
      <c r="T393"/>
      <c r="U393"/>
      <c r="V393"/>
      <c r="W393"/>
      <c r="X393"/>
    </row>
    <row r="394" spans="1:24">
      <c r="A394" t="s">
        <v>126</v>
      </c>
      <c r="B394" t="s">
        <v>924</v>
      </c>
      <c r="C394" t="s">
        <v>925</v>
      </c>
      <c r="D394" t="s">
        <v>54</v>
      </c>
      <c r="E394" t="s">
        <v>55</v>
      </c>
      <c r="F394" t="s">
        <v>612</v>
      </c>
      <c r="G394" t="s">
        <v>613</v>
      </c>
      <c r="H394" t="s">
        <v>438</v>
      </c>
      <c r="I394" t="s">
        <v>43</v>
      </c>
      <c r="J394" t="s">
        <v>47</v>
      </c>
      <c r="K394" s="4">
        <v>16227</v>
      </c>
      <c r="L394" s="4">
        <v>40</v>
      </c>
      <c r="M394" s="4">
        <v>9438</v>
      </c>
      <c r="N394" s="4">
        <v>15611</v>
      </c>
      <c r="O394" s="4">
        <v>3</v>
      </c>
      <c r="P394" s="3">
        <v>1991.9438</v>
      </c>
      <c r="Q394"/>
      <c r="R394"/>
      <c r="S394"/>
      <c r="T394"/>
      <c r="U394"/>
      <c r="V394"/>
      <c r="W394"/>
      <c r="X394"/>
    </row>
    <row r="395" spans="1:24">
      <c r="A395" t="s">
        <v>126</v>
      </c>
      <c r="B395" t="s">
        <v>926</v>
      </c>
      <c r="C395" t="s">
        <v>927</v>
      </c>
      <c r="D395" t="s">
        <v>56</v>
      </c>
      <c r="E395" t="s">
        <v>55</v>
      </c>
      <c r="F395" t="s">
        <v>473</v>
      </c>
      <c r="G395" t="s">
        <v>474</v>
      </c>
      <c r="H395" t="s">
        <v>310</v>
      </c>
      <c r="I395" t="s">
        <v>36</v>
      </c>
      <c r="J395" t="s">
        <v>47</v>
      </c>
      <c r="K395" s="4">
        <v>88499</v>
      </c>
      <c r="L395" s="4">
        <v>186</v>
      </c>
      <c r="M395" s="4">
        <v>18950</v>
      </c>
      <c r="N395" s="4">
        <v>71458</v>
      </c>
      <c r="O395" s="4">
        <v>5</v>
      </c>
      <c r="P395" s="3">
        <v>1803.1397999999999</v>
      </c>
      <c r="Q395"/>
      <c r="R395"/>
      <c r="S395"/>
      <c r="T395"/>
      <c r="U395"/>
      <c r="V395"/>
      <c r="W395"/>
      <c r="X395"/>
    </row>
    <row r="396" spans="1:24">
      <c r="A396" t="s">
        <v>126</v>
      </c>
      <c r="B396" t="s">
        <v>928</v>
      </c>
      <c r="C396" t="s">
        <v>929</v>
      </c>
      <c r="D396" t="s">
        <v>56</v>
      </c>
      <c r="E396" t="s">
        <v>60</v>
      </c>
      <c r="F396" t="s">
        <v>473</v>
      </c>
      <c r="G396" t="s">
        <v>474</v>
      </c>
      <c r="H396" t="s">
        <v>215</v>
      </c>
      <c r="I396" t="s">
        <v>40</v>
      </c>
      <c r="J396" t="s">
        <v>47</v>
      </c>
      <c r="K396" s="4">
        <v>556152</v>
      </c>
      <c r="L396" s="4">
        <v>1867</v>
      </c>
      <c r="M396" s="4">
        <v>221833</v>
      </c>
      <c r="N396" s="4">
        <v>480882</v>
      </c>
      <c r="O396" s="4">
        <v>7</v>
      </c>
      <c r="P396" s="3">
        <v>1818.1</v>
      </c>
      <c r="Q396"/>
      <c r="R396"/>
      <c r="S396"/>
      <c r="T396"/>
      <c r="U396"/>
      <c r="V396"/>
      <c r="W396"/>
      <c r="X396"/>
    </row>
    <row r="397" spans="1:24">
      <c r="A397" t="s">
        <v>126</v>
      </c>
      <c r="B397" t="s">
        <v>928</v>
      </c>
      <c r="C397" t="s">
        <v>930</v>
      </c>
      <c r="D397" t="s">
        <v>54</v>
      </c>
      <c r="E397" t="s">
        <v>55</v>
      </c>
      <c r="F397" t="s">
        <v>497</v>
      </c>
      <c r="G397" t="s">
        <v>460</v>
      </c>
      <c r="H397" t="s">
        <v>231</v>
      </c>
      <c r="I397" t="s">
        <v>36</v>
      </c>
      <c r="J397" t="s">
        <v>47</v>
      </c>
      <c r="K397" s="4">
        <v>104814</v>
      </c>
      <c r="L397" s="4">
        <v>369</v>
      </c>
      <c r="M397" s="4">
        <v>55984</v>
      </c>
      <c r="N397" s="4">
        <v>99432</v>
      </c>
      <c r="O397" s="4">
        <v>5</v>
      </c>
      <c r="P397" s="3">
        <v>1942.8475000000001</v>
      </c>
      <c r="Q397"/>
      <c r="R397"/>
      <c r="S397"/>
      <c r="T397"/>
      <c r="U397"/>
      <c r="V397"/>
      <c r="W397"/>
      <c r="X397"/>
    </row>
    <row r="398" spans="1:24">
      <c r="A398" t="s">
        <v>126</v>
      </c>
      <c r="B398" t="s">
        <v>928</v>
      </c>
      <c r="C398" t="s">
        <v>931</v>
      </c>
      <c r="D398" t="s">
        <v>56</v>
      </c>
      <c r="E398" t="s">
        <v>60</v>
      </c>
      <c r="F398" t="s">
        <v>467</v>
      </c>
      <c r="G398" t="s">
        <v>468</v>
      </c>
      <c r="H398" t="s">
        <v>439</v>
      </c>
      <c r="I398" t="s">
        <v>43</v>
      </c>
      <c r="J398" t="s">
        <v>47</v>
      </c>
      <c r="K398" s="4">
        <v>15047</v>
      </c>
      <c r="L398" s="4">
        <v>84</v>
      </c>
      <c r="M398" s="4">
        <v>5653</v>
      </c>
      <c r="N398" s="4">
        <v>14459</v>
      </c>
      <c r="O398" s="4">
        <v>4</v>
      </c>
      <c r="P398" s="3">
        <v>2127.4960000000001</v>
      </c>
      <c r="Q398"/>
      <c r="R398"/>
      <c r="S398"/>
      <c r="T398"/>
      <c r="U398"/>
      <c r="V398"/>
      <c r="W398"/>
      <c r="X398"/>
    </row>
    <row r="399" spans="1:24">
      <c r="A399" t="s">
        <v>126</v>
      </c>
      <c r="B399" t="s">
        <v>928</v>
      </c>
      <c r="C399" t="s">
        <v>932</v>
      </c>
      <c r="D399" t="s">
        <v>56</v>
      </c>
      <c r="E399" t="s">
        <v>57</v>
      </c>
      <c r="F399" t="s">
        <v>473</v>
      </c>
      <c r="G399" t="s">
        <v>474</v>
      </c>
      <c r="H399" t="s">
        <v>228</v>
      </c>
      <c r="I399" t="s">
        <v>445</v>
      </c>
      <c r="J399" t="s">
        <v>47</v>
      </c>
      <c r="K399" s="4">
        <v>15200</v>
      </c>
      <c r="L399" s="4">
        <v>60</v>
      </c>
      <c r="M399" s="4">
        <v>5375</v>
      </c>
      <c r="N399" s="4">
        <v>12040</v>
      </c>
      <c r="O399" s="4">
        <v>4</v>
      </c>
      <c r="P399" s="3">
        <v>1970.3572999999999</v>
      </c>
      <c r="Q399"/>
      <c r="R399"/>
      <c r="S399"/>
      <c r="T399"/>
      <c r="U399"/>
      <c r="V399"/>
      <c r="W399"/>
      <c r="X399"/>
    </row>
    <row r="400" spans="1:24">
      <c r="A400" t="s">
        <v>128</v>
      </c>
      <c r="B400" t="s">
        <v>933</v>
      </c>
      <c r="D400" t="s">
        <v>54</v>
      </c>
      <c r="E400" t="s">
        <v>55</v>
      </c>
      <c r="F400" t="s">
        <v>497</v>
      </c>
      <c r="G400" t="s">
        <v>460</v>
      </c>
      <c r="H400" t="s">
        <v>278</v>
      </c>
      <c r="I400" t="s">
        <v>44</v>
      </c>
      <c r="J400" t="s">
        <v>47</v>
      </c>
      <c r="K400" s="4">
        <v>14553</v>
      </c>
      <c r="L400" s="4">
        <v>47</v>
      </c>
      <c r="M400" s="4">
        <v>6119</v>
      </c>
      <c r="N400" s="4">
        <v>12505</v>
      </c>
      <c r="O400" s="4">
        <v>11</v>
      </c>
      <c r="P400" s="3">
        <v>6968.0005000000001</v>
      </c>
      <c r="Q400"/>
      <c r="R400"/>
      <c r="S400"/>
      <c r="T400"/>
      <c r="U400"/>
      <c r="V400"/>
      <c r="W400"/>
      <c r="X400"/>
    </row>
    <row r="401" spans="1:24">
      <c r="A401" t="s">
        <v>128</v>
      </c>
      <c r="B401" t="s">
        <v>934</v>
      </c>
      <c r="D401" t="s">
        <v>54</v>
      </c>
      <c r="E401" t="s">
        <v>59</v>
      </c>
      <c r="F401" t="s">
        <v>471</v>
      </c>
      <c r="G401" t="s">
        <v>464</v>
      </c>
      <c r="H401" t="s">
        <v>242</v>
      </c>
      <c r="I401" t="s">
        <v>36</v>
      </c>
      <c r="J401" t="s">
        <v>47</v>
      </c>
      <c r="K401" s="4">
        <v>15326</v>
      </c>
      <c r="L401" s="4">
        <v>68</v>
      </c>
      <c r="M401" s="4">
        <v>7941</v>
      </c>
      <c r="N401" s="4">
        <v>14331</v>
      </c>
      <c r="O401" s="4">
        <v>8</v>
      </c>
      <c r="P401" s="3">
        <v>6943.5158000000001</v>
      </c>
      <c r="Q401"/>
      <c r="R401"/>
      <c r="S401"/>
      <c r="T401"/>
      <c r="U401"/>
      <c r="V401"/>
      <c r="W401"/>
      <c r="X401"/>
    </row>
    <row r="402" spans="1:24">
      <c r="A402" t="s">
        <v>128</v>
      </c>
      <c r="B402" t="s">
        <v>935</v>
      </c>
      <c r="D402" t="s">
        <v>56</v>
      </c>
      <c r="E402" t="s">
        <v>60</v>
      </c>
      <c r="F402" t="s">
        <v>467</v>
      </c>
      <c r="G402" t="s">
        <v>468</v>
      </c>
      <c r="H402" t="s">
        <v>254</v>
      </c>
      <c r="I402" t="s">
        <v>40</v>
      </c>
      <c r="J402" t="s">
        <v>48</v>
      </c>
      <c r="K402" s="4">
        <v>26439</v>
      </c>
      <c r="L402" s="4">
        <v>95</v>
      </c>
      <c r="M402" s="4">
        <v>7093</v>
      </c>
      <c r="N402" s="4">
        <v>19681</v>
      </c>
      <c r="O402" s="4">
        <v>7</v>
      </c>
      <c r="P402" s="3">
        <v>5330.7820000000002</v>
      </c>
      <c r="Q402"/>
      <c r="R402"/>
      <c r="S402"/>
      <c r="T402"/>
      <c r="U402"/>
      <c r="V402"/>
      <c r="W402"/>
      <c r="X402"/>
    </row>
    <row r="403" spans="1:24">
      <c r="A403" t="s">
        <v>128</v>
      </c>
      <c r="B403" t="s">
        <v>936</v>
      </c>
      <c r="D403" t="s">
        <v>56</v>
      </c>
      <c r="E403" t="s">
        <v>57</v>
      </c>
      <c r="F403" t="s">
        <v>482</v>
      </c>
      <c r="G403" t="s">
        <v>483</v>
      </c>
      <c r="H403" t="s">
        <v>231</v>
      </c>
      <c r="I403" t="s">
        <v>38</v>
      </c>
      <c r="J403" t="s">
        <v>48</v>
      </c>
      <c r="K403" s="4">
        <v>109372</v>
      </c>
      <c r="L403" s="4">
        <v>364</v>
      </c>
      <c r="M403" s="4">
        <v>58336</v>
      </c>
      <c r="N403" s="4">
        <v>103569</v>
      </c>
      <c r="O403" s="4">
        <v>21</v>
      </c>
      <c r="P403" s="3">
        <v>6928.0061999999998</v>
      </c>
      <c r="Q403"/>
      <c r="R403"/>
      <c r="S403"/>
      <c r="T403"/>
      <c r="U403"/>
      <c r="V403"/>
      <c r="W403"/>
      <c r="X403"/>
    </row>
    <row r="404" spans="1:24">
      <c r="A404" t="s">
        <v>128</v>
      </c>
      <c r="B404" t="s">
        <v>937</v>
      </c>
      <c r="D404" t="s">
        <v>54</v>
      </c>
      <c r="E404" t="s">
        <v>60</v>
      </c>
      <c r="F404" t="s">
        <v>499</v>
      </c>
      <c r="G404" t="s">
        <v>487</v>
      </c>
      <c r="H404" t="s">
        <v>254</v>
      </c>
      <c r="I404" t="s">
        <v>36</v>
      </c>
      <c r="J404" t="s">
        <v>47</v>
      </c>
      <c r="K404" s="4">
        <v>96508</v>
      </c>
      <c r="L404" s="4">
        <v>351</v>
      </c>
      <c r="M404" s="4">
        <v>47065</v>
      </c>
      <c r="N404" s="4">
        <v>73640</v>
      </c>
      <c r="O404" s="4">
        <v>15</v>
      </c>
      <c r="P404" s="3">
        <v>5310.7695999999996</v>
      </c>
      <c r="Q404"/>
      <c r="R404"/>
      <c r="S404"/>
      <c r="T404"/>
      <c r="U404"/>
      <c r="V404"/>
      <c r="W404"/>
      <c r="X404"/>
    </row>
    <row r="405" spans="1:24">
      <c r="A405" t="s">
        <v>128</v>
      </c>
      <c r="B405" t="s">
        <v>938</v>
      </c>
      <c r="D405" t="s">
        <v>54</v>
      </c>
      <c r="E405" t="s">
        <v>55</v>
      </c>
      <c r="F405" t="s">
        <v>497</v>
      </c>
      <c r="G405" t="s">
        <v>460</v>
      </c>
      <c r="H405" t="s">
        <v>231</v>
      </c>
      <c r="I405" t="s">
        <v>42</v>
      </c>
      <c r="J405" t="s">
        <v>47</v>
      </c>
      <c r="K405" s="4">
        <v>14581</v>
      </c>
      <c r="L405" s="4">
        <v>45</v>
      </c>
      <c r="M405" s="4">
        <v>3821</v>
      </c>
      <c r="N405" s="4">
        <v>12741</v>
      </c>
      <c r="O405" s="4">
        <v>6</v>
      </c>
      <c r="P405" s="3">
        <v>5296.9700999999995</v>
      </c>
      <c r="Q405"/>
      <c r="R405"/>
      <c r="S405"/>
      <c r="T405"/>
      <c r="U405"/>
      <c r="V405"/>
      <c r="W405"/>
      <c r="X405"/>
    </row>
    <row r="406" spans="1:24">
      <c r="A406" t="s">
        <v>130</v>
      </c>
      <c r="B406" t="s">
        <v>777</v>
      </c>
      <c r="D406" t="s">
        <v>56</v>
      </c>
      <c r="E406" t="s">
        <v>59</v>
      </c>
      <c r="F406" t="s">
        <v>467</v>
      </c>
      <c r="G406" t="s">
        <v>468</v>
      </c>
      <c r="H406" t="s">
        <v>237</v>
      </c>
      <c r="I406" t="s">
        <v>36</v>
      </c>
      <c r="J406" t="s">
        <v>48</v>
      </c>
      <c r="K406" s="4">
        <v>113420</v>
      </c>
      <c r="L406" s="4">
        <v>333</v>
      </c>
      <c r="M406" s="4">
        <v>33557</v>
      </c>
      <c r="N406" s="4">
        <v>104929</v>
      </c>
      <c r="O406" s="4">
        <v>11</v>
      </c>
      <c r="P406" s="3">
        <v>5124.4359000000004</v>
      </c>
      <c r="Q406"/>
      <c r="R406"/>
      <c r="S406"/>
      <c r="T406"/>
      <c r="U406"/>
      <c r="V406"/>
      <c r="W406"/>
      <c r="X406"/>
    </row>
    <row r="407" spans="1:24">
      <c r="A407" t="s">
        <v>130</v>
      </c>
      <c r="B407" t="s">
        <v>939</v>
      </c>
      <c r="D407" t="s">
        <v>56</v>
      </c>
      <c r="E407" t="s">
        <v>57</v>
      </c>
      <c r="F407" t="s">
        <v>480</v>
      </c>
      <c r="G407" t="s">
        <v>460</v>
      </c>
      <c r="H407" t="s">
        <v>281</v>
      </c>
      <c r="I407" t="s">
        <v>40</v>
      </c>
      <c r="J407" t="s">
        <v>47</v>
      </c>
      <c r="K407" s="4">
        <v>21280</v>
      </c>
      <c r="L407" s="4">
        <v>70</v>
      </c>
      <c r="M407" s="4">
        <v>15309</v>
      </c>
      <c r="N407" s="4">
        <v>20244</v>
      </c>
      <c r="O407" s="4">
        <v>6</v>
      </c>
      <c r="P407" s="3">
        <v>6837.5105999999996</v>
      </c>
      <c r="Q407"/>
      <c r="R407"/>
      <c r="S407"/>
      <c r="T407"/>
      <c r="U407"/>
      <c r="V407"/>
      <c r="W407"/>
      <c r="X407"/>
    </row>
    <row r="408" spans="1:24">
      <c r="A408" t="s">
        <v>132</v>
      </c>
      <c r="B408" t="s">
        <v>940</v>
      </c>
      <c r="D408" t="s">
        <v>56</v>
      </c>
      <c r="E408" t="s">
        <v>57</v>
      </c>
      <c r="F408" t="s">
        <v>467</v>
      </c>
      <c r="G408" t="s">
        <v>468</v>
      </c>
      <c r="H408" t="s">
        <v>273</v>
      </c>
      <c r="I408" t="s">
        <v>44</v>
      </c>
      <c r="J408" t="s">
        <v>48</v>
      </c>
      <c r="K408" s="4">
        <v>18537</v>
      </c>
      <c r="L408" s="4">
        <v>95</v>
      </c>
      <c r="M408" s="4">
        <v>6473</v>
      </c>
      <c r="N408" s="4">
        <v>17081</v>
      </c>
      <c r="O408" s="4">
        <v>4</v>
      </c>
      <c r="P408" s="3">
        <v>5206.2389999999996</v>
      </c>
      <c r="Q408"/>
      <c r="R408"/>
      <c r="S408"/>
      <c r="T408"/>
      <c r="U408"/>
      <c r="V408"/>
      <c r="W408"/>
      <c r="X408"/>
    </row>
    <row r="409" spans="1:24">
      <c r="A409" t="s">
        <v>132</v>
      </c>
      <c r="B409" t="s">
        <v>941</v>
      </c>
      <c r="D409" t="s">
        <v>54</v>
      </c>
      <c r="E409" t="s">
        <v>60</v>
      </c>
      <c r="F409" t="s">
        <v>467</v>
      </c>
      <c r="G409" t="s">
        <v>468</v>
      </c>
      <c r="H409" t="s">
        <v>226</v>
      </c>
      <c r="I409" t="s">
        <v>209</v>
      </c>
      <c r="J409" t="s">
        <v>47</v>
      </c>
      <c r="K409" s="4">
        <v>9867</v>
      </c>
      <c r="L409" s="4">
        <v>30</v>
      </c>
      <c r="M409" s="4">
        <v>6867</v>
      </c>
      <c r="N409" s="4">
        <v>9347</v>
      </c>
      <c r="O409" s="4">
        <v>12</v>
      </c>
      <c r="P409" s="3">
        <v>6839.5690999999997</v>
      </c>
      <c r="Q409"/>
      <c r="R409"/>
      <c r="S409"/>
      <c r="T409"/>
      <c r="U409"/>
      <c r="V409"/>
      <c r="W409"/>
      <c r="X409"/>
    </row>
    <row r="410" spans="1:24">
      <c r="A410" t="s">
        <v>132</v>
      </c>
      <c r="B410" t="s">
        <v>942</v>
      </c>
      <c r="D410" t="s">
        <v>54</v>
      </c>
      <c r="E410" t="s">
        <v>57</v>
      </c>
      <c r="F410" t="s">
        <v>486</v>
      </c>
      <c r="G410" t="s">
        <v>487</v>
      </c>
      <c r="H410" t="s">
        <v>232</v>
      </c>
      <c r="I410" t="s">
        <v>36</v>
      </c>
      <c r="J410" t="s">
        <v>47</v>
      </c>
      <c r="K410" s="4">
        <v>17582</v>
      </c>
      <c r="L410" s="4">
        <v>56</v>
      </c>
      <c r="M410" s="4">
        <v>9848</v>
      </c>
      <c r="N410" s="4">
        <v>16558</v>
      </c>
      <c r="O410" s="4">
        <v>12</v>
      </c>
      <c r="P410" s="3">
        <v>6846.4479000000001</v>
      </c>
      <c r="Q410"/>
      <c r="R410"/>
      <c r="S410"/>
      <c r="T410"/>
      <c r="U410"/>
      <c r="V410"/>
      <c r="W410"/>
      <c r="X410"/>
    </row>
    <row r="411" spans="1:24">
      <c r="A411" t="s">
        <v>132</v>
      </c>
      <c r="B411" t="s">
        <v>943</v>
      </c>
      <c r="D411" t="s">
        <v>54</v>
      </c>
      <c r="E411" t="s">
        <v>55</v>
      </c>
      <c r="F411" t="s">
        <v>511</v>
      </c>
      <c r="G411" t="s">
        <v>512</v>
      </c>
      <c r="H411" t="s">
        <v>237</v>
      </c>
      <c r="I411" t="s">
        <v>212</v>
      </c>
      <c r="J411" t="s">
        <v>47</v>
      </c>
      <c r="K411" s="4">
        <v>43367</v>
      </c>
      <c r="L411" s="4">
        <v>111</v>
      </c>
      <c r="M411" s="4">
        <v>14306</v>
      </c>
      <c r="N411" s="4">
        <v>39750</v>
      </c>
      <c r="O411" s="4">
        <v>12</v>
      </c>
      <c r="P411" s="3">
        <v>5214.2987000000003</v>
      </c>
      <c r="Q411"/>
      <c r="R411"/>
      <c r="S411"/>
      <c r="T411"/>
      <c r="U411"/>
      <c r="V411"/>
      <c r="W411"/>
      <c r="X411"/>
    </row>
    <row r="412" spans="1:24">
      <c r="A412" t="s">
        <v>134</v>
      </c>
      <c r="B412" t="s">
        <v>944</v>
      </c>
      <c r="D412" t="s">
        <v>54</v>
      </c>
      <c r="E412" t="s">
        <v>55</v>
      </c>
      <c r="F412" t="s">
        <v>471</v>
      </c>
      <c r="G412" t="s">
        <v>464</v>
      </c>
      <c r="H412" t="s">
        <v>244</v>
      </c>
      <c r="I412" t="s">
        <v>214</v>
      </c>
      <c r="J412" t="s">
        <v>47</v>
      </c>
      <c r="K412" s="4">
        <v>11919</v>
      </c>
      <c r="L412" s="4">
        <v>69</v>
      </c>
      <c r="M412" s="4">
        <v>8100</v>
      </c>
      <c r="N412" s="4">
        <v>11524</v>
      </c>
      <c r="O412" s="4">
        <v>2</v>
      </c>
      <c r="P412" s="3">
        <v>6350.9169000000002</v>
      </c>
      <c r="Q412"/>
      <c r="R412"/>
      <c r="S412"/>
      <c r="T412"/>
      <c r="U412"/>
      <c r="V412"/>
      <c r="W412"/>
      <c r="X412"/>
    </row>
    <row r="413" spans="1:24">
      <c r="A413" t="s">
        <v>134</v>
      </c>
      <c r="B413" t="s">
        <v>945</v>
      </c>
      <c r="D413" t="s">
        <v>54</v>
      </c>
      <c r="E413" t="s">
        <v>55</v>
      </c>
      <c r="F413" t="s">
        <v>467</v>
      </c>
      <c r="G413" t="s">
        <v>468</v>
      </c>
      <c r="H413" t="s">
        <v>215</v>
      </c>
      <c r="I413" t="s">
        <v>209</v>
      </c>
      <c r="J413" t="s">
        <v>47</v>
      </c>
      <c r="K413" s="4">
        <v>446774</v>
      </c>
      <c r="L413" s="4">
        <v>1245</v>
      </c>
      <c r="M413" s="4">
        <v>163786</v>
      </c>
      <c r="N413" s="4">
        <v>374116</v>
      </c>
      <c r="O413" s="4">
        <v>12</v>
      </c>
      <c r="P413" s="3">
        <v>7248.2316000000001</v>
      </c>
      <c r="Q413"/>
      <c r="R413"/>
      <c r="S413"/>
      <c r="T413"/>
      <c r="U413"/>
      <c r="V413"/>
      <c r="W413"/>
      <c r="X413"/>
    </row>
    <row r="414" spans="1:24">
      <c r="A414" t="s">
        <v>134</v>
      </c>
      <c r="B414" t="s">
        <v>946</v>
      </c>
      <c r="D414" t="s">
        <v>54</v>
      </c>
      <c r="E414" t="s">
        <v>60</v>
      </c>
      <c r="F414" t="s">
        <v>473</v>
      </c>
      <c r="G414" t="s">
        <v>474</v>
      </c>
      <c r="H414" t="s">
        <v>218</v>
      </c>
      <c r="I414" t="s">
        <v>36</v>
      </c>
      <c r="J414" t="s">
        <v>47</v>
      </c>
      <c r="K414" s="4">
        <v>1515751</v>
      </c>
      <c r="L414" s="4">
        <v>3874</v>
      </c>
      <c r="M414" s="4">
        <v>1151776</v>
      </c>
      <c r="N414" s="4">
        <v>1396230</v>
      </c>
      <c r="O414" s="4">
        <v>49</v>
      </c>
      <c r="P414" s="3">
        <v>7850.6441999999997</v>
      </c>
      <c r="Q414"/>
      <c r="R414"/>
      <c r="S414"/>
      <c r="T414"/>
      <c r="U414"/>
      <c r="V414"/>
      <c r="W414"/>
      <c r="X414"/>
    </row>
    <row r="415" spans="1:24">
      <c r="A415" t="s">
        <v>134</v>
      </c>
      <c r="B415" t="s">
        <v>947</v>
      </c>
      <c r="D415" t="s">
        <v>54</v>
      </c>
      <c r="E415" t="s">
        <v>57</v>
      </c>
      <c r="F415" t="s">
        <v>497</v>
      </c>
      <c r="G415" t="s">
        <v>460</v>
      </c>
      <c r="H415" t="s">
        <v>244</v>
      </c>
      <c r="I415" t="s">
        <v>36</v>
      </c>
      <c r="J415" t="s">
        <v>47</v>
      </c>
      <c r="K415" s="4">
        <v>35163</v>
      </c>
      <c r="L415" s="4">
        <v>250</v>
      </c>
      <c r="M415" s="4">
        <v>21222</v>
      </c>
      <c r="N415" s="4">
        <v>33671</v>
      </c>
      <c r="O415" s="4">
        <v>15</v>
      </c>
      <c r="P415" s="3">
        <v>6336.7181</v>
      </c>
      <c r="Q415"/>
      <c r="R415"/>
      <c r="S415"/>
      <c r="T415"/>
      <c r="U415"/>
      <c r="V415"/>
      <c r="W415"/>
      <c r="X415"/>
    </row>
    <row r="416" spans="1:24">
      <c r="A416" t="s">
        <v>134</v>
      </c>
      <c r="B416" t="s">
        <v>948</v>
      </c>
      <c r="D416" t="s">
        <v>56</v>
      </c>
      <c r="E416" t="s">
        <v>55</v>
      </c>
      <c r="F416" t="s">
        <v>482</v>
      </c>
      <c r="G416" t="s">
        <v>483</v>
      </c>
      <c r="H416" t="s">
        <v>308</v>
      </c>
      <c r="I416" t="s">
        <v>40</v>
      </c>
      <c r="J416" t="s">
        <v>47</v>
      </c>
      <c r="K416" s="4">
        <v>9362</v>
      </c>
      <c r="L416" s="4">
        <v>39</v>
      </c>
      <c r="M416" s="4">
        <v>5202</v>
      </c>
      <c r="N416" s="4">
        <v>8928</v>
      </c>
      <c r="O416" s="4">
        <v>6</v>
      </c>
      <c r="P416" s="3">
        <v>7312.4928</v>
      </c>
      <c r="Q416"/>
      <c r="R416"/>
      <c r="S416"/>
      <c r="T416"/>
      <c r="U416"/>
      <c r="V416"/>
      <c r="W416"/>
      <c r="X416"/>
    </row>
    <row r="417" spans="1:24">
      <c r="A417" t="s">
        <v>134</v>
      </c>
      <c r="B417" t="s">
        <v>949</v>
      </c>
      <c r="D417" t="s">
        <v>54</v>
      </c>
      <c r="E417" t="s">
        <v>60</v>
      </c>
      <c r="F417" t="s">
        <v>482</v>
      </c>
      <c r="G417" t="s">
        <v>483</v>
      </c>
      <c r="H417" t="s">
        <v>287</v>
      </c>
      <c r="I417" t="s">
        <v>36</v>
      </c>
      <c r="J417" t="s">
        <v>47</v>
      </c>
      <c r="K417" s="4">
        <v>18081</v>
      </c>
      <c r="L417" s="4">
        <v>44</v>
      </c>
      <c r="M417" s="4">
        <v>4545</v>
      </c>
      <c r="N417" s="4">
        <v>15617</v>
      </c>
      <c r="O417" s="4">
        <v>15</v>
      </c>
      <c r="P417" s="3">
        <v>6522.6374999999998</v>
      </c>
      <c r="Q417"/>
      <c r="R417"/>
      <c r="S417"/>
      <c r="T417"/>
      <c r="U417"/>
      <c r="V417"/>
      <c r="W417"/>
      <c r="X417"/>
    </row>
    <row r="418" spans="1:24">
      <c r="A418" t="s">
        <v>134</v>
      </c>
      <c r="B418" t="s">
        <v>950</v>
      </c>
      <c r="D418" t="s">
        <v>56</v>
      </c>
      <c r="E418" t="s">
        <v>55</v>
      </c>
      <c r="F418" t="s">
        <v>486</v>
      </c>
      <c r="G418" t="s">
        <v>487</v>
      </c>
      <c r="H418" t="s">
        <v>215</v>
      </c>
      <c r="I418" t="s">
        <v>36</v>
      </c>
      <c r="J418" t="s">
        <v>47</v>
      </c>
      <c r="K418" s="4">
        <v>310255</v>
      </c>
      <c r="L418" s="4">
        <v>970</v>
      </c>
      <c r="M418" s="4">
        <v>105054</v>
      </c>
      <c r="N418" s="4">
        <v>260998</v>
      </c>
      <c r="O418" s="4">
        <v>14</v>
      </c>
      <c r="P418" s="3">
        <v>6057.8567000000003</v>
      </c>
      <c r="Q418"/>
      <c r="R418"/>
      <c r="S418"/>
      <c r="T418"/>
      <c r="U418"/>
      <c r="V418"/>
      <c r="W418"/>
      <c r="X418"/>
    </row>
    <row r="419" spans="1:24">
      <c r="A419" t="s">
        <v>134</v>
      </c>
      <c r="B419" t="s">
        <v>951</v>
      </c>
      <c r="D419" t="s">
        <v>56</v>
      </c>
      <c r="E419" t="s">
        <v>60</v>
      </c>
      <c r="F419" t="s">
        <v>471</v>
      </c>
      <c r="G419" t="s">
        <v>464</v>
      </c>
      <c r="H419" t="s">
        <v>213</v>
      </c>
      <c r="I419" t="s">
        <v>209</v>
      </c>
      <c r="J419" t="s">
        <v>47</v>
      </c>
      <c r="K419" s="4">
        <v>569171</v>
      </c>
      <c r="L419" s="4">
        <v>1354</v>
      </c>
      <c r="M419" s="4">
        <v>343050</v>
      </c>
      <c r="N419" s="4">
        <v>541133</v>
      </c>
      <c r="O419" s="4">
        <v>78</v>
      </c>
      <c r="P419" s="3">
        <v>7129.6333000000004</v>
      </c>
      <c r="Q419"/>
      <c r="R419"/>
      <c r="S419"/>
      <c r="T419"/>
      <c r="U419"/>
      <c r="V419"/>
      <c r="W419"/>
      <c r="X419"/>
    </row>
    <row r="420" spans="1:24">
      <c r="A420" t="s">
        <v>134</v>
      </c>
      <c r="B420" t="s">
        <v>952</v>
      </c>
      <c r="D420" t="s">
        <v>56</v>
      </c>
      <c r="E420" t="s">
        <v>57</v>
      </c>
      <c r="F420" t="s">
        <v>482</v>
      </c>
      <c r="G420" t="s">
        <v>483</v>
      </c>
      <c r="H420" t="s">
        <v>215</v>
      </c>
      <c r="I420" t="s">
        <v>36</v>
      </c>
      <c r="J420" t="s">
        <v>47</v>
      </c>
      <c r="K420" s="4">
        <v>1221746</v>
      </c>
      <c r="L420" s="4">
        <v>3874</v>
      </c>
      <c r="M420" s="4">
        <v>512107</v>
      </c>
      <c r="N420" s="4">
        <v>1088748</v>
      </c>
      <c r="O420" s="4">
        <v>19</v>
      </c>
      <c r="P420" s="3">
        <v>7483.8872000000001</v>
      </c>
      <c r="Q420"/>
      <c r="R420"/>
      <c r="S420"/>
      <c r="T420"/>
      <c r="U420"/>
      <c r="V420"/>
      <c r="W420"/>
      <c r="X420"/>
    </row>
    <row r="421" spans="1:24">
      <c r="A421" t="s">
        <v>134</v>
      </c>
      <c r="B421" t="s">
        <v>953</v>
      </c>
      <c r="D421" t="s">
        <v>56</v>
      </c>
      <c r="E421" t="s">
        <v>59</v>
      </c>
      <c r="F421" t="s">
        <v>467</v>
      </c>
      <c r="G421" t="s">
        <v>468</v>
      </c>
      <c r="H421" t="s">
        <v>243</v>
      </c>
      <c r="I421" t="s">
        <v>38</v>
      </c>
      <c r="J421" t="s">
        <v>47</v>
      </c>
      <c r="K421" s="4">
        <v>16503</v>
      </c>
      <c r="L421" s="4">
        <v>69</v>
      </c>
      <c r="M421" s="4">
        <v>8595</v>
      </c>
      <c r="N421" s="4">
        <v>14466</v>
      </c>
      <c r="O421" s="4">
        <v>7</v>
      </c>
      <c r="P421" s="3">
        <v>5714.5239000000001</v>
      </c>
      <c r="Q421"/>
      <c r="R421"/>
      <c r="S421"/>
      <c r="T421"/>
      <c r="U421"/>
      <c r="V421"/>
      <c r="W421"/>
      <c r="X421"/>
    </row>
    <row r="422" spans="1:24">
      <c r="A422" t="s">
        <v>136</v>
      </c>
      <c r="B422" t="s">
        <v>954</v>
      </c>
      <c r="C422" t="s">
        <v>955</v>
      </c>
      <c r="D422" t="s">
        <v>56</v>
      </c>
      <c r="E422" t="s">
        <v>55</v>
      </c>
      <c r="F422" t="s">
        <v>482</v>
      </c>
      <c r="G422" t="s">
        <v>483</v>
      </c>
      <c r="H422" t="s">
        <v>257</v>
      </c>
      <c r="I422" t="s">
        <v>36</v>
      </c>
      <c r="J422" t="s">
        <v>47</v>
      </c>
      <c r="K422" s="4">
        <v>92806</v>
      </c>
      <c r="L422" s="4">
        <v>212</v>
      </c>
      <c r="M422" s="4">
        <v>67534</v>
      </c>
      <c r="N422" s="4">
        <v>85013</v>
      </c>
      <c r="O422" s="4">
        <v>11</v>
      </c>
      <c r="P422" s="3">
        <v>1579.3796</v>
      </c>
      <c r="Q422"/>
      <c r="R422"/>
      <c r="S422"/>
      <c r="T422"/>
      <c r="U422"/>
      <c r="V422"/>
      <c r="W422"/>
      <c r="X422"/>
    </row>
    <row r="423" spans="1:24">
      <c r="A423" t="s">
        <v>136</v>
      </c>
      <c r="B423" t="s">
        <v>954</v>
      </c>
      <c r="C423" t="s">
        <v>956</v>
      </c>
      <c r="D423" t="s">
        <v>56</v>
      </c>
      <c r="E423" t="s">
        <v>57</v>
      </c>
      <c r="F423" t="s">
        <v>473</v>
      </c>
      <c r="G423" t="s">
        <v>474</v>
      </c>
      <c r="H423" t="s">
        <v>213</v>
      </c>
      <c r="I423" t="s">
        <v>40</v>
      </c>
      <c r="J423" t="s">
        <v>47</v>
      </c>
      <c r="K423" s="4">
        <v>13326</v>
      </c>
      <c r="L423" s="4">
        <v>98</v>
      </c>
      <c r="M423" s="4">
        <v>3568</v>
      </c>
      <c r="N423" s="4">
        <v>11388</v>
      </c>
      <c r="O423" s="4">
        <v>2</v>
      </c>
      <c r="P423" s="3">
        <v>1442.0322000000001</v>
      </c>
      <c r="Q423"/>
      <c r="R423"/>
      <c r="S423"/>
      <c r="T423"/>
      <c r="U423"/>
      <c r="V423"/>
      <c r="W423"/>
      <c r="X423"/>
    </row>
    <row r="424" spans="1:24">
      <c r="A424" t="s">
        <v>136</v>
      </c>
      <c r="B424" t="s">
        <v>957</v>
      </c>
      <c r="C424" t="s">
        <v>957</v>
      </c>
      <c r="D424" t="s">
        <v>56</v>
      </c>
      <c r="E424" t="s">
        <v>57</v>
      </c>
      <c r="F424" t="s">
        <v>486</v>
      </c>
      <c r="G424" t="s">
        <v>487</v>
      </c>
      <c r="H424" t="s">
        <v>341</v>
      </c>
      <c r="I424" t="s">
        <v>38</v>
      </c>
      <c r="J424" t="s">
        <v>47</v>
      </c>
      <c r="K424" s="4">
        <v>13347</v>
      </c>
      <c r="L424" s="4">
        <v>80</v>
      </c>
      <c r="M424" s="4">
        <v>8357</v>
      </c>
      <c r="N424" s="4">
        <v>11461</v>
      </c>
      <c r="O424" s="4">
        <v>10</v>
      </c>
      <c r="P424" s="3">
        <v>1543.6614</v>
      </c>
      <c r="Q424"/>
      <c r="R424"/>
      <c r="S424"/>
      <c r="T424"/>
      <c r="U424"/>
      <c r="V424"/>
      <c r="W424"/>
      <c r="X424"/>
    </row>
    <row r="425" spans="1:24">
      <c r="A425" t="s">
        <v>136</v>
      </c>
      <c r="B425" t="s">
        <v>958</v>
      </c>
      <c r="C425" t="s">
        <v>959</v>
      </c>
      <c r="D425" t="s">
        <v>54</v>
      </c>
      <c r="E425" t="s">
        <v>55</v>
      </c>
      <c r="F425" t="s">
        <v>473</v>
      </c>
      <c r="G425" t="s">
        <v>474</v>
      </c>
      <c r="H425" t="s">
        <v>244</v>
      </c>
      <c r="I425" t="s">
        <v>36</v>
      </c>
      <c r="J425" t="s">
        <v>47</v>
      </c>
      <c r="K425" s="4">
        <v>59782</v>
      </c>
      <c r="L425" s="4">
        <v>212</v>
      </c>
      <c r="M425" s="4">
        <v>28235</v>
      </c>
      <c r="N425" s="4">
        <v>57543</v>
      </c>
      <c r="O425" s="4">
        <v>13</v>
      </c>
      <c r="P425" s="3">
        <v>1455.7036000000001</v>
      </c>
      <c r="Q425"/>
      <c r="R425"/>
      <c r="S425"/>
      <c r="T425"/>
      <c r="U425"/>
      <c r="V425"/>
      <c r="W425"/>
      <c r="X425"/>
    </row>
    <row r="426" spans="1:24">
      <c r="A426" t="s">
        <v>136</v>
      </c>
      <c r="B426" t="s">
        <v>958</v>
      </c>
      <c r="C426" t="s">
        <v>960</v>
      </c>
      <c r="D426" t="s">
        <v>56</v>
      </c>
      <c r="E426" t="s">
        <v>59</v>
      </c>
      <c r="F426" t="s">
        <v>482</v>
      </c>
      <c r="G426" t="s">
        <v>483</v>
      </c>
      <c r="H426" t="s">
        <v>447</v>
      </c>
      <c r="I426" t="s">
        <v>445</v>
      </c>
      <c r="J426" t="s">
        <v>47</v>
      </c>
      <c r="K426" s="4">
        <v>13382</v>
      </c>
      <c r="L426" s="4">
        <v>68</v>
      </c>
      <c r="M426" s="4">
        <v>3340</v>
      </c>
      <c r="N426" s="4">
        <v>11662</v>
      </c>
      <c r="O426" s="4">
        <v>1</v>
      </c>
      <c r="P426" s="3">
        <v>1447.9272000000001</v>
      </c>
      <c r="Q426"/>
      <c r="R426"/>
      <c r="S426"/>
      <c r="T426"/>
      <c r="U426"/>
      <c r="V426"/>
      <c r="W426"/>
      <c r="X426"/>
    </row>
    <row r="427" spans="1:24">
      <c r="A427" t="s">
        <v>136</v>
      </c>
      <c r="B427" t="s">
        <v>961</v>
      </c>
      <c r="D427" t="s">
        <v>56</v>
      </c>
      <c r="E427" t="s">
        <v>59</v>
      </c>
      <c r="F427" t="s">
        <v>467</v>
      </c>
      <c r="G427" t="s">
        <v>468</v>
      </c>
      <c r="H427" t="s">
        <v>218</v>
      </c>
      <c r="I427" t="s">
        <v>36</v>
      </c>
      <c r="J427" t="s">
        <v>47</v>
      </c>
      <c r="K427" s="4">
        <v>554980</v>
      </c>
      <c r="L427" s="4">
        <v>1542</v>
      </c>
      <c r="M427" s="4">
        <v>323498</v>
      </c>
      <c r="N427" s="4">
        <v>467646</v>
      </c>
      <c r="O427" s="4">
        <v>8</v>
      </c>
      <c r="P427" s="3">
        <v>1600.7696000000001</v>
      </c>
      <c r="Q427"/>
      <c r="R427"/>
      <c r="S427"/>
      <c r="T427"/>
      <c r="U427"/>
      <c r="V427"/>
      <c r="W427"/>
      <c r="X427"/>
    </row>
    <row r="428" spans="1:24">
      <c r="A428" t="s">
        <v>136</v>
      </c>
      <c r="B428" t="s">
        <v>962</v>
      </c>
      <c r="D428" t="s">
        <v>54</v>
      </c>
      <c r="E428" t="s">
        <v>55</v>
      </c>
      <c r="F428" t="s">
        <v>556</v>
      </c>
      <c r="G428" t="s">
        <v>464</v>
      </c>
      <c r="H428" t="s">
        <v>394</v>
      </c>
      <c r="I428" t="s">
        <v>36</v>
      </c>
      <c r="J428" t="s">
        <v>47</v>
      </c>
      <c r="K428" s="4">
        <v>13168</v>
      </c>
      <c r="L428" s="4">
        <v>84</v>
      </c>
      <c r="M428" s="4">
        <v>8527</v>
      </c>
      <c r="N428" s="4">
        <v>12625</v>
      </c>
      <c r="O428" s="4">
        <v>4</v>
      </c>
      <c r="P428" s="3">
        <v>1639.7234000000001</v>
      </c>
      <c r="Q428"/>
      <c r="R428"/>
      <c r="S428"/>
      <c r="T428"/>
      <c r="U428"/>
      <c r="V428"/>
      <c r="W428"/>
      <c r="X428"/>
    </row>
    <row r="429" spans="1:24">
      <c r="A429" t="s">
        <v>136</v>
      </c>
      <c r="B429" t="s">
        <v>962</v>
      </c>
      <c r="C429" t="s">
        <v>963</v>
      </c>
      <c r="D429" t="s">
        <v>54</v>
      </c>
      <c r="E429" t="s">
        <v>57</v>
      </c>
      <c r="F429" t="s">
        <v>463</v>
      </c>
      <c r="G429" t="s">
        <v>464</v>
      </c>
      <c r="H429" t="s">
        <v>317</v>
      </c>
      <c r="I429" t="s">
        <v>313</v>
      </c>
      <c r="J429" t="s">
        <v>47</v>
      </c>
      <c r="K429" s="4">
        <v>9014</v>
      </c>
      <c r="L429" s="4">
        <v>26</v>
      </c>
      <c r="M429" s="4">
        <v>5054</v>
      </c>
      <c r="N429" s="4">
        <v>7227</v>
      </c>
      <c r="O429" s="4">
        <v>4</v>
      </c>
      <c r="P429" s="3">
        <v>1539.6007</v>
      </c>
      <c r="Q429"/>
      <c r="R429"/>
      <c r="S429"/>
      <c r="T429"/>
      <c r="U429"/>
      <c r="V429"/>
      <c r="W429"/>
      <c r="X429"/>
    </row>
    <row r="430" spans="1:24">
      <c r="A430" t="s">
        <v>136</v>
      </c>
      <c r="B430" t="s">
        <v>962</v>
      </c>
      <c r="C430" t="s">
        <v>964</v>
      </c>
      <c r="D430" t="s">
        <v>56</v>
      </c>
      <c r="E430" t="s">
        <v>55</v>
      </c>
      <c r="F430" t="s">
        <v>471</v>
      </c>
      <c r="G430" t="s">
        <v>464</v>
      </c>
      <c r="H430" t="s">
        <v>211</v>
      </c>
      <c r="I430" t="s">
        <v>43</v>
      </c>
      <c r="J430" t="s">
        <v>47</v>
      </c>
      <c r="K430" s="4">
        <v>19464</v>
      </c>
      <c r="L430" s="4">
        <v>68</v>
      </c>
      <c r="M430" s="4">
        <v>11814</v>
      </c>
      <c r="N430" s="4">
        <v>17040</v>
      </c>
      <c r="O430" s="4">
        <v>9</v>
      </c>
      <c r="P430" s="3">
        <v>1540.4694</v>
      </c>
      <c r="Q430"/>
      <c r="R430"/>
      <c r="S430"/>
      <c r="T430"/>
      <c r="U430"/>
      <c r="V430"/>
      <c r="W430"/>
      <c r="X430"/>
    </row>
    <row r="431" spans="1:24">
      <c r="A431" t="s">
        <v>136</v>
      </c>
      <c r="B431" t="s">
        <v>962</v>
      </c>
      <c r="C431" t="s">
        <v>965</v>
      </c>
      <c r="D431" t="s">
        <v>54</v>
      </c>
      <c r="E431" t="s">
        <v>57</v>
      </c>
      <c r="F431" t="s">
        <v>467</v>
      </c>
      <c r="G431" t="s">
        <v>468</v>
      </c>
      <c r="H431" t="s">
        <v>306</v>
      </c>
      <c r="I431" t="s">
        <v>40</v>
      </c>
      <c r="J431" t="s">
        <v>47</v>
      </c>
      <c r="K431" s="4">
        <v>10903</v>
      </c>
      <c r="L431" s="4">
        <v>35</v>
      </c>
      <c r="M431" s="4">
        <v>3776</v>
      </c>
      <c r="N431" s="4">
        <v>9581</v>
      </c>
      <c r="O431" s="4">
        <v>2</v>
      </c>
      <c r="P431" s="3">
        <v>1460.0098</v>
      </c>
      <c r="Q431"/>
      <c r="R431"/>
      <c r="S431"/>
      <c r="T431"/>
      <c r="U431"/>
      <c r="V431"/>
      <c r="W431"/>
      <c r="X431"/>
    </row>
    <row r="432" spans="1:24">
      <c r="A432" t="s">
        <v>136</v>
      </c>
      <c r="B432" t="s">
        <v>962</v>
      </c>
      <c r="C432" t="s">
        <v>966</v>
      </c>
      <c r="D432" t="s">
        <v>54</v>
      </c>
      <c r="E432" t="s">
        <v>55</v>
      </c>
      <c r="F432" t="s">
        <v>459</v>
      </c>
      <c r="G432" t="s">
        <v>460</v>
      </c>
      <c r="H432" t="s">
        <v>270</v>
      </c>
      <c r="I432" t="s">
        <v>42</v>
      </c>
      <c r="J432" t="s">
        <v>47</v>
      </c>
      <c r="K432" s="4">
        <v>9040</v>
      </c>
      <c r="L432" s="4">
        <v>21</v>
      </c>
      <c r="M432" s="4">
        <v>3585</v>
      </c>
      <c r="N432" s="4">
        <v>8450</v>
      </c>
      <c r="O432" s="4">
        <v>3</v>
      </c>
      <c r="P432" s="3">
        <v>1473.1925000000001</v>
      </c>
      <c r="Q432"/>
      <c r="R432"/>
      <c r="S432"/>
      <c r="T432"/>
      <c r="U432"/>
      <c r="V432"/>
      <c r="W432"/>
      <c r="X432"/>
    </row>
    <row r="433" spans="1:24">
      <c r="A433" t="s">
        <v>136</v>
      </c>
      <c r="B433" t="s">
        <v>190</v>
      </c>
      <c r="D433" t="s">
        <v>54</v>
      </c>
      <c r="E433" t="s">
        <v>55</v>
      </c>
      <c r="F433" t="s">
        <v>506</v>
      </c>
      <c r="G433" t="s">
        <v>474</v>
      </c>
      <c r="H433" t="s">
        <v>235</v>
      </c>
      <c r="I433" t="s">
        <v>36</v>
      </c>
      <c r="J433" t="s">
        <v>47</v>
      </c>
      <c r="K433" s="4">
        <v>9059</v>
      </c>
      <c r="L433" s="4">
        <v>22</v>
      </c>
      <c r="M433" s="4">
        <v>589</v>
      </c>
      <c r="N433" s="4">
        <v>7480</v>
      </c>
      <c r="O433" s="4">
        <v>4</v>
      </c>
      <c r="P433" s="3">
        <v>1908.5261</v>
      </c>
      <c r="Q433"/>
      <c r="R433"/>
      <c r="S433"/>
      <c r="T433"/>
      <c r="U433"/>
      <c r="V433"/>
      <c r="W433"/>
      <c r="X433"/>
    </row>
    <row r="434" spans="1:24">
      <c r="A434" t="s">
        <v>136</v>
      </c>
      <c r="B434" t="s">
        <v>190</v>
      </c>
      <c r="C434" t="s">
        <v>967</v>
      </c>
      <c r="D434" t="s">
        <v>56</v>
      </c>
      <c r="E434" t="s">
        <v>60</v>
      </c>
      <c r="F434" t="s">
        <v>551</v>
      </c>
      <c r="G434" t="s">
        <v>487</v>
      </c>
      <c r="H434" t="s">
        <v>264</v>
      </c>
      <c r="I434" t="s">
        <v>36</v>
      </c>
      <c r="J434" t="s">
        <v>49</v>
      </c>
      <c r="K434" s="4">
        <v>16236</v>
      </c>
      <c r="L434" s="4">
        <v>50</v>
      </c>
      <c r="M434" s="4">
        <v>8669</v>
      </c>
      <c r="N434" s="4">
        <v>15208</v>
      </c>
      <c r="O434" s="4">
        <v>11</v>
      </c>
      <c r="P434" s="3">
        <v>1639.8136999999999</v>
      </c>
      <c r="Q434"/>
      <c r="R434"/>
      <c r="S434"/>
      <c r="T434"/>
      <c r="U434"/>
      <c r="V434"/>
      <c r="W434"/>
      <c r="X434"/>
    </row>
    <row r="435" spans="1:24">
      <c r="A435" t="s">
        <v>136</v>
      </c>
      <c r="B435" t="s">
        <v>190</v>
      </c>
      <c r="C435" t="s">
        <v>968</v>
      </c>
      <c r="D435" t="s">
        <v>56</v>
      </c>
      <c r="E435" t="s">
        <v>57</v>
      </c>
      <c r="F435" t="s">
        <v>491</v>
      </c>
      <c r="G435" t="s">
        <v>29</v>
      </c>
      <c r="H435" t="s">
        <v>289</v>
      </c>
      <c r="I435" t="s">
        <v>40</v>
      </c>
      <c r="J435" t="s">
        <v>47</v>
      </c>
      <c r="K435" s="4">
        <v>39705</v>
      </c>
      <c r="L435" s="4">
        <v>190</v>
      </c>
      <c r="M435" s="4">
        <v>12950</v>
      </c>
      <c r="N435" s="4">
        <v>38030</v>
      </c>
      <c r="O435" s="4">
        <v>3</v>
      </c>
      <c r="P435" s="3">
        <v>1476.4195</v>
      </c>
      <c r="Q435"/>
      <c r="R435"/>
      <c r="S435"/>
      <c r="T435"/>
      <c r="U435"/>
      <c r="V435"/>
      <c r="W435"/>
      <c r="X435"/>
    </row>
    <row r="436" spans="1:24">
      <c r="A436" t="s">
        <v>136</v>
      </c>
      <c r="B436" t="s">
        <v>200</v>
      </c>
      <c r="C436" t="s">
        <v>969</v>
      </c>
      <c r="D436" t="s">
        <v>56</v>
      </c>
      <c r="E436" t="s">
        <v>60</v>
      </c>
      <c r="F436" t="s">
        <v>506</v>
      </c>
      <c r="G436" t="s">
        <v>474</v>
      </c>
      <c r="H436" t="s">
        <v>399</v>
      </c>
      <c r="I436" t="s">
        <v>36</v>
      </c>
      <c r="J436" t="s">
        <v>47</v>
      </c>
      <c r="K436" s="4">
        <v>13464</v>
      </c>
      <c r="L436" s="4">
        <v>84</v>
      </c>
      <c r="M436" s="4">
        <v>1698</v>
      </c>
      <c r="N436" s="4">
        <v>11234</v>
      </c>
      <c r="O436" s="4">
        <v>1</v>
      </c>
      <c r="P436" s="3">
        <v>1466.2851000000001</v>
      </c>
      <c r="Q436"/>
      <c r="R436"/>
      <c r="S436"/>
      <c r="T436"/>
      <c r="U436"/>
      <c r="V436"/>
      <c r="W436"/>
      <c r="X436"/>
    </row>
    <row r="437" spans="1:24">
      <c r="A437" t="s">
        <v>136</v>
      </c>
      <c r="B437" t="s">
        <v>200</v>
      </c>
      <c r="C437" t="s">
        <v>970</v>
      </c>
      <c r="D437" t="s">
        <v>56</v>
      </c>
      <c r="E437" t="s">
        <v>59</v>
      </c>
      <c r="F437" t="s">
        <v>519</v>
      </c>
      <c r="G437" t="s">
        <v>460</v>
      </c>
      <c r="H437" t="s">
        <v>224</v>
      </c>
      <c r="I437" t="s">
        <v>36</v>
      </c>
      <c r="J437" t="s">
        <v>49</v>
      </c>
      <c r="K437" s="4">
        <v>16719</v>
      </c>
      <c r="L437" s="4">
        <v>35</v>
      </c>
      <c r="M437" s="4">
        <v>9944</v>
      </c>
      <c r="N437" s="4">
        <v>15714</v>
      </c>
      <c r="O437" s="4">
        <v>13</v>
      </c>
      <c r="P437" s="3">
        <v>1588.6475</v>
      </c>
      <c r="Q437"/>
      <c r="R437"/>
      <c r="S437"/>
      <c r="T437"/>
      <c r="U437"/>
      <c r="V437"/>
      <c r="W437"/>
      <c r="X437"/>
    </row>
    <row r="438" spans="1:24">
      <c r="A438" t="s">
        <v>136</v>
      </c>
      <c r="B438" t="s">
        <v>200</v>
      </c>
      <c r="C438" t="s">
        <v>971</v>
      </c>
      <c r="D438" t="s">
        <v>54</v>
      </c>
      <c r="E438" t="s">
        <v>59</v>
      </c>
      <c r="F438" t="s">
        <v>972</v>
      </c>
      <c r="G438" t="s">
        <v>707</v>
      </c>
      <c r="H438" t="s">
        <v>254</v>
      </c>
      <c r="I438" t="s">
        <v>36</v>
      </c>
      <c r="J438" t="s">
        <v>47</v>
      </c>
      <c r="K438" s="4">
        <v>36543</v>
      </c>
      <c r="L438" s="4">
        <v>147</v>
      </c>
      <c r="M438" s="4">
        <v>18046</v>
      </c>
      <c r="N438" s="4">
        <v>27358</v>
      </c>
      <c r="O438" s="4">
        <v>6</v>
      </c>
      <c r="P438" s="3">
        <v>1513.0887</v>
      </c>
      <c r="Q438"/>
      <c r="R438"/>
      <c r="S438"/>
      <c r="T438"/>
      <c r="U438"/>
      <c r="V438"/>
      <c r="W438"/>
      <c r="X438"/>
    </row>
    <row r="439" spans="1:24">
      <c r="A439" t="s">
        <v>136</v>
      </c>
      <c r="B439" t="s">
        <v>200</v>
      </c>
      <c r="C439" t="s">
        <v>973</v>
      </c>
      <c r="D439" t="s">
        <v>56</v>
      </c>
      <c r="E439" t="s">
        <v>59</v>
      </c>
      <c r="F439" t="s">
        <v>506</v>
      </c>
      <c r="G439" t="s">
        <v>474</v>
      </c>
      <c r="H439" t="s">
        <v>371</v>
      </c>
      <c r="I439" t="s">
        <v>42</v>
      </c>
      <c r="J439" t="s">
        <v>49</v>
      </c>
      <c r="K439" s="4">
        <v>81486</v>
      </c>
      <c r="L439" s="4">
        <v>193</v>
      </c>
      <c r="M439" s="4">
        <v>57653</v>
      </c>
      <c r="N439" s="4">
        <v>76803</v>
      </c>
      <c r="O439" s="4">
        <v>6</v>
      </c>
      <c r="P439" s="3">
        <v>1463.8429000000001</v>
      </c>
      <c r="Q439"/>
      <c r="R439"/>
      <c r="S439"/>
      <c r="T439"/>
      <c r="U439"/>
      <c r="V439"/>
      <c r="W439"/>
      <c r="X439"/>
    </row>
    <row r="440" spans="1:24">
      <c r="A440" t="s">
        <v>138</v>
      </c>
      <c r="D440" t="s">
        <v>54</v>
      </c>
      <c r="E440" t="s">
        <v>59</v>
      </c>
      <c r="F440" t="s">
        <v>482</v>
      </c>
      <c r="G440" t="s">
        <v>483</v>
      </c>
      <c r="H440" t="s">
        <v>296</v>
      </c>
      <c r="I440" t="s">
        <v>40</v>
      </c>
      <c r="J440" t="s">
        <v>47</v>
      </c>
      <c r="K440" s="4">
        <v>16137</v>
      </c>
      <c r="L440" s="4">
        <v>40</v>
      </c>
      <c r="M440" s="4">
        <v>7938</v>
      </c>
      <c r="N440" s="4">
        <v>14030</v>
      </c>
      <c r="O440" s="4">
        <v>4</v>
      </c>
      <c r="P440" s="3">
        <v>1835.0487000000001</v>
      </c>
      <c r="Q440"/>
      <c r="R440"/>
      <c r="S440"/>
      <c r="T440"/>
      <c r="U440"/>
      <c r="V440"/>
      <c r="W440"/>
      <c r="X440"/>
    </row>
    <row r="441" spans="1:24">
      <c r="A441" t="s">
        <v>140</v>
      </c>
      <c r="D441" t="s">
        <v>54</v>
      </c>
      <c r="E441" t="s">
        <v>55</v>
      </c>
      <c r="F441" t="s">
        <v>482</v>
      </c>
      <c r="G441" t="s">
        <v>483</v>
      </c>
      <c r="H441" t="s">
        <v>254</v>
      </c>
      <c r="I441" t="s">
        <v>36</v>
      </c>
      <c r="J441" t="s">
        <v>47</v>
      </c>
      <c r="K441" s="4">
        <v>78433</v>
      </c>
      <c r="L441" s="4">
        <v>204</v>
      </c>
      <c r="M441" s="4">
        <v>24067</v>
      </c>
      <c r="N441" s="4">
        <v>58308</v>
      </c>
      <c r="O441" s="4">
        <v>16</v>
      </c>
      <c r="P441" s="3">
        <v>1612.5492999999999</v>
      </c>
      <c r="Q441"/>
      <c r="R441"/>
      <c r="S441"/>
      <c r="T441"/>
      <c r="U441"/>
      <c r="V441"/>
      <c r="W441"/>
      <c r="X441"/>
    </row>
    <row r="442" spans="1:24">
      <c r="A442" t="s">
        <v>143</v>
      </c>
      <c r="D442" t="s">
        <v>56</v>
      </c>
      <c r="E442" t="s">
        <v>60</v>
      </c>
      <c r="F442" t="s">
        <v>473</v>
      </c>
      <c r="G442" t="s">
        <v>474</v>
      </c>
      <c r="H442" t="s">
        <v>316</v>
      </c>
      <c r="I442" t="s">
        <v>313</v>
      </c>
      <c r="J442" t="s">
        <v>47</v>
      </c>
      <c r="K442" s="4">
        <v>9149</v>
      </c>
      <c r="L442" s="4">
        <v>40</v>
      </c>
      <c r="M442" s="4">
        <v>4568</v>
      </c>
      <c r="N442" s="4">
        <v>8648</v>
      </c>
      <c r="O442" s="4">
        <v>4</v>
      </c>
      <c r="P442" s="3">
        <v>1758.0984000000001</v>
      </c>
      <c r="Q442"/>
      <c r="R442"/>
      <c r="S442"/>
      <c r="T442"/>
      <c r="U442"/>
      <c r="V442"/>
      <c r="W442"/>
      <c r="X442"/>
    </row>
    <row r="443" spans="1:24">
      <c r="A443" t="s">
        <v>143</v>
      </c>
      <c r="B443" t="s">
        <v>974</v>
      </c>
      <c r="C443" t="s">
        <v>975</v>
      </c>
      <c r="D443" t="s">
        <v>54</v>
      </c>
      <c r="E443" t="s">
        <v>59</v>
      </c>
      <c r="F443" t="s">
        <v>473</v>
      </c>
      <c r="G443" t="s">
        <v>474</v>
      </c>
      <c r="H443" t="s">
        <v>272</v>
      </c>
      <c r="I443" t="s">
        <v>44</v>
      </c>
      <c r="J443" t="s">
        <v>47</v>
      </c>
      <c r="K443" s="4">
        <v>21737</v>
      </c>
      <c r="L443" s="4">
        <v>80</v>
      </c>
      <c r="M443" s="4">
        <v>11206</v>
      </c>
      <c r="N443" s="4">
        <v>19459</v>
      </c>
      <c r="O443" s="4">
        <v>4</v>
      </c>
      <c r="P443" s="3">
        <v>1521.5766000000001</v>
      </c>
      <c r="Q443"/>
      <c r="R443"/>
      <c r="S443"/>
      <c r="T443"/>
      <c r="U443"/>
      <c r="V443"/>
      <c r="W443"/>
      <c r="X443"/>
    </row>
    <row r="444" spans="1:24">
      <c r="A444" t="s">
        <v>28</v>
      </c>
      <c r="D444" t="s">
        <v>54</v>
      </c>
      <c r="E444" t="s">
        <v>60</v>
      </c>
      <c r="F444" t="s">
        <v>482</v>
      </c>
      <c r="G444" t="s">
        <v>483</v>
      </c>
      <c r="H444" t="s">
        <v>254</v>
      </c>
      <c r="I444" t="s">
        <v>36</v>
      </c>
      <c r="J444" t="s">
        <v>47</v>
      </c>
      <c r="K444" s="4">
        <v>654902</v>
      </c>
      <c r="L444" s="4">
        <v>1874</v>
      </c>
      <c r="M444" s="4">
        <v>40733</v>
      </c>
      <c r="N444" s="4">
        <v>477114</v>
      </c>
      <c r="O444" s="4">
        <v>14</v>
      </c>
      <c r="P444" s="3">
        <v>3178.6102999999998</v>
      </c>
      <c r="Q444"/>
      <c r="R444"/>
      <c r="S444"/>
      <c r="T444"/>
      <c r="U444"/>
      <c r="V444"/>
      <c r="W444"/>
      <c r="X444"/>
    </row>
    <row r="445" spans="1:24">
      <c r="A445" t="s">
        <v>28</v>
      </c>
      <c r="D445" t="s">
        <v>56</v>
      </c>
      <c r="E445" t="s">
        <v>55</v>
      </c>
      <c r="F445" t="s">
        <v>467</v>
      </c>
      <c r="G445" t="s">
        <v>468</v>
      </c>
      <c r="H445" t="s">
        <v>215</v>
      </c>
      <c r="I445" t="s">
        <v>36</v>
      </c>
      <c r="J445" t="s">
        <v>47</v>
      </c>
      <c r="K445" s="4">
        <v>421110</v>
      </c>
      <c r="L445" s="4">
        <v>984</v>
      </c>
      <c r="M445" s="4">
        <v>212140</v>
      </c>
      <c r="N445" s="4">
        <v>389474</v>
      </c>
      <c r="O445" s="4">
        <v>4</v>
      </c>
      <c r="P445" s="3">
        <v>1635.9202</v>
      </c>
      <c r="Q445"/>
      <c r="R445"/>
      <c r="S445"/>
      <c r="T445"/>
      <c r="U445"/>
      <c r="V445"/>
      <c r="W445"/>
      <c r="X445"/>
    </row>
    <row r="446" spans="1:24">
      <c r="A446" t="s">
        <v>28</v>
      </c>
      <c r="B446" t="s">
        <v>976</v>
      </c>
      <c r="C446" t="s">
        <v>977</v>
      </c>
      <c r="D446" t="s">
        <v>56</v>
      </c>
      <c r="E446" t="s">
        <v>59</v>
      </c>
      <c r="F446" t="s">
        <v>467</v>
      </c>
      <c r="G446" t="s">
        <v>468</v>
      </c>
      <c r="H446" t="s">
        <v>368</v>
      </c>
      <c r="I446" t="s">
        <v>36</v>
      </c>
      <c r="J446" t="s">
        <v>47</v>
      </c>
      <c r="K446" s="4">
        <v>42451</v>
      </c>
      <c r="L446" s="4">
        <v>122</v>
      </c>
      <c r="M446" s="4">
        <v>29142</v>
      </c>
      <c r="N446" s="4">
        <v>41093</v>
      </c>
      <c r="O446" s="4">
        <v>7</v>
      </c>
      <c r="P446" s="3">
        <v>1530.5536999999999</v>
      </c>
      <c r="Q446"/>
      <c r="R446"/>
      <c r="S446"/>
      <c r="T446"/>
      <c r="U446"/>
      <c r="V446"/>
      <c r="W446"/>
      <c r="X446"/>
    </row>
    <row r="447" spans="1:24">
      <c r="A447" t="s">
        <v>28</v>
      </c>
      <c r="B447" t="s">
        <v>976</v>
      </c>
      <c r="C447" t="s">
        <v>978</v>
      </c>
      <c r="D447" t="s">
        <v>54</v>
      </c>
      <c r="E447" t="s">
        <v>55</v>
      </c>
      <c r="F447" t="s">
        <v>486</v>
      </c>
      <c r="G447" t="s">
        <v>487</v>
      </c>
      <c r="H447" t="s">
        <v>277</v>
      </c>
      <c r="I447" t="s">
        <v>44</v>
      </c>
      <c r="J447" t="s">
        <v>47</v>
      </c>
      <c r="K447" s="4">
        <v>13713</v>
      </c>
      <c r="L447" s="4">
        <v>151</v>
      </c>
      <c r="M447" s="4">
        <v>8339</v>
      </c>
      <c r="N447" s="4">
        <v>13051</v>
      </c>
      <c r="O447" s="4">
        <v>5</v>
      </c>
      <c r="P447" s="3">
        <v>1490.0062</v>
      </c>
      <c r="Q447"/>
      <c r="R447"/>
      <c r="S447"/>
      <c r="T447"/>
      <c r="U447"/>
      <c r="V447"/>
      <c r="W447"/>
      <c r="X447"/>
    </row>
    <row r="448" spans="1:24">
      <c r="A448" t="s">
        <v>28</v>
      </c>
      <c r="B448" t="s">
        <v>976</v>
      </c>
      <c r="C448" t="s">
        <v>979</v>
      </c>
      <c r="D448" t="s">
        <v>54</v>
      </c>
      <c r="E448" t="s">
        <v>57</v>
      </c>
      <c r="F448" t="s">
        <v>467</v>
      </c>
      <c r="G448" t="s">
        <v>468</v>
      </c>
      <c r="H448" t="s">
        <v>388</v>
      </c>
      <c r="I448" t="s">
        <v>36</v>
      </c>
      <c r="J448" t="s">
        <v>47</v>
      </c>
      <c r="K448" s="4">
        <v>16239</v>
      </c>
      <c r="L448" s="4">
        <v>78</v>
      </c>
      <c r="M448" s="4">
        <v>9375</v>
      </c>
      <c r="N448" s="4">
        <v>15562</v>
      </c>
      <c r="O448" s="4">
        <v>5</v>
      </c>
      <c r="P448" s="3">
        <v>2387.6862999999998</v>
      </c>
      <c r="Q448"/>
      <c r="R448"/>
      <c r="S448"/>
      <c r="T448"/>
      <c r="U448"/>
      <c r="V448"/>
      <c r="W448"/>
      <c r="X448"/>
    </row>
    <row r="449" spans="1:24">
      <c r="A449" t="s">
        <v>28</v>
      </c>
      <c r="B449" t="s">
        <v>976</v>
      </c>
      <c r="C449" t="s">
        <v>980</v>
      </c>
      <c r="D449" t="s">
        <v>56</v>
      </c>
      <c r="E449" t="s">
        <v>57</v>
      </c>
      <c r="F449" t="s">
        <v>459</v>
      </c>
      <c r="G449" t="s">
        <v>460</v>
      </c>
      <c r="H449" t="s">
        <v>215</v>
      </c>
      <c r="I449" t="s">
        <v>36</v>
      </c>
      <c r="J449" t="s">
        <v>49</v>
      </c>
      <c r="K449" s="4">
        <v>17049</v>
      </c>
      <c r="L449" s="4">
        <v>84</v>
      </c>
      <c r="M449" s="4">
        <v>191</v>
      </c>
      <c r="N449" s="4">
        <v>15564</v>
      </c>
      <c r="O449" s="4">
        <v>15</v>
      </c>
      <c r="P449" s="3">
        <v>2144.4895999999999</v>
      </c>
      <c r="Q449"/>
      <c r="R449"/>
      <c r="S449"/>
      <c r="T449"/>
      <c r="U449"/>
      <c r="V449"/>
      <c r="W449"/>
      <c r="X449"/>
    </row>
    <row r="450" spans="1:24">
      <c r="A450" t="s">
        <v>28</v>
      </c>
      <c r="B450" t="s">
        <v>981</v>
      </c>
      <c r="D450" t="s">
        <v>56</v>
      </c>
      <c r="E450" t="s">
        <v>57</v>
      </c>
      <c r="F450" t="s">
        <v>467</v>
      </c>
      <c r="G450" t="s">
        <v>468</v>
      </c>
      <c r="H450" t="s">
        <v>359</v>
      </c>
      <c r="I450" t="s">
        <v>36</v>
      </c>
      <c r="J450" t="s">
        <v>47</v>
      </c>
      <c r="K450" s="4">
        <v>756687</v>
      </c>
      <c r="L450" s="4">
        <v>1984</v>
      </c>
      <c r="M450" s="4">
        <v>442979</v>
      </c>
      <c r="N450" s="4">
        <v>611813</v>
      </c>
      <c r="O450" s="4">
        <v>14</v>
      </c>
      <c r="P450" s="3">
        <v>2452.9974999999999</v>
      </c>
      <c r="Q450"/>
      <c r="R450"/>
      <c r="S450"/>
      <c r="T450"/>
      <c r="U450"/>
      <c r="V450"/>
      <c r="W450"/>
      <c r="X450"/>
    </row>
    <row r="451" spans="1:24">
      <c r="A451" t="s">
        <v>28</v>
      </c>
      <c r="B451" t="s">
        <v>981</v>
      </c>
      <c r="C451" t="s">
        <v>982</v>
      </c>
      <c r="D451" t="s">
        <v>56</v>
      </c>
      <c r="E451" t="s">
        <v>59</v>
      </c>
      <c r="F451" t="s">
        <v>467</v>
      </c>
      <c r="G451" t="s">
        <v>468</v>
      </c>
      <c r="H451" t="s">
        <v>232</v>
      </c>
      <c r="I451" t="s">
        <v>38</v>
      </c>
      <c r="J451" t="s">
        <v>48</v>
      </c>
      <c r="K451" s="4">
        <v>69757</v>
      </c>
      <c r="L451" s="4">
        <v>199</v>
      </c>
      <c r="M451" s="4">
        <v>41258</v>
      </c>
      <c r="N451" s="4">
        <v>65374</v>
      </c>
      <c r="O451" s="4">
        <v>20</v>
      </c>
      <c r="P451" s="3">
        <v>1510.6152999999999</v>
      </c>
      <c r="Q451"/>
      <c r="R451"/>
      <c r="S451"/>
      <c r="T451"/>
      <c r="U451"/>
      <c r="V451"/>
      <c r="W451"/>
      <c r="X451"/>
    </row>
    <row r="452" spans="1:24">
      <c r="A452" t="s">
        <v>28</v>
      </c>
      <c r="B452" t="s">
        <v>983</v>
      </c>
      <c r="D452" t="s">
        <v>56</v>
      </c>
      <c r="E452" t="s">
        <v>59</v>
      </c>
      <c r="F452" t="s">
        <v>482</v>
      </c>
      <c r="G452" t="s">
        <v>483</v>
      </c>
      <c r="H452" t="s">
        <v>410</v>
      </c>
      <c r="I452" t="s">
        <v>36</v>
      </c>
      <c r="J452" t="s">
        <v>47</v>
      </c>
      <c r="K452" s="4">
        <v>10942</v>
      </c>
      <c r="L452" s="4">
        <v>66</v>
      </c>
      <c r="M452" s="4">
        <v>4578</v>
      </c>
      <c r="N452" s="4">
        <v>9155</v>
      </c>
      <c r="O452" s="4">
        <v>3</v>
      </c>
      <c r="P452" s="3">
        <v>1595.7526</v>
      </c>
      <c r="Q452"/>
      <c r="R452"/>
      <c r="S452"/>
      <c r="T452"/>
      <c r="U452"/>
      <c r="V452"/>
      <c r="W452"/>
      <c r="X452"/>
    </row>
    <row r="453" spans="1:24">
      <c r="A453" t="s">
        <v>28</v>
      </c>
      <c r="B453" t="s">
        <v>984</v>
      </c>
      <c r="D453" t="s">
        <v>56</v>
      </c>
      <c r="E453" t="s">
        <v>60</v>
      </c>
      <c r="F453" t="s">
        <v>551</v>
      </c>
      <c r="G453" t="s">
        <v>487</v>
      </c>
      <c r="H453" t="s">
        <v>288</v>
      </c>
      <c r="I453" t="s">
        <v>40</v>
      </c>
      <c r="J453" t="s">
        <v>48</v>
      </c>
      <c r="K453" s="4">
        <v>70506</v>
      </c>
      <c r="L453" s="4">
        <v>270</v>
      </c>
      <c r="M453" s="4">
        <v>26779</v>
      </c>
      <c r="N453" s="4">
        <v>48902</v>
      </c>
      <c r="O453" s="4">
        <v>3</v>
      </c>
      <c r="P453" s="3">
        <v>1912.9668999999999</v>
      </c>
      <c r="Q453"/>
      <c r="R453"/>
      <c r="S453"/>
      <c r="T453"/>
      <c r="U453"/>
      <c r="V453"/>
      <c r="W453"/>
      <c r="X453"/>
    </row>
    <row r="454" spans="1:24">
      <c r="A454" t="s">
        <v>28</v>
      </c>
      <c r="B454" t="s">
        <v>985</v>
      </c>
      <c r="C454" t="s">
        <v>986</v>
      </c>
      <c r="D454" t="s">
        <v>56</v>
      </c>
      <c r="E454" t="s">
        <v>57</v>
      </c>
      <c r="F454" t="s">
        <v>506</v>
      </c>
      <c r="G454" t="s">
        <v>474</v>
      </c>
      <c r="H454" t="s">
        <v>223</v>
      </c>
      <c r="I454" t="s">
        <v>209</v>
      </c>
      <c r="J454" t="s">
        <v>48</v>
      </c>
      <c r="K454" s="4">
        <v>37076</v>
      </c>
      <c r="L454" s="4">
        <v>113</v>
      </c>
      <c r="M454" s="4">
        <v>9246</v>
      </c>
      <c r="N454" s="4">
        <v>22565</v>
      </c>
      <c r="O454" s="4">
        <v>12</v>
      </c>
      <c r="P454" s="3">
        <v>1487.9961000000001</v>
      </c>
      <c r="Q454"/>
      <c r="R454"/>
      <c r="S454"/>
      <c r="T454"/>
      <c r="U454"/>
      <c r="V454"/>
      <c r="W454"/>
      <c r="X454"/>
    </row>
    <row r="455" spans="1:24">
      <c r="A455" t="s">
        <v>28</v>
      </c>
      <c r="B455" t="s">
        <v>985</v>
      </c>
      <c r="C455" t="s">
        <v>987</v>
      </c>
      <c r="D455" t="s">
        <v>54</v>
      </c>
      <c r="E455" t="s">
        <v>55</v>
      </c>
      <c r="F455" t="s">
        <v>570</v>
      </c>
      <c r="G455" t="s">
        <v>460</v>
      </c>
      <c r="H455" t="s">
        <v>282</v>
      </c>
      <c r="I455" t="s">
        <v>44</v>
      </c>
      <c r="J455" t="s">
        <v>47</v>
      </c>
      <c r="K455" s="4">
        <v>9078</v>
      </c>
      <c r="L455" s="4">
        <v>21</v>
      </c>
      <c r="M455" s="4">
        <v>4051</v>
      </c>
      <c r="N455" s="4">
        <v>6215</v>
      </c>
      <c r="O455" s="4">
        <v>1</v>
      </c>
      <c r="P455" s="3">
        <v>1700.7956999999999</v>
      </c>
      <c r="Q455"/>
      <c r="R455"/>
      <c r="S455"/>
      <c r="T455"/>
      <c r="U455"/>
      <c r="V455"/>
      <c r="W455"/>
      <c r="X455"/>
    </row>
    <row r="456" spans="1:24">
      <c r="A456" t="s">
        <v>28</v>
      </c>
      <c r="B456" t="s">
        <v>478</v>
      </c>
      <c r="C456" t="s">
        <v>988</v>
      </c>
      <c r="D456" t="s">
        <v>54</v>
      </c>
      <c r="E456" t="s">
        <v>55</v>
      </c>
      <c r="F456" t="s">
        <v>480</v>
      </c>
      <c r="G456" t="s">
        <v>460</v>
      </c>
      <c r="H456" t="s">
        <v>340</v>
      </c>
      <c r="I456" t="s">
        <v>38</v>
      </c>
      <c r="J456" t="s">
        <v>47</v>
      </c>
      <c r="K456" s="4">
        <v>13466</v>
      </c>
      <c r="L456" s="4">
        <v>150</v>
      </c>
      <c r="M456" s="4">
        <v>8684</v>
      </c>
      <c r="N456" s="4">
        <v>11766</v>
      </c>
      <c r="O456" s="4">
        <v>1</v>
      </c>
      <c r="P456" s="3">
        <v>1527.1763000000001</v>
      </c>
      <c r="Q456"/>
      <c r="R456"/>
      <c r="S456"/>
      <c r="T456"/>
      <c r="U456"/>
      <c r="V456"/>
      <c r="W456"/>
      <c r="X456"/>
    </row>
    <row r="457" spans="1:24">
      <c r="A457" t="s">
        <v>28</v>
      </c>
      <c r="B457" t="s">
        <v>920</v>
      </c>
      <c r="D457" t="s">
        <v>56</v>
      </c>
      <c r="E457" t="s">
        <v>60</v>
      </c>
      <c r="F457" t="s">
        <v>482</v>
      </c>
      <c r="G457" t="s">
        <v>483</v>
      </c>
      <c r="H457" t="s">
        <v>310</v>
      </c>
      <c r="I457" t="s">
        <v>445</v>
      </c>
      <c r="J457" t="s">
        <v>47</v>
      </c>
      <c r="K457" s="4">
        <v>45402</v>
      </c>
      <c r="L457" s="4">
        <v>122</v>
      </c>
      <c r="M457" s="4">
        <v>17284</v>
      </c>
      <c r="N457" s="4">
        <v>27542</v>
      </c>
      <c r="O457" s="4">
        <v>5</v>
      </c>
      <c r="P457" s="3">
        <v>2163.2653</v>
      </c>
      <c r="Q457"/>
      <c r="R457"/>
      <c r="S457"/>
      <c r="T457"/>
      <c r="U457"/>
      <c r="V457"/>
      <c r="W457"/>
      <c r="X457"/>
    </row>
    <row r="458" spans="1:24">
      <c r="A458" t="s">
        <v>28</v>
      </c>
      <c r="B458" t="s">
        <v>989</v>
      </c>
      <c r="D458" t="s">
        <v>56</v>
      </c>
      <c r="E458" t="s">
        <v>59</v>
      </c>
      <c r="F458" t="s">
        <v>473</v>
      </c>
      <c r="G458" t="s">
        <v>474</v>
      </c>
      <c r="H458" t="s">
        <v>330</v>
      </c>
      <c r="I458" t="s">
        <v>36</v>
      </c>
      <c r="J458" t="s">
        <v>47</v>
      </c>
      <c r="K458" s="4">
        <v>183208</v>
      </c>
      <c r="L458" s="4">
        <v>620</v>
      </c>
      <c r="M458" s="4">
        <v>131164</v>
      </c>
      <c r="N458" s="4">
        <v>177952</v>
      </c>
      <c r="O458" s="4">
        <v>43</v>
      </c>
      <c r="P458" s="3">
        <v>2682.4366</v>
      </c>
      <c r="Q458"/>
      <c r="R458"/>
      <c r="S458"/>
      <c r="T458"/>
      <c r="U458"/>
      <c r="V458"/>
      <c r="W458"/>
      <c r="X458"/>
    </row>
    <row r="459" spans="1:24">
      <c r="A459" t="s">
        <v>28</v>
      </c>
      <c r="B459" t="s">
        <v>989</v>
      </c>
      <c r="C459" t="s">
        <v>990</v>
      </c>
      <c r="D459" t="s">
        <v>54</v>
      </c>
      <c r="E459" t="s">
        <v>59</v>
      </c>
      <c r="F459" t="s">
        <v>486</v>
      </c>
      <c r="G459" t="s">
        <v>487</v>
      </c>
      <c r="H459" t="s">
        <v>245</v>
      </c>
      <c r="I459" t="s">
        <v>214</v>
      </c>
      <c r="J459" t="s">
        <v>47</v>
      </c>
      <c r="K459" s="4">
        <v>16288</v>
      </c>
      <c r="L459" s="4">
        <v>56</v>
      </c>
      <c r="M459" s="4">
        <v>5304</v>
      </c>
      <c r="N459" s="4">
        <v>10731</v>
      </c>
      <c r="O459" s="4">
        <v>3</v>
      </c>
      <c r="P459" s="3">
        <v>2030.1427000000001</v>
      </c>
      <c r="Q459"/>
      <c r="R459"/>
      <c r="S459"/>
      <c r="T459"/>
      <c r="U459"/>
      <c r="V459"/>
      <c r="W459"/>
      <c r="X459"/>
    </row>
    <row r="460" spans="1:24">
      <c r="A460" t="s">
        <v>28</v>
      </c>
      <c r="B460" t="s">
        <v>991</v>
      </c>
      <c r="C460" t="s">
        <v>979</v>
      </c>
      <c r="D460" t="s">
        <v>56</v>
      </c>
      <c r="E460" t="s">
        <v>59</v>
      </c>
      <c r="F460" t="s">
        <v>467</v>
      </c>
      <c r="G460" t="s">
        <v>468</v>
      </c>
      <c r="H460" t="s">
        <v>284</v>
      </c>
      <c r="I460" t="s">
        <v>36</v>
      </c>
      <c r="J460" t="s">
        <v>47</v>
      </c>
      <c r="K460" s="4">
        <v>14581</v>
      </c>
      <c r="L460" s="4">
        <v>85</v>
      </c>
      <c r="M460" s="4">
        <v>6970</v>
      </c>
      <c r="N460" s="4">
        <v>8882</v>
      </c>
      <c r="O460" s="4">
        <v>4</v>
      </c>
      <c r="P460" s="3">
        <v>2636.2021</v>
      </c>
      <c r="Q460"/>
      <c r="R460"/>
      <c r="S460"/>
      <c r="T460"/>
      <c r="U460"/>
      <c r="V460"/>
      <c r="W460"/>
      <c r="X460"/>
    </row>
    <row r="461" spans="1:24">
      <c r="A461" t="s">
        <v>28</v>
      </c>
      <c r="B461" t="s">
        <v>991</v>
      </c>
      <c r="C461" t="s">
        <v>992</v>
      </c>
      <c r="D461" t="s">
        <v>54</v>
      </c>
      <c r="E461" t="s">
        <v>59</v>
      </c>
      <c r="F461" t="s">
        <v>473</v>
      </c>
      <c r="G461" t="s">
        <v>474</v>
      </c>
      <c r="H461" t="s">
        <v>259</v>
      </c>
      <c r="I461" t="s">
        <v>253</v>
      </c>
      <c r="J461" t="s">
        <v>47</v>
      </c>
      <c r="K461" s="4">
        <v>13592</v>
      </c>
      <c r="L461" s="4">
        <v>85</v>
      </c>
      <c r="M461" s="4">
        <v>7747</v>
      </c>
      <c r="N461" s="4">
        <v>10690</v>
      </c>
      <c r="O461" s="4">
        <v>1</v>
      </c>
      <c r="P461" s="3">
        <v>1555.1121000000001</v>
      </c>
      <c r="Q461"/>
      <c r="R461"/>
      <c r="S461"/>
      <c r="T461"/>
      <c r="U461"/>
      <c r="V461"/>
      <c r="W461"/>
      <c r="X461"/>
    </row>
    <row r="462" spans="1:24">
      <c r="A462" t="s">
        <v>28</v>
      </c>
      <c r="B462" t="s">
        <v>991</v>
      </c>
      <c r="C462" t="s">
        <v>993</v>
      </c>
      <c r="D462" t="s">
        <v>54</v>
      </c>
      <c r="E462" t="s">
        <v>55</v>
      </c>
      <c r="F462" t="s">
        <v>467</v>
      </c>
      <c r="G462" t="s">
        <v>468</v>
      </c>
      <c r="H462" t="s">
        <v>215</v>
      </c>
      <c r="I462" t="s">
        <v>214</v>
      </c>
      <c r="J462" t="s">
        <v>47</v>
      </c>
      <c r="K462" s="4">
        <v>37227</v>
      </c>
      <c r="L462" s="4">
        <v>130</v>
      </c>
      <c r="M462" s="4">
        <v>13542</v>
      </c>
      <c r="N462" s="4">
        <v>32456</v>
      </c>
      <c r="O462" s="4">
        <v>4</v>
      </c>
      <c r="P462" s="3">
        <v>1901.0947000000001</v>
      </c>
      <c r="Q462"/>
      <c r="R462"/>
      <c r="S462"/>
      <c r="T462"/>
      <c r="U462"/>
      <c r="V462"/>
      <c r="W462"/>
      <c r="X462"/>
    </row>
    <row r="463" spans="1:24">
      <c r="A463" t="s">
        <v>28</v>
      </c>
      <c r="B463" t="s">
        <v>991</v>
      </c>
      <c r="C463" t="s">
        <v>994</v>
      </c>
      <c r="D463" t="s">
        <v>56</v>
      </c>
      <c r="E463" t="s">
        <v>59</v>
      </c>
      <c r="F463" t="s">
        <v>459</v>
      </c>
      <c r="G463" t="s">
        <v>460</v>
      </c>
      <c r="H463" t="s">
        <v>333</v>
      </c>
      <c r="I463" t="s">
        <v>38</v>
      </c>
      <c r="J463" t="s">
        <v>49</v>
      </c>
      <c r="K463" s="4">
        <v>17228</v>
      </c>
      <c r="L463" s="4">
        <v>30</v>
      </c>
      <c r="M463" s="4">
        <v>11116</v>
      </c>
      <c r="N463" s="4">
        <v>16044</v>
      </c>
      <c r="O463" s="4">
        <v>3</v>
      </c>
      <c r="P463" s="3">
        <v>1547.5135</v>
      </c>
      <c r="Q463"/>
      <c r="R463"/>
      <c r="S463"/>
      <c r="T463"/>
      <c r="U463"/>
      <c r="V463"/>
      <c r="W463"/>
      <c r="X463"/>
    </row>
    <row r="464" spans="1:24">
      <c r="A464" t="s">
        <v>28</v>
      </c>
      <c r="B464" t="s">
        <v>991</v>
      </c>
      <c r="C464" t="s">
        <v>995</v>
      </c>
      <c r="D464" t="s">
        <v>56</v>
      </c>
      <c r="E464" t="s">
        <v>55</v>
      </c>
      <c r="F464" t="s">
        <v>471</v>
      </c>
      <c r="G464" t="s">
        <v>464</v>
      </c>
      <c r="H464" t="s">
        <v>237</v>
      </c>
      <c r="I464" t="s">
        <v>36</v>
      </c>
      <c r="J464" t="s">
        <v>48</v>
      </c>
      <c r="K464" s="4">
        <v>21531</v>
      </c>
      <c r="L464" s="4">
        <v>55</v>
      </c>
      <c r="M464" s="4">
        <v>15593</v>
      </c>
      <c r="N464" s="4">
        <v>18617</v>
      </c>
      <c r="O464" s="4">
        <v>6</v>
      </c>
      <c r="P464" s="3">
        <v>1470.9719</v>
      </c>
      <c r="Q464"/>
      <c r="R464"/>
      <c r="S464"/>
      <c r="T464"/>
      <c r="U464"/>
      <c r="V464"/>
      <c r="W464"/>
      <c r="X464"/>
    </row>
    <row r="465" spans="1:24">
      <c r="A465" t="s">
        <v>28</v>
      </c>
      <c r="B465" t="s">
        <v>991</v>
      </c>
      <c r="C465" t="s">
        <v>996</v>
      </c>
      <c r="D465" t="s">
        <v>56</v>
      </c>
      <c r="E465" t="s">
        <v>55</v>
      </c>
      <c r="F465" t="s">
        <v>747</v>
      </c>
      <c r="G465" t="s">
        <v>460</v>
      </c>
      <c r="H465" t="s">
        <v>414</v>
      </c>
      <c r="I465" t="s">
        <v>36</v>
      </c>
      <c r="J465" t="s">
        <v>47</v>
      </c>
      <c r="K465" s="4">
        <v>10883</v>
      </c>
      <c r="L465" s="4">
        <v>46</v>
      </c>
      <c r="M465" s="4">
        <v>1652</v>
      </c>
      <c r="N465" s="4">
        <v>8869</v>
      </c>
      <c r="O465" s="4">
        <v>16</v>
      </c>
      <c r="P465" s="3">
        <v>1942.4824000000001</v>
      </c>
      <c r="Q465"/>
      <c r="R465"/>
      <c r="S465"/>
      <c r="T465"/>
      <c r="U465"/>
      <c r="V465"/>
      <c r="W465"/>
      <c r="X465"/>
    </row>
    <row r="466" spans="1:24">
      <c r="A466" t="s">
        <v>28</v>
      </c>
      <c r="B466" t="s">
        <v>991</v>
      </c>
      <c r="C466" t="s">
        <v>997</v>
      </c>
      <c r="D466" t="s">
        <v>54</v>
      </c>
      <c r="E466" t="s">
        <v>57</v>
      </c>
      <c r="F466" t="s">
        <v>519</v>
      </c>
      <c r="G466" t="s">
        <v>460</v>
      </c>
      <c r="H466" t="s">
        <v>347</v>
      </c>
      <c r="I466" t="s">
        <v>38</v>
      </c>
      <c r="J466" t="s">
        <v>47</v>
      </c>
      <c r="K466" s="4">
        <v>10992</v>
      </c>
      <c r="L466" s="4">
        <v>97</v>
      </c>
      <c r="M466" s="4">
        <v>6677</v>
      </c>
      <c r="N466" s="4">
        <v>10132</v>
      </c>
      <c r="O466" s="4">
        <v>3</v>
      </c>
      <c r="P466" s="3">
        <v>1675.9874</v>
      </c>
      <c r="Q466"/>
      <c r="R466"/>
      <c r="S466"/>
      <c r="T466"/>
      <c r="U466"/>
      <c r="V466"/>
      <c r="W466"/>
      <c r="X466"/>
    </row>
    <row r="467" spans="1:24">
      <c r="A467" t="s">
        <v>28</v>
      </c>
      <c r="B467" t="s">
        <v>991</v>
      </c>
      <c r="C467" t="s">
        <v>998</v>
      </c>
      <c r="D467" t="s">
        <v>54</v>
      </c>
      <c r="E467" t="s">
        <v>60</v>
      </c>
      <c r="F467" t="s">
        <v>706</v>
      </c>
      <c r="G467" t="s">
        <v>707</v>
      </c>
      <c r="H467" t="s">
        <v>217</v>
      </c>
      <c r="I467" t="s">
        <v>36</v>
      </c>
      <c r="J467" t="s">
        <v>47</v>
      </c>
      <c r="K467" s="4">
        <v>21229</v>
      </c>
      <c r="L467" s="4">
        <v>80</v>
      </c>
      <c r="M467" s="4">
        <v>18073</v>
      </c>
      <c r="N467" s="4">
        <v>19655</v>
      </c>
      <c r="O467" s="4">
        <v>10</v>
      </c>
      <c r="P467" s="3">
        <v>1550.0767000000001</v>
      </c>
      <c r="Q467"/>
      <c r="R467"/>
      <c r="S467"/>
      <c r="T467"/>
      <c r="U467"/>
      <c r="V467"/>
      <c r="W467"/>
      <c r="X467"/>
    </row>
    <row r="468" spans="1:24">
      <c r="A468" t="s">
        <v>28</v>
      </c>
      <c r="B468" t="s">
        <v>991</v>
      </c>
      <c r="C468" t="s">
        <v>999</v>
      </c>
      <c r="D468" t="s">
        <v>54</v>
      </c>
      <c r="E468" t="s">
        <v>59</v>
      </c>
      <c r="F468" t="s">
        <v>473</v>
      </c>
      <c r="G468" t="s">
        <v>474</v>
      </c>
      <c r="H468" t="s">
        <v>243</v>
      </c>
      <c r="I468" t="s">
        <v>40</v>
      </c>
      <c r="J468" t="s">
        <v>47</v>
      </c>
      <c r="K468" s="4">
        <v>73544</v>
      </c>
      <c r="L468" s="4">
        <v>223</v>
      </c>
      <c r="M468" s="4">
        <v>40405</v>
      </c>
      <c r="N468" s="4">
        <v>67406</v>
      </c>
      <c r="O468" s="4">
        <v>1</v>
      </c>
      <c r="P468" s="3">
        <v>1465.8723</v>
      </c>
      <c r="Q468"/>
      <c r="R468"/>
      <c r="S468"/>
      <c r="T468"/>
      <c r="U468"/>
      <c r="V468"/>
      <c r="W468"/>
      <c r="X468"/>
    </row>
    <row r="469" spans="1:24">
      <c r="A469" t="s">
        <v>28</v>
      </c>
      <c r="B469" t="s">
        <v>991</v>
      </c>
      <c r="C469" t="s">
        <v>999</v>
      </c>
      <c r="D469" t="s">
        <v>56</v>
      </c>
      <c r="E469" t="s">
        <v>55</v>
      </c>
      <c r="F469" t="s">
        <v>491</v>
      </c>
      <c r="G469" t="s">
        <v>29</v>
      </c>
      <c r="H469" t="s">
        <v>279</v>
      </c>
      <c r="I469" t="s">
        <v>44</v>
      </c>
      <c r="J469" t="s">
        <v>47</v>
      </c>
      <c r="K469" s="4">
        <v>11062</v>
      </c>
      <c r="L469" s="4">
        <v>78</v>
      </c>
      <c r="M469" s="4">
        <v>6539</v>
      </c>
      <c r="N469" s="4">
        <v>9391</v>
      </c>
      <c r="O469" s="4">
        <v>2</v>
      </c>
      <c r="P469" s="3">
        <v>1500.0993000000001</v>
      </c>
      <c r="Q469"/>
      <c r="R469"/>
      <c r="S469"/>
      <c r="T469"/>
      <c r="U469"/>
      <c r="V469"/>
      <c r="W469"/>
      <c r="X469"/>
    </row>
    <row r="470" spans="1:24">
      <c r="A470" t="s">
        <v>28</v>
      </c>
      <c r="B470" t="s">
        <v>991</v>
      </c>
      <c r="C470" t="s">
        <v>1000</v>
      </c>
      <c r="D470" t="s">
        <v>54</v>
      </c>
      <c r="E470" t="s">
        <v>55</v>
      </c>
      <c r="F470" t="s">
        <v>570</v>
      </c>
      <c r="G470" t="s">
        <v>460</v>
      </c>
      <c r="H470" t="s">
        <v>218</v>
      </c>
      <c r="I470" t="s">
        <v>36</v>
      </c>
      <c r="J470" t="s">
        <v>47</v>
      </c>
      <c r="K470" s="4">
        <v>47931</v>
      </c>
      <c r="L470" s="4">
        <v>170</v>
      </c>
      <c r="M470" s="4">
        <v>15989</v>
      </c>
      <c r="N470" s="4">
        <v>38916</v>
      </c>
      <c r="O470" s="4">
        <v>4</v>
      </c>
      <c r="P470" s="3">
        <v>1487.2285999999999</v>
      </c>
      <c r="Q470"/>
      <c r="R470"/>
      <c r="S470"/>
      <c r="T470"/>
      <c r="U470"/>
      <c r="V470"/>
      <c r="W470"/>
      <c r="X470"/>
    </row>
    <row r="471" spans="1:24">
      <c r="A471" t="s">
        <v>28</v>
      </c>
      <c r="B471" t="s">
        <v>991</v>
      </c>
      <c r="C471" t="s">
        <v>1001</v>
      </c>
      <c r="D471" t="s">
        <v>56</v>
      </c>
      <c r="E471" t="s">
        <v>57</v>
      </c>
      <c r="F471" t="s">
        <v>471</v>
      </c>
      <c r="G471" t="s">
        <v>464</v>
      </c>
      <c r="H471" t="s">
        <v>357</v>
      </c>
      <c r="I471" t="s">
        <v>38</v>
      </c>
      <c r="J471" t="s">
        <v>47</v>
      </c>
      <c r="K471" s="4">
        <v>7402</v>
      </c>
      <c r="L471" s="4">
        <v>9</v>
      </c>
      <c r="M471" s="4">
        <v>3860</v>
      </c>
      <c r="N471" s="4">
        <v>6406</v>
      </c>
      <c r="O471" s="4">
        <v>1</v>
      </c>
      <c r="P471" s="3">
        <v>1560.4499000000001</v>
      </c>
      <c r="Q471"/>
      <c r="R471"/>
      <c r="S471"/>
      <c r="T471"/>
      <c r="U471"/>
      <c r="V471"/>
      <c r="W471"/>
      <c r="X471"/>
    </row>
    <row r="472" spans="1:24">
      <c r="A472" t="s">
        <v>28</v>
      </c>
      <c r="B472" t="s">
        <v>1002</v>
      </c>
      <c r="D472" t="s">
        <v>56</v>
      </c>
      <c r="E472" t="s">
        <v>55</v>
      </c>
      <c r="F472" t="s">
        <v>486</v>
      </c>
      <c r="G472" t="s">
        <v>487</v>
      </c>
      <c r="H472" t="s">
        <v>361</v>
      </c>
      <c r="I472" t="s">
        <v>36</v>
      </c>
      <c r="J472" t="s">
        <v>47</v>
      </c>
      <c r="K472" s="4">
        <v>9130</v>
      </c>
      <c r="L472" s="4">
        <v>33</v>
      </c>
      <c r="M472" s="4">
        <v>3721</v>
      </c>
      <c r="N472" s="4">
        <v>5564</v>
      </c>
      <c r="O472" s="4">
        <v>1</v>
      </c>
      <c r="P472" s="3">
        <v>1655.7928999999999</v>
      </c>
      <c r="Q472"/>
      <c r="R472"/>
      <c r="S472"/>
      <c r="T472"/>
      <c r="U472"/>
      <c r="V472"/>
      <c r="W472"/>
      <c r="X472"/>
    </row>
    <row r="473" spans="1:24">
      <c r="A473" t="s">
        <v>28</v>
      </c>
      <c r="B473" t="s">
        <v>1002</v>
      </c>
      <c r="C473" t="s">
        <v>1003</v>
      </c>
      <c r="D473" t="s">
        <v>56</v>
      </c>
      <c r="E473" t="s">
        <v>57</v>
      </c>
      <c r="F473" t="s">
        <v>482</v>
      </c>
      <c r="G473" t="s">
        <v>483</v>
      </c>
      <c r="H473" t="s">
        <v>336</v>
      </c>
      <c r="I473" t="s">
        <v>38</v>
      </c>
      <c r="J473" t="s">
        <v>47</v>
      </c>
      <c r="K473" s="4">
        <v>14693</v>
      </c>
      <c r="L473" s="4">
        <v>70</v>
      </c>
      <c r="M473" s="4">
        <v>6597</v>
      </c>
      <c r="N473" s="4">
        <v>13508</v>
      </c>
      <c r="O473" s="4">
        <v>4</v>
      </c>
      <c r="P473" s="3">
        <v>2047.3489</v>
      </c>
      <c r="Q473"/>
      <c r="R473"/>
      <c r="S473"/>
      <c r="T473"/>
      <c r="U473"/>
      <c r="V473"/>
      <c r="W473"/>
      <c r="X473"/>
    </row>
    <row r="474" spans="1:24">
      <c r="A474" t="s">
        <v>28</v>
      </c>
      <c r="B474" t="s">
        <v>1002</v>
      </c>
      <c r="C474" t="s">
        <v>1004</v>
      </c>
      <c r="D474" t="s">
        <v>56</v>
      </c>
      <c r="E474" t="s">
        <v>57</v>
      </c>
      <c r="F474" t="s">
        <v>459</v>
      </c>
      <c r="G474" t="s">
        <v>460</v>
      </c>
      <c r="H474" t="s">
        <v>275</v>
      </c>
      <c r="I474" t="s">
        <v>44</v>
      </c>
      <c r="J474" t="s">
        <v>48</v>
      </c>
      <c r="K474" s="4">
        <v>16325</v>
      </c>
      <c r="L474" s="4">
        <v>78</v>
      </c>
      <c r="M474" s="4">
        <v>9558</v>
      </c>
      <c r="N474" s="4">
        <v>15426</v>
      </c>
      <c r="O474" s="4">
        <v>21</v>
      </c>
      <c r="P474" s="3">
        <v>1814.0986</v>
      </c>
      <c r="Q474"/>
      <c r="R474"/>
      <c r="S474"/>
      <c r="T474"/>
      <c r="U474"/>
      <c r="V474"/>
      <c r="W474"/>
      <c r="X474"/>
    </row>
    <row r="475" spans="1:24">
      <c r="A475" t="s">
        <v>145</v>
      </c>
      <c r="B475" t="s">
        <v>1005</v>
      </c>
      <c r="C475" t="s">
        <v>1006</v>
      </c>
      <c r="D475" t="s">
        <v>56</v>
      </c>
      <c r="E475" t="s">
        <v>60</v>
      </c>
      <c r="F475" t="s">
        <v>497</v>
      </c>
      <c r="G475" t="s">
        <v>460</v>
      </c>
      <c r="H475" t="s">
        <v>254</v>
      </c>
      <c r="I475" t="s">
        <v>40</v>
      </c>
      <c r="J475" t="s">
        <v>47</v>
      </c>
      <c r="K475" s="4">
        <v>40519</v>
      </c>
      <c r="L475" s="4">
        <v>111</v>
      </c>
      <c r="M475" s="4">
        <v>6105</v>
      </c>
      <c r="N475" s="4">
        <v>26283</v>
      </c>
      <c r="O475" s="4">
        <v>10</v>
      </c>
      <c r="P475" s="3">
        <v>1582.4110000000001</v>
      </c>
      <c r="Q475"/>
      <c r="R475"/>
      <c r="S475"/>
      <c r="T475"/>
      <c r="U475"/>
      <c r="V475"/>
      <c r="W475"/>
      <c r="X475"/>
    </row>
    <row r="476" spans="1:24">
      <c r="A476" t="s">
        <v>147</v>
      </c>
      <c r="B476" t="s">
        <v>1007</v>
      </c>
      <c r="C476" t="s">
        <v>1008</v>
      </c>
      <c r="D476" t="s">
        <v>54</v>
      </c>
      <c r="E476" t="s">
        <v>55</v>
      </c>
      <c r="F476" t="s">
        <v>497</v>
      </c>
      <c r="G476" t="s">
        <v>460</v>
      </c>
      <c r="H476" t="s">
        <v>354</v>
      </c>
      <c r="I476" t="s">
        <v>43</v>
      </c>
      <c r="J476" t="s">
        <v>47</v>
      </c>
      <c r="K476" s="4">
        <v>12692</v>
      </c>
      <c r="L476" s="4">
        <v>105</v>
      </c>
      <c r="M476" s="4">
        <v>9048</v>
      </c>
      <c r="N476" s="4">
        <v>12326</v>
      </c>
      <c r="O476" s="4">
        <v>14</v>
      </c>
      <c r="P476" s="3">
        <v>1541.7195999999999</v>
      </c>
      <c r="Q476"/>
      <c r="R476"/>
      <c r="S476"/>
      <c r="T476"/>
      <c r="U476"/>
      <c r="V476"/>
      <c r="W476"/>
      <c r="X476"/>
    </row>
    <row r="477" spans="1:24">
      <c r="A477" t="s">
        <v>147</v>
      </c>
      <c r="B477" t="s">
        <v>597</v>
      </c>
      <c r="C477" t="s">
        <v>1009</v>
      </c>
      <c r="D477" t="s">
        <v>56</v>
      </c>
      <c r="E477" t="s">
        <v>59</v>
      </c>
      <c r="F477" t="s">
        <v>459</v>
      </c>
      <c r="G477" t="s">
        <v>460</v>
      </c>
      <c r="H477" t="s">
        <v>335</v>
      </c>
      <c r="I477" t="s">
        <v>38</v>
      </c>
      <c r="J477" t="s">
        <v>47</v>
      </c>
      <c r="K477" s="4">
        <v>15277</v>
      </c>
      <c r="L477" s="4">
        <v>69</v>
      </c>
      <c r="M477" s="4">
        <v>3089</v>
      </c>
      <c r="N477" s="4">
        <v>13644</v>
      </c>
      <c r="O477" s="4">
        <v>4</v>
      </c>
      <c r="P477" s="3">
        <v>1904.5643</v>
      </c>
      <c r="Q477"/>
      <c r="R477"/>
      <c r="S477"/>
      <c r="T477"/>
      <c r="U477"/>
      <c r="V477"/>
      <c r="W477"/>
      <c r="X477"/>
    </row>
    <row r="478" spans="1:24">
      <c r="A478" t="s">
        <v>147</v>
      </c>
      <c r="B478" t="s">
        <v>1010</v>
      </c>
      <c r="D478" t="s">
        <v>56</v>
      </c>
      <c r="E478" t="s">
        <v>55</v>
      </c>
      <c r="F478" t="s">
        <v>482</v>
      </c>
      <c r="G478" t="s">
        <v>483</v>
      </c>
      <c r="H478" t="s">
        <v>343</v>
      </c>
      <c r="I478" t="s">
        <v>38</v>
      </c>
      <c r="J478" t="s">
        <v>49</v>
      </c>
      <c r="K478" s="4">
        <v>12770</v>
      </c>
      <c r="L478" s="4">
        <v>84</v>
      </c>
      <c r="M478" s="4">
        <v>6224</v>
      </c>
      <c r="N478" s="4">
        <v>11110</v>
      </c>
      <c r="O478" s="4">
        <v>21</v>
      </c>
      <c r="P478" s="3">
        <v>2087.5097999999998</v>
      </c>
      <c r="Q478"/>
      <c r="R478"/>
      <c r="S478"/>
      <c r="T478"/>
      <c r="U478"/>
      <c r="V478"/>
      <c r="W478"/>
      <c r="X478"/>
    </row>
    <row r="479" spans="1:24">
      <c r="A479" t="s">
        <v>149</v>
      </c>
      <c r="B479" t="s">
        <v>1011</v>
      </c>
      <c r="D479" t="s">
        <v>54</v>
      </c>
      <c r="E479" t="s">
        <v>55</v>
      </c>
      <c r="F479" t="s">
        <v>463</v>
      </c>
      <c r="G479" t="s">
        <v>464</v>
      </c>
      <c r="H479" t="s">
        <v>233</v>
      </c>
      <c r="I479" t="s">
        <v>44</v>
      </c>
      <c r="J479" t="s">
        <v>47</v>
      </c>
      <c r="K479" s="4">
        <v>44505</v>
      </c>
      <c r="L479" s="4">
        <v>125</v>
      </c>
      <c r="M479" s="4">
        <v>18993</v>
      </c>
      <c r="N479" s="4">
        <v>39522</v>
      </c>
      <c r="O479" s="4">
        <v>16</v>
      </c>
      <c r="P479" s="3">
        <v>6766.4754000000003</v>
      </c>
      <c r="Q479"/>
      <c r="R479"/>
      <c r="S479"/>
      <c r="T479"/>
      <c r="U479"/>
      <c r="V479"/>
      <c r="W479"/>
      <c r="X479"/>
    </row>
    <row r="480" spans="1:24">
      <c r="A480" t="s">
        <v>149</v>
      </c>
      <c r="B480" t="s">
        <v>904</v>
      </c>
      <c r="D480" t="s">
        <v>54</v>
      </c>
      <c r="E480" t="s">
        <v>57</v>
      </c>
      <c r="F480" t="s">
        <v>583</v>
      </c>
      <c r="G480" t="s">
        <v>464</v>
      </c>
      <c r="H480" t="s">
        <v>231</v>
      </c>
      <c r="I480" t="s">
        <v>445</v>
      </c>
      <c r="J480" t="s">
        <v>47</v>
      </c>
      <c r="K480" s="4">
        <v>44889</v>
      </c>
      <c r="L480" s="4">
        <v>125</v>
      </c>
      <c r="M480" s="4">
        <v>17477</v>
      </c>
      <c r="N480" s="4">
        <v>38621</v>
      </c>
      <c r="O480" s="4">
        <v>25</v>
      </c>
      <c r="P480" s="3">
        <v>6644.9540999999999</v>
      </c>
      <c r="Q480"/>
      <c r="R480"/>
      <c r="S480"/>
      <c r="T480"/>
      <c r="U480"/>
      <c r="V480"/>
      <c r="W480"/>
      <c r="X480"/>
    </row>
    <row r="481" spans="1:24">
      <c r="A481" t="s">
        <v>149</v>
      </c>
      <c r="B481" t="s">
        <v>1012</v>
      </c>
      <c r="D481" t="s">
        <v>54</v>
      </c>
      <c r="E481" t="s">
        <v>60</v>
      </c>
      <c r="F481" t="s">
        <v>482</v>
      </c>
      <c r="G481" t="s">
        <v>483</v>
      </c>
      <c r="H481" t="s">
        <v>286</v>
      </c>
      <c r="I481" t="s">
        <v>40</v>
      </c>
      <c r="J481" t="s">
        <v>47</v>
      </c>
      <c r="K481" s="4">
        <v>37176</v>
      </c>
      <c r="L481" s="4">
        <v>100</v>
      </c>
      <c r="M481" s="4">
        <v>31829</v>
      </c>
      <c r="N481" s="4">
        <v>35639</v>
      </c>
      <c r="O481" s="4">
        <v>21</v>
      </c>
      <c r="P481" s="3">
        <v>6753.5951999999997</v>
      </c>
      <c r="Q481"/>
      <c r="R481"/>
      <c r="S481"/>
      <c r="T481"/>
      <c r="U481"/>
      <c r="V481"/>
      <c r="W481"/>
      <c r="X481"/>
    </row>
    <row r="482" spans="1:24">
      <c r="A482" t="s">
        <v>149</v>
      </c>
      <c r="B482" t="s">
        <v>1013</v>
      </c>
      <c r="D482" t="s">
        <v>54</v>
      </c>
      <c r="E482" t="s">
        <v>57</v>
      </c>
      <c r="F482" t="s">
        <v>482</v>
      </c>
      <c r="G482" t="s">
        <v>483</v>
      </c>
      <c r="H482" t="s">
        <v>287</v>
      </c>
      <c r="I482" t="s">
        <v>36</v>
      </c>
      <c r="J482" t="s">
        <v>47</v>
      </c>
      <c r="K482" s="4">
        <v>55445</v>
      </c>
      <c r="L482" s="4">
        <v>155</v>
      </c>
      <c r="M482" s="4">
        <v>4565</v>
      </c>
      <c r="N482" s="4">
        <v>53407</v>
      </c>
      <c r="O482" s="4">
        <v>36</v>
      </c>
      <c r="P482" s="3">
        <v>7948.4808000000003</v>
      </c>
      <c r="Q482"/>
      <c r="R482"/>
      <c r="S482"/>
      <c r="T482"/>
      <c r="U482"/>
      <c r="V482"/>
      <c r="W482"/>
      <c r="X482"/>
    </row>
    <row r="483" spans="1:24">
      <c r="A483" t="s">
        <v>149</v>
      </c>
      <c r="B483" t="s">
        <v>1014</v>
      </c>
      <c r="D483" t="s">
        <v>54</v>
      </c>
      <c r="E483" t="s">
        <v>55</v>
      </c>
      <c r="F483" t="s">
        <v>467</v>
      </c>
      <c r="G483" t="s">
        <v>468</v>
      </c>
      <c r="H483" t="s">
        <v>237</v>
      </c>
      <c r="I483" t="s">
        <v>36</v>
      </c>
      <c r="J483" t="s">
        <v>47</v>
      </c>
      <c r="K483" s="4">
        <v>26715</v>
      </c>
      <c r="L483" s="4">
        <v>100</v>
      </c>
      <c r="M483" s="4">
        <v>12287</v>
      </c>
      <c r="N483" s="4">
        <v>25003</v>
      </c>
      <c r="O483" s="4">
        <v>6</v>
      </c>
      <c r="P483" s="3">
        <v>4623.0897000000004</v>
      </c>
      <c r="Q483"/>
      <c r="R483"/>
      <c r="S483"/>
      <c r="T483"/>
      <c r="U483"/>
      <c r="V483"/>
      <c r="W483"/>
      <c r="X483"/>
    </row>
    <row r="484" spans="1:24">
      <c r="A484" t="s">
        <v>149</v>
      </c>
      <c r="B484" t="s">
        <v>1015</v>
      </c>
      <c r="D484" t="s">
        <v>58</v>
      </c>
      <c r="E484" t="s">
        <v>60</v>
      </c>
      <c r="F484" t="s">
        <v>497</v>
      </c>
      <c r="G484" t="s">
        <v>460</v>
      </c>
      <c r="H484" t="s">
        <v>319</v>
      </c>
      <c r="I484" t="s">
        <v>38</v>
      </c>
      <c r="J484" t="s">
        <v>47</v>
      </c>
      <c r="K484" s="4">
        <v>115412</v>
      </c>
      <c r="L484" s="4">
        <v>490</v>
      </c>
      <c r="M484" s="4">
        <v>71564</v>
      </c>
      <c r="N484" s="4">
        <v>81785</v>
      </c>
      <c r="O484" s="4">
        <v>21</v>
      </c>
      <c r="P484" s="3">
        <v>6861.5364</v>
      </c>
      <c r="Q484"/>
      <c r="R484"/>
      <c r="S484"/>
      <c r="T484"/>
      <c r="U484"/>
      <c r="V484"/>
      <c r="W484"/>
      <c r="X484"/>
    </row>
    <row r="485" spans="1:24">
      <c r="A485" t="s">
        <v>149</v>
      </c>
      <c r="B485" t="s">
        <v>1016</v>
      </c>
      <c r="D485" t="s">
        <v>56</v>
      </c>
      <c r="E485" t="s">
        <v>59</v>
      </c>
      <c r="F485" t="s">
        <v>482</v>
      </c>
      <c r="G485" t="s">
        <v>483</v>
      </c>
      <c r="H485" t="s">
        <v>305</v>
      </c>
      <c r="I485" t="s">
        <v>36</v>
      </c>
      <c r="J485" t="s">
        <v>47</v>
      </c>
      <c r="K485" s="4">
        <v>9404</v>
      </c>
      <c r="L485" s="4">
        <v>30</v>
      </c>
      <c r="M485" s="4">
        <v>4781</v>
      </c>
      <c r="N485" s="4">
        <v>7943</v>
      </c>
      <c r="O485" s="4">
        <v>4</v>
      </c>
      <c r="P485" s="3">
        <v>1345.3689999999999</v>
      </c>
      <c r="Q485"/>
      <c r="R485"/>
      <c r="S485"/>
      <c r="T485"/>
      <c r="U485"/>
      <c r="V485"/>
      <c r="W485"/>
      <c r="X485"/>
    </row>
    <row r="486" spans="1:24">
      <c r="A486" t="s">
        <v>151</v>
      </c>
      <c r="D486" t="s">
        <v>56</v>
      </c>
      <c r="E486" t="s">
        <v>57</v>
      </c>
      <c r="F486" t="s">
        <v>506</v>
      </c>
      <c r="G486" t="s">
        <v>474</v>
      </c>
      <c r="H486" t="s">
        <v>429</v>
      </c>
      <c r="I486" t="s">
        <v>36</v>
      </c>
      <c r="J486" t="s">
        <v>47</v>
      </c>
      <c r="K486" s="4">
        <v>7472</v>
      </c>
      <c r="L486" s="4">
        <v>10</v>
      </c>
      <c r="M486" s="4">
        <v>1191</v>
      </c>
      <c r="N486" s="4">
        <v>5883</v>
      </c>
      <c r="O486" s="4">
        <v>1</v>
      </c>
      <c r="P486" s="3">
        <v>2183.9520000000002</v>
      </c>
      <c r="Q486"/>
      <c r="R486"/>
      <c r="S486"/>
      <c r="T486"/>
      <c r="U486"/>
      <c r="V486"/>
      <c r="W486"/>
      <c r="X486"/>
    </row>
    <row r="487" spans="1:24">
      <c r="A487" t="s">
        <v>151</v>
      </c>
      <c r="B487" t="s">
        <v>10</v>
      </c>
      <c r="C487" t="s">
        <v>1017</v>
      </c>
      <c r="D487" t="s">
        <v>56</v>
      </c>
      <c r="E487" t="s">
        <v>55</v>
      </c>
      <c r="F487" t="s">
        <v>482</v>
      </c>
      <c r="G487" t="s">
        <v>483</v>
      </c>
      <c r="H487" t="s">
        <v>263</v>
      </c>
      <c r="I487" t="s">
        <v>44</v>
      </c>
      <c r="J487" t="s">
        <v>47</v>
      </c>
      <c r="K487" s="4">
        <v>75161</v>
      </c>
      <c r="L487" s="4">
        <v>280</v>
      </c>
      <c r="M487" s="4">
        <v>40385</v>
      </c>
      <c r="N487" s="4">
        <v>70325</v>
      </c>
      <c r="O487" s="4">
        <v>3</v>
      </c>
      <c r="P487" s="3">
        <v>1506.4611</v>
      </c>
      <c r="Q487"/>
      <c r="R487"/>
      <c r="S487"/>
      <c r="T487"/>
      <c r="U487"/>
      <c r="V487"/>
      <c r="W487"/>
      <c r="X487"/>
    </row>
    <row r="488" spans="1:24">
      <c r="A488" t="s">
        <v>151</v>
      </c>
      <c r="B488" t="s">
        <v>10</v>
      </c>
      <c r="C488" t="s">
        <v>1018</v>
      </c>
      <c r="D488" t="s">
        <v>54</v>
      </c>
      <c r="E488" t="s">
        <v>55</v>
      </c>
      <c r="F488" t="s">
        <v>486</v>
      </c>
      <c r="G488" t="s">
        <v>487</v>
      </c>
      <c r="H488" t="s">
        <v>213</v>
      </c>
      <c r="I488" t="s">
        <v>38</v>
      </c>
      <c r="J488" t="s">
        <v>47</v>
      </c>
      <c r="K488" s="4">
        <v>37269</v>
      </c>
      <c r="L488" s="4">
        <v>106</v>
      </c>
      <c r="M488" s="4">
        <v>11667</v>
      </c>
      <c r="N488" s="4">
        <v>33260</v>
      </c>
      <c r="O488" s="4">
        <v>6</v>
      </c>
      <c r="P488" s="3">
        <v>1453.0754999999999</v>
      </c>
      <c r="Q488"/>
      <c r="R488"/>
      <c r="S488"/>
      <c r="T488"/>
      <c r="U488"/>
      <c r="V488"/>
      <c r="W488"/>
      <c r="X488"/>
    </row>
    <row r="489" spans="1:24">
      <c r="A489" t="s">
        <v>151</v>
      </c>
      <c r="B489" t="s">
        <v>10</v>
      </c>
      <c r="C489" t="s">
        <v>1019</v>
      </c>
      <c r="D489" t="s">
        <v>56</v>
      </c>
      <c r="E489" t="s">
        <v>59</v>
      </c>
      <c r="F489" t="s">
        <v>583</v>
      </c>
      <c r="G489" t="s">
        <v>464</v>
      </c>
      <c r="H489" t="s">
        <v>308</v>
      </c>
      <c r="I489" t="s">
        <v>43</v>
      </c>
      <c r="J489" t="s">
        <v>48</v>
      </c>
      <c r="K489" s="4">
        <v>16628</v>
      </c>
      <c r="L489" s="4">
        <v>70</v>
      </c>
      <c r="M489" s="4">
        <v>7974</v>
      </c>
      <c r="N489" s="4">
        <v>15969</v>
      </c>
      <c r="O489" s="4">
        <v>13</v>
      </c>
      <c r="P489" s="3">
        <v>1665.9658999999999</v>
      </c>
      <c r="Q489"/>
      <c r="R489"/>
      <c r="S489"/>
      <c r="T489"/>
      <c r="U489"/>
      <c r="V489"/>
      <c r="W489"/>
      <c r="X489"/>
    </row>
    <row r="490" spans="1:24">
      <c r="A490" t="s">
        <v>151</v>
      </c>
      <c r="B490" t="s">
        <v>10</v>
      </c>
      <c r="C490" t="s">
        <v>1020</v>
      </c>
      <c r="D490" t="s">
        <v>56</v>
      </c>
      <c r="E490" t="s">
        <v>60</v>
      </c>
      <c r="F490" t="s">
        <v>511</v>
      </c>
      <c r="G490" t="s">
        <v>512</v>
      </c>
      <c r="H490" t="s">
        <v>361</v>
      </c>
      <c r="I490" t="s">
        <v>42</v>
      </c>
      <c r="J490" t="s">
        <v>48</v>
      </c>
      <c r="K490" s="4">
        <v>16669</v>
      </c>
      <c r="L490" s="4">
        <v>26</v>
      </c>
      <c r="M490" s="4">
        <v>10961</v>
      </c>
      <c r="N490" s="4">
        <v>15451</v>
      </c>
      <c r="O490" s="4">
        <v>5</v>
      </c>
      <c r="P490" s="3">
        <v>1658.3585</v>
      </c>
      <c r="Q490"/>
      <c r="R490"/>
      <c r="S490"/>
      <c r="T490"/>
      <c r="U490"/>
      <c r="V490"/>
      <c r="W490"/>
      <c r="X490"/>
    </row>
    <row r="491" spans="1:24">
      <c r="A491" t="s">
        <v>151</v>
      </c>
      <c r="B491" t="s">
        <v>10</v>
      </c>
      <c r="C491" t="s">
        <v>777</v>
      </c>
      <c r="D491" t="s">
        <v>54</v>
      </c>
      <c r="E491" t="s">
        <v>55</v>
      </c>
      <c r="F491" t="s">
        <v>551</v>
      </c>
      <c r="G491" t="s">
        <v>487</v>
      </c>
      <c r="H491" t="s">
        <v>294</v>
      </c>
      <c r="I491" t="s">
        <v>40</v>
      </c>
      <c r="J491" t="s">
        <v>47</v>
      </c>
      <c r="K491" s="4">
        <v>19344</v>
      </c>
      <c r="L491" s="4">
        <v>68</v>
      </c>
      <c r="M491" s="4">
        <v>2353</v>
      </c>
      <c r="N491" s="4">
        <v>18261</v>
      </c>
      <c r="O491" s="4">
        <v>10</v>
      </c>
      <c r="P491" s="3">
        <v>1500.7222999999999</v>
      </c>
      <c r="Q491"/>
      <c r="R491"/>
      <c r="S491"/>
      <c r="T491"/>
      <c r="U491"/>
      <c r="V491"/>
      <c r="W491"/>
      <c r="X491"/>
    </row>
    <row r="492" spans="1:24">
      <c r="A492" t="s">
        <v>151</v>
      </c>
      <c r="B492" t="s">
        <v>10</v>
      </c>
      <c r="C492" t="s">
        <v>593</v>
      </c>
      <c r="D492" t="s">
        <v>54</v>
      </c>
      <c r="E492" t="s">
        <v>59</v>
      </c>
      <c r="F492" t="s">
        <v>467</v>
      </c>
      <c r="G492" t="s">
        <v>468</v>
      </c>
      <c r="H492" t="s">
        <v>238</v>
      </c>
      <c r="I492" t="s">
        <v>212</v>
      </c>
      <c r="J492" t="s">
        <v>47</v>
      </c>
      <c r="K492" s="4">
        <v>16791</v>
      </c>
      <c r="L492" s="4">
        <v>40</v>
      </c>
      <c r="M492" s="4">
        <v>11402</v>
      </c>
      <c r="N492" s="4">
        <v>14231</v>
      </c>
      <c r="O492" s="4">
        <v>3</v>
      </c>
      <c r="P492" s="3">
        <v>1522.5123000000001</v>
      </c>
      <c r="Q492"/>
      <c r="R492"/>
      <c r="S492"/>
      <c r="T492"/>
      <c r="U492"/>
      <c r="V492"/>
      <c r="W492"/>
      <c r="X492"/>
    </row>
    <row r="493" spans="1:24">
      <c r="A493" t="s">
        <v>151</v>
      </c>
      <c r="B493" t="s">
        <v>10</v>
      </c>
      <c r="C493" t="s">
        <v>1021</v>
      </c>
      <c r="D493" t="s">
        <v>54</v>
      </c>
      <c r="E493" t="s">
        <v>60</v>
      </c>
      <c r="F493" t="s">
        <v>473</v>
      </c>
      <c r="G493" t="s">
        <v>474</v>
      </c>
      <c r="H493" t="s">
        <v>228</v>
      </c>
      <c r="I493" t="s">
        <v>44</v>
      </c>
      <c r="J493" t="s">
        <v>47</v>
      </c>
      <c r="K493" s="4">
        <v>19826</v>
      </c>
      <c r="L493" s="4">
        <v>39</v>
      </c>
      <c r="M493" s="4">
        <v>6511</v>
      </c>
      <c r="N493" s="4">
        <v>15752</v>
      </c>
      <c r="O493" s="4">
        <v>10</v>
      </c>
      <c r="P493" s="3">
        <v>1447.8733</v>
      </c>
      <c r="Q493"/>
      <c r="R493"/>
      <c r="S493"/>
      <c r="T493"/>
      <c r="U493"/>
      <c r="V493"/>
      <c r="W493"/>
      <c r="X493"/>
    </row>
    <row r="494" spans="1:24">
      <c r="A494" t="s">
        <v>151</v>
      </c>
      <c r="B494" t="s">
        <v>10</v>
      </c>
      <c r="C494" t="s">
        <v>1022</v>
      </c>
      <c r="D494" t="s">
        <v>56</v>
      </c>
      <c r="E494" t="s">
        <v>57</v>
      </c>
      <c r="F494" t="s">
        <v>497</v>
      </c>
      <c r="G494" t="s">
        <v>460</v>
      </c>
      <c r="H494" t="s">
        <v>331</v>
      </c>
      <c r="I494" t="s">
        <v>36</v>
      </c>
      <c r="J494" t="s">
        <v>48</v>
      </c>
      <c r="K494" s="4">
        <v>22501</v>
      </c>
      <c r="L494" s="4">
        <v>120</v>
      </c>
      <c r="M494" s="4">
        <v>13003</v>
      </c>
      <c r="N494" s="4">
        <v>21286</v>
      </c>
      <c r="O494" s="4">
        <v>9</v>
      </c>
      <c r="P494" s="3">
        <v>1522.5179000000001</v>
      </c>
      <c r="Q494"/>
      <c r="R494"/>
      <c r="S494"/>
      <c r="T494"/>
      <c r="U494"/>
      <c r="V494"/>
      <c r="W494"/>
      <c r="X494"/>
    </row>
    <row r="495" spans="1:24">
      <c r="A495" t="s">
        <v>151</v>
      </c>
      <c r="B495" t="s">
        <v>10</v>
      </c>
      <c r="C495" t="s">
        <v>1023</v>
      </c>
      <c r="D495" t="s">
        <v>56</v>
      </c>
      <c r="E495" t="s">
        <v>57</v>
      </c>
      <c r="F495" t="s">
        <v>506</v>
      </c>
      <c r="G495" t="s">
        <v>474</v>
      </c>
      <c r="H495" t="s">
        <v>323</v>
      </c>
      <c r="I495" t="s">
        <v>36</v>
      </c>
      <c r="J495" t="s">
        <v>48</v>
      </c>
      <c r="K495" s="4">
        <v>76439</v>
      </c>
      <c r="L495" s="4">
        <v>100</v>
      </c>
      <c r="M495" s="4">
        <v>58269</v>
      </c>
      <c r="N495" s="4">
        <v>66924</v>
      </c>
      <c r="O495" s="4">
        <v>8</v>
      </c>
      <c r="P495" s="3">
        <v>1524.8101999999999</v>
      </c>
      <c r="Q495"/>
      <c r="R495"/>
      <c r="S495"/>
      <c r="T495"/>
      <c r="U495"/>
      <c r="V495"/>
      <c r="W495"/>
      <c r="X495"/>
    </row>
    <row r="496" spans="1:24">
      <c r="A496" t="s">
        <v>151</v>
      </c>
      <c r="B496" t="s">
        <v>10</v>
      </c>
      <c r="C496" t="s">
        <v>1024</v>
      </c>
      <c r="D496" t="s">
        <v>56</v>
      </c>
      <c r="E496" t="s">
        <v>59</v>
      </c>
      <c r="F496" t="s">
        <v>467</v>
      </c>
      <c r="G496" t="s">
        <v>468</v>
      </c>
      <c r="H496" t="s">
        <v>286</v>
      </c>
      <c r="I496" t="s">
        <v>40</v>
      </c>
      <c r="J496" t="s">
        <v>47</v>
      </c>
      <c r="K496" s="4">
        <v>22004</v>
      </c>
      <c r="L496" s="4">
        <v>80</v>
      </c>
      <c r="M496" s="4">
        <v>18735</v>
      </c>
      <c r="N496" s="4">
        <v>21127</v>
      </c>
      <c r="O496" s="4">
        <v>4</v>
      </c>
      <c r="P496" s="3">
        <v>1632.4728</v>
      </c>
      <c r="Q496"/>
      <c r="R496"/>
      <c r="S496"/>
      <c r="T496"/>
      <c r="U496"/>
      <c r="V496"/>
      <c r="W496"/>
      <c r="X496"/>
    </row>
    <row r="497" spans="1:24">
      <c r="A497" t="s">
        <v>151</v>
      </c>
      <c r="B497" t="s">
        <v>10</v>
      </c>
      <c r="C497" t="s">
        <v>1025</v>
      </c>
      <c r="D497" t="s">
        <v>56</v>
      </c>
      <c r="E497" t="s">
        <v>60</v>
      </c>
      <c r="F497" t="s">
        <v>782</v>
      </c>
      <c r="G497" t="s">
        <v>783</v>
      </c>
      <c r="H497" t="s">
        <v>271</v>
      </c>
      <c r="I497" t="s">
        <v>42</v>
      </c>
      <c r="J497" t="s">
        <v>49</v>
      </c>
      <c r="K497" s="4">
        <v>94340</v>
      </c>
      <c r="L497" s="4">
        <v>250</v>
      </c>
      <c r="M497" s="4">
        <v>16955</v>
      </c>
      <c r="N497" s="4">
        <v>76971</v>
      </c>
      <c r="O497" s="4">
        <v>13</v>
      </c>
      <c r="P497" s="3">
        <v>1517.2444</v>
      </c>
      <c r="Q497"/>
      <c r="R497"/>
      <c r="S497"/>
      <c r="T497"/>
      <c r="U497"/>
      <c r="V497"/>
      <c r="W497"/>
      <c r="X497"/>
    </row>
    <row r="498" spans="1:24">
      <c r="A498" t="s">
        <v>151</v>
      </c>
      <c r="B498" t="s">
        <v>10</v>
      </c>
      <c r="C498" t="s">
        <v>1026</v>
      </c>
      <c r="D498" t="s">
        <v>54</v>
      </c>
      <c r="E498" t="s">
        <v>55</v>
      </c>
      <c r="F498" t="s">
        <v>467</v>
      </c>
      <c r="G498" t="s">
        <v>468</v>
      </c>
      <c r="H498" t="s">
        <v>264</v>
      </c>
      <c r="I498" t="s">
        <v>36</v>
      </c>
      <c r="J498" t="s">
        <v>47</v>
      </c>
      <c r="K498" s="4">
        <v>9222</v>
      </c>
      <c r="L498" s="4">
        <v>33</v>
      </c>
      <c r="M498" s="4">
        <v>5352</v>
      </c>
      <c r="N498" s="4">
        <v>8141</v>
      </c>
      <c r="O498" s="4">
        <v>2</v>
      </c>
      <c r="P498" s="3">
        <v>1583.1642999999999</v>
      </c>
      <c r="Q498"/>
      <c r="R498"/>
      <c r="S498"/>
      <c r="T498"/>
      <c r="U498"/>
      <c r="V498"/>
      <c r="W498"/>
      <c r="X498"/>
    </row>
    <row r="499" spans="1:24">
      <c r="A499" t="s">
        <v>151</v>
      </c>
      <c r="B499" t="s">
        <v>10</v>
      </c>
      <c r="C499" t="s">
        <v>200</v>
      </c>
      <c r="D499" t="s">
        <v>56</v>
      </c>
      <c r="E499" t="s">
        <v>55</v>
      </c>
      <c r="F499" t="s">
        <v>467</v>
      </c>
      <c r="G499" t="s">
        <v>468</v>
      </c>
      <c r="H499" t="s">
        <v>218</v>
      </c>
      <c r="I499" t="s">
        <v>38</v>
      </c>
      <c r="J499" t="s">
        <v>49</v>
      </c>
      <c r="K499" s="4">
        <v>96031</v>
      </c>
      <c r="L499" s="4">
        <v>311</v>
      </c>
      <c r="M499" s="4">
        <v>57187</v>
      </c>
      <c r="N499" s="4">
        <v>78396</v>
      </c>
      <c r="O499" s="4">
        <v>21</v>
      </c>
      <c r="P499" s="3">
        <v>1508.9077</v>
      </c>
      <c r="Q499"/>
      <c r="R499"/>
      <c r="S499"/>
      <c r="T499"/>
      <c r="U499"/>
      <c r="V499"/>
      <c r="W499"/>
      <c r="X499"/>
    </row>
    <row r="500" spans="1:24">
      <c r="A500" t="s">
        <v>151</v>
      </c>
      <c r="B500" t="s">
        <v>1027</v>
      </c>
      <c r="D500" t="s">
        <v>54</v>
      </c>
      <c r="E500" t="s">
        <v>60</v>
      </c>
      <c r="F500" t="s">
        <v>467</v>
      </c>
      <c r="G500" t="s">
        <v>468</v>
      </c>
      <c r="H500" t="s">
        <v>273</v>
      </c>
      <c r="I500" t="s">
        <v>36</v>
      </c>
      <c r="J500" t="s">
        <v>47</v>
      </c>
      <c r="K500" s="4">
        <v>19212</v>
      </c>
      <c r="L500" s="4">
        <v>54</v>
      </c>
      <c r="M500" s="4">
        <v>6872</v>
      </c>
      <c r="N500" s="4">
        <v>14248</v>
      </c>
      <c r="O500" s="4">
        <v>10</v>
      </c>
      <c r="P500" s="3">
        <v>2133.0771</v>
      </c>
      <c r="Q500"/>
      <c r="R500"/>
      <c r="S500"/>
      <c r="T500"/>
      <c r="U500"/>
      <c r="V500"/>
      <c r="W500"/>
      <c r="X500"/>
    </row>
    <row r="501" spans="1:24">
      <c r="A501" t="s">
        <v>151</v>
      </c>
      <c r="B501" t="s">
        <v>124</v>
      </c>
      <c r="D501" t="s">
        <v>56</v>
      </c>
      <c r="E501" t="s">
        <v>57</v>
      </c>
      <c r="F501" t="s">
        <v>482</v>
      </c>
      <c r="G501" t="s">
        <v>483</v>
      </c>
      <c r="H501" t="s">
        <v>272</v>
      </c>
      <c r="I501" t="s">
        <v>42</v>
      </c>
      <c r="J501" t="s">
        <v>47</v>
      </c>
      <c r="K501" s="4">
        <v>11343</v>
      </c>
      <c r="L501" s="4">
        <v>69</v>
      </c>
      <c r="M501" s="4">
        <v>5900</v>
      </c>
      <c r="N501" s="4">
        <v>10175</v>
      </c>
      <c r="O501" s="4">
        <v>3</v>
      </c>
      <c r="P501" s="3">
        <v>2178.1538</v>
      </c>
      <c r="Q501"/>
      <c r="R501"/>
      <c r="S501"/>
      <c r="T501"/>
      <c r="U501"/>
      <c r="V501"/>
      <c r="W501"/>
      <c r="X501"/>
    </row>
    <row r="502" spans="1:24">
      <c r="A502" t="s">
        <v>151</v>
      </c>
      <c r="B502" t="s">
        <v>124</v>
      </c>
      <c r="C502" t="s">
        <v>1028</v>
      </c>
      <c r="D502" t="s">
        <v>54</v>
      </c>
      <c r="E502" t="s">
        <v>55</v>
      </c>
      <c r="F502" t="s">
        <v>473</v>
      </c>
      <c r="G502" t="s">
        <v>474</v>
      </c>
      <c r="H502" t="s">
        <v>266</v>
      </c>
      <c r="I502" t="s">
        <v>44</v>
      </c>
      <c r="J502" t="s">
        <v>47</v>
      </c>
      <c r="K502" s="4">
        <v>37617</v>
      </c>
      <c r="L502" s="4">
        <v>85</v>
      </c>
      <c r="M502" s="4">
        <v>5092</v>
      </c>
      <c r="N502" s="4">
        <v>34373</v>
      </c>
      <c r="O502" s="4">
        <v>6</v>
      </c>
      <c r="P502" s="3">
        <v>1608.883</v>
      </c>
      <c r="Q502"/>
      <c r="R502"/>
      <c r="S502"/>
      <c r="T502"/>
      <c r="U502"/>
      <c r="V502"/>
      <c r="W502"/>
      <c r="X502"/>
    </row>
    <row r="503" spans="1:24">
      <c r="A503" t="s">
        <v>151</v>
      </c>
      <c r="B503" t="s">
        <v>124</v>
      </c>
      <c r="C503" t="s">
        <v>909</v>
      </c>
      <c r="D503" t="s">
        <v>56</v>
      </c>
      <c r="E503" t="s">
        <v>55</v>
      </c>
      <c r="F503" t="s">
        <v>473</v>
      </c>
      <c r="G503" t="s">
        <v>474</v>
      </c>
      <c r="H503" t="s">
        <v>213</v>
      </c>
      <c r="I503" t="s">
        <v>38</v>
      </c>
      <c r="J503" t="s">
        <v>47</v>
      </c>
      <c r="K503" s="4">
        <v>77703</v>
      </c>
      <c r="L503" s="4">
        <v>204</v>
      </c>
      <c r="M503" s="4">
        <v>33478</v>
      </c>
      <c r="N503" s="4">
        <v>72874</v>
      </c>
      <c r="O503" s="4">
        <v>3</v>
      </c>
      <c r="P503" s="3">
        <v>1566.9123999999999</v>
      </c>
      <c r="Q503"/>
      <c r="R503"/>
      <c r="S503"/>
      <c r="T503"/>
      <c r="U503"/>
      <c r="V503"/>
      <c r="W503"/>
      <c r="X503"/>
    </row>
    <row r="504" spans="1:24">
      <c r="A504" t="s">
        <v>151</v>
      </c>
      <c r="B504" t="s">
        <v>124</v>
      </c>
      <c r="C504" t="s">
        <v>1029</v>
      </c>
      <c r="D504" t="s">
        <v>58</v>
      </c>
      <c r="E504" t="s">
        <v>59</v>
      </c>
      <c r="F504" t="s">
        <v>489</v>
      </c>
      <c r="G504" t="s">
        <v>460</v>
      </c>
      <c r="H504" t="s">
        <v>264</v>
      </c>
      <c r="I504" t="s">
        <v>38</v>
      </c>
      <c r="J504" t="s">
        <v>47</v>
      </c>
      <c r="K504" s="4">
        <v>37717</v>
      </c>
      <c r="L504" s="4">
        <v>69</v>
      </c>
      <c r="M504" s="4">
        <v>26541</v>
      </c>
      <c r="N504" s="4">
        <v>35126</v>
      </c>
      <c r="O504" s="4">
        <v>5</v>
      </c>
      <c r="P504" s="3">
        <v>1725.2714000000001</v>
      </c>
      <c r="Q504"/>
      <c r="R504"/>
      <c r="S504"/>
      <c r="T504"/>
      <c r="U504"/>
      <c r="V504"/>
      <c r="W504"/>
      <c r="X504"/>
    </row>
    <row r="505" spans="1:24">
      <c r="A505" t="s">
        <v>151</v>
      </c>
      <c r="B505" t="s">
        <v>124</v>
      </c>
      <c r="C505" t="s">
        <v>478</v>
      </c>
      <c r="D505" t="s">
        <v>56</v>
      </c>
      <c r="E505" t="s">
        <v>55</v>
      </c>
      <c r="F505" t="s">
        <v>486</v>
      </c>
      <c r="G505" t="s">
        <v>487</v>
      </c>
      <c r="H505" t="s">
        <v>231</v>
      </c>
      <c r="I505" t="s">
        <v>38</v>
      </c>
      <c r="J505" t="s">
        <v>47</v>
      </c>
      <c r="K505" s="4">
        <v>30714</v>
      </c>
      <c r="L505" s="4">
        <v>111</v>
      </c>
      <c r="M505" s="4">
        <v>12531</v>
      </c>
      <c r="N505" s="4">
        <v>28461</v>
      </c>
      <c r="O505" s="4">
        <v>9</v>
      </c>
      <c r="P505" s="3">
        <v>1503.4843000000001</v>
      </c>
      <c r="Q505"/>
      <c r="R505"/>
      <c r="S505"/>
      <c r="T505"/>
      <c r="U505"/>
      <c r="V505"/>
      <c r="W505"/>
      <c r="X505"/>
    </row>
    <row r="506" spans="1:24">
      <c r="A506" t="s">
        <v>151</v>
      </c>
      <c r="B506" t="s">
        <v>124</v>
      </c>
      <c r="C506" t="s">
        <v>1030</v>
      </c>
      <c r="D506" t="s">
        <v>56</v>
      </c>
      <c r="E506" t="s">
        <v>57</v>
      </c>
      <c r="F506" t="s">
        <v>489</v>
      </c>
      <c r="G506" t="s">
        <v>460</v>
      </c>
      <c r="H506" t="s">
        <v>250</v>
      </c>
      <c r="I506" t="s">
        <v>44</v>
      </c>
      <c r="J506" t="s">
        <v>48</v>
      </c>
      <c r="K506" s="4">
        <v>76724</v>
      </c>
      <c r="L506" s="4">
        <v>187</v>
      </c>
      <c r="M506" s="4">
        <v>43209</v>
      </c>
      <c r="N506" s="4">
        <v>69530</v>
      </c>
      <c r="O506" s="4">
        <v>9</v>
      </c>
      <c r="P506" s="3">
        <v>1493.2045000000001</v>
      </c>
      <c r="Q506"/>
      <c r="R506"/>
      <c r="S506"/>
      <c r="T506"/>
      <c r="U506"/>
      <c r="V506"/>
      <c r="W506"/>
      <c r="X506"/>
    </row>
    <row r="507" spans="1:24">
      <c r="A507" t="s">
        <v>151</v>
      </c>
      <c r="B507" t="s">
        <v>124</v>
      </c>
      <c r="C507" t="s">
        <v>1031</v>
      </c>
      <c r="D507" t="s">
        <v>56</v>
      </c>
      <c r="E507" t="s">
        <v>60</v>
      </c>
      <c r="F507" t="s">
        <v>511</v>
      </c>
      <c r="G507" t="s">
        <v>512</v>
      </c>
      <c r="H507" t="s">
        <v>242</v>
      </c>
      <c r="I507" t="s">
        <v>36</v>
      </c>
      <c r="J507" t="s">
        <v>48</v>
      </c>
      <c r="K507" s="4">
        <v>22800</v>
      </c>
      <c r="L507" s="4">
        <v>79</v>
      </c>
      <c r="M507" s="4">
        <v>8298</v>
      </c>
      <c r="N507" s="4">
        <v>21161</v>
      </c>
      <c r="O507" s="4">
        <v>24</v>
      </c>
      <c r="P507" s="3">
        <v>1620.1655000000001</v>
      </c>
      <c r="Q507"/>
      <c r="R507"/>
      <c r="S507"/>
      <c r="T507"/>
      <c r="U507"/>
      <c r="V507"/>
      <c r="W507"/>
      <c r="X507"/>
    </row>
    <row r="508" spans="1:24">
      <c r="A508" t="s">
        <v>151</v>
      </c>
      <c r="B508" t="s">
        <v>124</v>
      </c>
      <c r="C508" t="s">
        <v>1032</v>
      </c>
      <c r="D508" t="s">
        <v>56</v>
      </c>
      <c r="E508" t="s">
        <v>57</v>
      </c>
      <c r="F508" t="s">
        <v>506</v>
      </c>
      <c r="G508" t="s">
        <v>474</v>
      </c>
      <c r="H508" t="s">
        <v>241</v>
      </c>
      <c r="I508" t="s">
        <v>40</v>
      </c>
      <c r="J508" t="s">
        <v>47</v>
      </c>
      <c r="K508" s="4">
        <v>13700</v>
      </c>
      <c r="L508" s="4">
        <v>63</v>
      </c>
      <c r="M508" s="4">
        <v>3609</v>
      </c>
      <c r="N508" s="4">
        <v>12644</v>
      </c>
      <c r="O508" s="4">
        <v>4</v>
      </c>
      <c r="P508" s="3">
        <v>2032.7001</v>
      </c>
      <c r="Q508"/>
      <c r="R508"/>
      <c r="S508"/>
      <c r="T508"/>
      <c r="U508"/>
      <c r="V508"/>
      <c r="W508"/>
      <c r="X508"/>
    </row>
    <row r="509" spans="1:24">
      <c r="A509" t="s">
        <v>151</v>
      </c>
      <c r="B509" t="s">
        <v>124</v>
      </c>
      <c r="C509" t="s">
        <v>1033</v>
      </c>
      <c r="D509" t="s">
        <v>56</v>
      </c>
      <c r="E509" t="s">
        <v>55</v>
      </c>
      <c r="F509" t="s">
        <v>530</v>
      </c>
      <c r="G509" t="s">
        <v>531</v>
      </c>
      <c r="H509" t="s">
        <v>310</v>
      </c>
      <c r="I509" t="s">
        <v>36</v>
      </c>
      <c r="J509" t="s">
        <v>47</v>
      </c>
      <c r="K509" s="4">
        <v>77748</v>
      </c>
      <c r="L509" s="4">
        <v>227</v>
      </c>
      <c r="M509" s="4">
        <v>6170</v>
      </c>
      <c r="N509" s="4">
        <v>53603</v>
      </c>
      <c r="O509" s="4">
        <v>3</v>
      </c>
      <c r="P509" s="3">
        <v>1498.3009</v>
      </c>
      <c r="Q509"/>
      <c r="R509"/>
      <c r="S509"/>
      <c r="T509"/>
      <c r="U509"/>
      <c r="V509"/>
      <c r="W509"/>
      <c r="X509"/>
    </row>
    <row r="510" spans="1:24">
      <c r="A510" t="s">
        <v>151</v>
      </c>
      <c r="B510" t="s">
        <v>124</v>
      </c>
      <c r="C510" t="s">
        <v>1034</v>
      </c>
      <c r="D510" t="s">
        <v>54</v>
      </c>
      <c r="E510" t="s">
        <v>55</v>
      </c>
      <c r="F510" t="s">
        <v>551</v>
      </c>
      <c r="G510" t="s">
        <v>487</v>
      </c>
      <c r="H510" t="s">
        <v>237</v>
      </c>
      <c r="I510" t="s">
        <v>36</v>
      </c>
      <c r="J510" t="s">
        <v>47</v>
      </c>
      <c r="K510" s="4">
        <v>77313</v>
      </c>
      <c r="L510" s="4">
        <v>191</v>
      </c>
      <c r="M510" s="4">
        <v>40366</v>
      </c>
      <c r="N510" s="4">
        <v>71128</v>
      </c>
      <c r="O510" s="4">
        <v>3</v>
      </c>
      <c r="P510" s="3">
        <v>1790.3902</v>
      </c>
      <c r="Q510"/>
      <c r="R510"/>
      <c r="S510"/>
      <c r="T510"/>
      <c r="U510"/>
      <c r="V510"/>
      <c r="W510"/>
      <c r="X510"/>
    </row>
    <row r="511" spans="1:24">
      <c r="A511" t="s">
        <v>151</v>
      </c>
      <c r="B511" t="s">
        <v>124</v>
      </c>
      <c r="C511" t="s">
        <v>777</v>
      </c>
      <c r="D511" t="s">
        <v>54</v>
      </c>
      <c r="E511" t="s">
        <v>57</v>
      </c>
      <c r="F511" t="s">
        <v>497</v>
      </c>
      <c r="G511" t="s">
        <v>460</v>
      </c>
      <c r="H511" t="s">
        <v>331</v>
      </c>
      <c r="I511" t="s">
        <v>38</v>
      </c>
      <c r="J511" t="s">
        <v>47</v>
      </c>
      <c r="K511" s="4">
        <v>20165</v>
      </c>
      <c r="L511" s="4">
        <v>60</v>
      </c>
      <c r="M511" s="4">
        <v>6601</v>
      </c>
      <c r="N511" s="4">
        <v>18909</v>
      </c>
      <c r="O511" s="4">
        <v>10</v>
      </c>
      <c r="P511" s="3">
        <v>1743.0787</v>
      </c>
      <c r="Q511"/>
      <c r="R511"/>
      <c r="S511"/>
      <c r="T511"/>
      <c r="U511"/>
      <c r="V511"/>
      <c r="W511"/>
      <c r="X511"/>
    </row>
    <row r="512" spans="1:24">
      <c r="A512" t="s">
        <v>151</v>
      </c>
      <c r="B512" t="s">
        <v>124</v>
      </c>
      <c r="C512" t="s">
        <v>1035</v>
      </c>
      <c r="D512" t="s">
        <v>56</v>
      </c>
      <c r="E512" t="s">
        <v>60</v>
      </c>
      <c r="F512" t="s">
        <v>1036</v>
      </c>
      <c r="G512" t="s">
        <v>613</v>
      </c>
      <c r="H512" t="s">
        <v>326</v>
      </c>
      <c r="I512" t="s">
        <v>36</v>
      </c>
      <c r="J512" t="s">
        <v>48</v>
      </c>
      <c r="K512" s="4">
        <v>38070</v>
      </c>
      <c r="L512" s="4">
        <v>146</v>
      </c>
      <c r="M512" s="4">
        <v>15253</v>
      </c>
      <c r="N512" s="4">
        <v>35453</v>
      </c>
      <c r="O512" s="4">
        <v>8</v>
      </c>
      <c r="P512" s="3">
        <v>1653.5108</v>
      </c>
      <c r="Q512"/>
      <c r="R512"/>
      <c r="S512"/>
      <c r="T512"/>
      <c r="U512"/>
      <c r="V512"/>
      <c r="W512"/>
      <c r="X512"/>
    </row>
    <row r="513" spans="1:24">
      <c r="A513" t="s">
        <v>151</v>
      </c>
      <c r="B513" t="s">
        <v>124</v>
      </c>
      <c r="C513" t="s">
        <v>107</v>
      </c>
      <c r="D513" t="s">
        <v>54</v>
      </c>
      <c r="E513" t="s">
        <v>59</v>
      </c>
      <c r="F513" t="s">
        <v>473</v>
      </c>
      <c r="G513" t="s">
        <v>474</v>
      </c>
      <c r="H513" t="s">
        <v>338</v>
      </c>
      <c r="I513" t="s">
        <v>38</v>
      </c>
      <c r="J513" t="s">
        <v>47</v>
      </c>
      <c r="K513" s="4">
        <v>13779</v>
      </c>
      <c r="L513" s="4">
        <v>96</v>
      </c>
      <c r="M513" s="4">
        <v>3482</v>
      </c>
      <c r="N513" s="4">
        <v>12487</v>
      </c>
      <c r="O513" s="4">
        <v>4</v>
      </c>
      <c r="P513" s="3">
        <v>1530.0418999999999</v>
      </c>
      <c r="Q513"/>
      <c r="R513"/>
      <c r="S513"/>
      <c r="T513"/>
      <c r="U513"/>
      <c r="V513"/>
      <c r="W513"/>
      <c r="X513"/>
    </row>
    <row r="514" spans="1:24">
      <c r="A514" t="s">
        <v>151</v>
      </c>
      <c r="B514" t="s">
        <v>124</v>
      </c>
      <c r="C514" t="s">
        <v>1037</v>
      </c>
      <c r="D514" t="s">
        <v>56</v>
      </c>
      <c r="E514" t="s">
        <v>55</v>
      </c>
      <c r="F514" t="s">
        <v>473</v>
      </c>
      <c r="G514" t="s">
        <v>474</v>
      </c>
      <c r="H514" t="s">
        <v>398</v>
      </c>
      <c r="I514" t="s">
        <v>42</v>
      </c>
      <c r="J514" t="s">
        <v>48</v>
      </c>
      <c r="K514" s="4">
        <v>22934</v>
      </c>
      <c r="L514" s="4">
        <v>81</v>
      </c>
      <c r="M514" s="4">
        <v>18536</v>
      </c>
      <c r="N514" s="4">
        <v>21019</v>
      </c>
      <c r="O514" s="4">
        <v>5</v>
      </c>
      <c r="P514" s="3">
        <v>1711.1062999999999</v>
      </c>
      <c r="Q514"/>
      <c r="R514"/>
      <c r="S514"/>
      <c r="T514"/>
      <c r="U514"/>
      <c r="V514"/>
      <c r="W514"/>
      <c r="X514"/>
    </row>
    <row r="515" spans="1:24">
      <c r="A515" t="s">
        <v>151</v>
      </c>
      <c r="B515" t="s">
        <v>124</v>
      </c>
      <c r="C515" t="s">
        <v>1038</v>
      </c>
      <c r="D515" t="s">
        <v>56</v>
      </c>
      <c r="E515" t="s">
        <v>60</v>
      </c>
      <c r="F515" t="s">
        <v>570</v>
      </c>
      <c r="G515" t="s">
        <v>460</v>
      </c>
      <c r="H515" t="s">
        <v>213</v>
      </c>
      <c r="I515" t="s">
        <v>36</v>
      </c>
      <c r="J515" t="s">
        <v>47</v>
      </c>
      <c r="K515" s="4">
        <v>189462</v>
      </c>
      <c r="L515" s="4">
        <v>478</v>
      </c>
      <c r="M515" s="4">
        <v>53431</v>
      </c>
      <c r="N515" s="4">
        <v>163634</v>
      </c>
      <c r="O515" s="4">
        <v>5</v>
      </c>
      <c r="P515" s="3">
        <v>1625.1749</v>
      </c>
      <c r="Q515"/>
      <c r="R515"/>
      <c r="S515"/>
      <c r="T515"/>
      <c r="U515"/>
      <c r="V515"/>
      <c r="W515"/>
      <c r="X515"/>
    </row>
    <row r="516" spans="1:24">
      <c r="A516" t="s">
        <v>151</v>
      </c>
      <c r="B516" t="s">
        <v>124</v>
      </c>
      <c r="C516" t="s">
        <v>149</v>
      </c>
      <c r="D516" t="s">
        <v>54</v>
      </c>
      <c r="E516" t="s">
        <v>60</v>
      </c>
      <c r="F516" t="s">
        <v>486</v>
      </c>
      <c r="G516" t="s">
        <v>487</v>
      </c>
      <c r="H516" t="s">
        <v>217</v>
      </c>
      <c r="I516" t="s">
        <v>36</v>
      </c>
      <c r="J516" t="s">
        <v>47</v>
      </c>
      <c r="K516" s="4">
        <v>42833</v>
      </c>
      <c r="L516" s="4">
        <v>120</v>
      </c>
      <c r="M516" s="4">
        <v>37438</v>
      </c>
      <c r="N516" s="4">
        <v>40447</v>
      </c>
      <c r="O516" s="4">
        <v>9</v>
      </c>
      <c r="P516" s="3">
        <v>2040.9348</v>
      </c>
      <c r="Q516"/>
      <c r="R516"/>
      <c r="S516"/>
      <c r="T516"/>
      <c r="U516"/>
      <c r="V516"/>
      <c r="W516"/>
      <c r="X516"/>
    </row>
    <row r="517" spans="1:24">
      <c r="A517" t="s">
        <v>151</v>
      </c>
      <c r="B517" t="s">
        <v>124</v>
      </c>
      <c r="C517" t="s">
        <v>903</v>
      </c>
      <c r="D517" t="s">
        <v>56</v>
      </c>
      <c r="E517" t="s">
        <v>59</v>
      </c>
      <c r="F517" t="s">
        <v>570</v>
      </c>
      <c r="G517" t="s">
        <v>460</v>
      </c>
      <c r="H517" t="s">
        <v>254</v>
      </c>
      <c r="I517" t="s">
        <v>43</v>
      </c>
      <c r="J517" t="s">
        <v>47</v>
      </c>
      <c r="K517" s="4">
        <v>197192</v>
      </c>
      <c r="L517" s="4">
        <v>519</v>
      </c>
      <c r="M517" s="4">
        <v>80623</v>
      </c>
      <c r="N517" s="4">
        <v>181763</v>
      </c>
      <c r="O517" s="4">
        <v>5</v>
      </c>
      <c r="P517" s="3">
        <v>1584.7318</v>
      </c>
      <c r="Q517"/>
      <c r="R517"/>
      <c r="S517"/>
      <c r="T517"/>
      <c r="U517"/>
      <c r="V517"/>
      <c r="W517"/>
      <c r="X517"/>
    </row>
    <row r="518" spans="1:24">
      <c r="A518" t="s">
        <v>151</v>
      </c>
      <c r="B518" t="s">
        <v>124</v>
      </c>
      <c r="C518" t="s">
        <v>904</v>
      </c>
      <c r="D518" t="s">
        <v>58</v>
      </c>
      <c r="E518" t="s">
        <v>59</v>
      </c>
      <c r="F518" t="s">
        <v>489</v>
      </c>
      <c r="G518" t="s">
        <v>460</v>
      </c>
      <c r="H518" t="s">
        <v>250</v>
      </c>
      <c r="I518" t="s">
        <v>38</v>
      </c>
      <c r="J518" t="s">
        <v>47</v>
      </c>
      <c r="K518" s="4">
        <v>69722</v>
      </c>
      <c r="L518" s="4">
        <v>194</v>
      </c>
      <c r="M518" s="4">
        <v>40640</v>
      </c>
      <c r="N518" s="4">
        <v>64819</v>
      </c>
      <c r="O518" s="4">
        <v>10</v>
      </c>
      <c r="P518" s="3">
        <v>1667.6559</v>
      </c>
      <c r="Q518"/>
      <c r="R518"/>
      <c r="S518"/>
      <c r="T518"/>
      <c r="U518"/>
      <c r="V518"/>
      <c r="W518"/>
      <c r="X518"/>
    </row>
    <row r="519" spans="1:24">
      <c r="A519" t="s">
        <v>151</v>
      </c>
      <c r="B519" t="s">
        <v>124</v>
      </c>
      <c r="C519" t="s">
        <v>905</v>
      </c>
      <c r="D519" t="s">
        <v>58</v>
      </c>
      <c r="E519" t="s">
        <v>59</v>
      </c>
      <c r="F519" t="s">
        <v>473</v>
      </c>
      <c r="G519" t="s">
        <v>474</v>
      </c>
      <c r="H519" t="s">
        <v>383</v>
      </c>
      <c r="I519" t="s">
        <v>36</v>
      </c>
      <c r="J519" t="s">
        <v>47</v>
      </c>
      <c r="K519" s="4">
        <v>20537</v>
      </c>
      <c r="L519" s="4">
        <v>84</v>
      </c>
      <c r="M519" s="4">
        <v>15587</v>
      </c>
      <c r="N519" s="4">
        <v>19288</v>
      </c>
      <c r="O519" s="4">
        <v>10</v>
      </c>
      <c r="P519" s="3">
        <v>1609.8806999999999</v>
      </c>
      <c r="Q519"/>
      <c r="R519"/>
      <c r="S519"/>
      <c r="T519"/>
      <c r="U519"/>
      <c r="V519"/>
      <c r="W519"/>
      <c r="X519"/>
    </row>
    <row r="520" spans="1:24">
      <c r="A520" t="s">
        <v>151</v>
      </c>
      <c r="B520" t="s">
        <v>124</v>
      </c>
      <c r="C520" t="s">
        <v>1039</v>
      </c>
      <c r="D520" t="s">
        <v>54</v>
      </c>
      <c r="E520" t="s">
        <v>59</v>
      </c>
      <c r="F520" t="s">
        <v>467</v>
      </c>
      <c r="G520" t="s">
        <v>468</v>
      </c>
      <c r="H520" t="s">
        <v>218</v>
      </c>
      <c r="I520" t="s">
        <v>36</v>
      </c>
      <c r="J520" t="s">
        <v>47</v>
      </c>
      <c r="K520" s="4">
        <v>80456</v>
      </c>
      <c r="L520" s="4">
        <v>204</v>
      </c>
      <c r="M520" s="4">
        <v>46039</v>
      </c>
      <c r="N520" s="4">
        <v>65383</v>
      </c>
      <c r="O520" s="4">
        <v>3</v>
      </c>
      <c r="P520" s="3">
        <v>2039.8488</v>
      </c>
      <c r="Q520"/>
      <c r="R520"/>
      <c r="S520"/>
      <c r="T520"/>
      <c r="U520"/>
      <c r="V520"/>
      <c r="W520"/>
      <c r="X520"/>
    </row>
    <row r="521" spans="1:24">
      <c r="A521" t="s">
        <v>151</v>
      </c>
      <c r="B521" t="s">
        <v>124</v>
      </c>
      <c r="C521" t="s">
        <v>958</v>
      </c>
      <c r="D521" t="s">
        <v>54</v>
      </c>
      <c r="E521" t="s">
        <v>55</v>
      </c>
      <c r="F521" t="s">
        <v>467</v>
      </c>
      <c r="G521" t="s">
        <v>468</v>
      </c>
      <c r="H521" t="s">
        <v>320</v>
      </c>
      <c r="I521" t="s">
        <v>36</v>
      </c>
      <c r="J521" t="s">
        <v>47</v>
      </c>
      <c r="K521" s="4">
        <v>80408</v>
      </c>
      <c r="L521" s="4">
        <v>199</v>
      </c>
      <c r="M521" s="4">
        <v>13127</v>
      </c>
      <c r="N521" s="4">
        <v>67027</v>
      </c>
      <c r="O521" s="4">
        <v>9</v>
      </c>
      <c r="P521" s="3">
        <v>1788.1116</v>
      </c>
      <c r="Q521"/>
      <c r="R521"/>
      <c r="S521"/>
      <c r="T521"/>
      <c r="U521"/>
      <c r="V521"/>
      <c r="W521"/>
      <c r="X521"/>
    </row>
    <row r="522" spans="1:24">
      <c r="A522" t="s">
        <v>151</v>
      </c>
      <c r="B522" t="s">
        <v>124</v>
      </c>
      <c r="C522" t="s">
        <v>582</v>
      </c>
      <c r="D522" t="s">
        <v>54</v>
      </c>
      <c r="E522" t="s">
        <v>57</v>
      </c>
      <c r="F522" t="s">
        <v>489</v>
      </c>
      <c r="G522" t="s">
        <v>460</v>
      </c>
      <c r="H522" t="s">
        <v>386</v>
      </c>
      <c r="I522" t="s">
        <v>36</v>
      </c>
      <c r="J522" t="s">
        <v>47</v>
      </c>
      <c r="K522" s="4">
        <v>20572</v>
      </c>
      <c r="L522" s="4">
        <v>90</v>
      </c>
      <c r="M522" s="4">
        <v>2226</v>
      </c>
      <c r="N522" s="4">
        <v>16510</v>
      </c>
      <c r="O522" s="4">
        <v>10</v>
      </c>
      <c r="P522" s="3">
        <v>1529.3072</v>
      </c>
      <c r="Q522"/>
      <c r="R522"/>
      <c r="S522"/>
      <c r="T522"/>
      <c r="U522"/>
      <c r="V522"/>
      <c r="W522"/>
      <c r="X522"/>
    </row>
    <row r="523" spans="1:24">
      <c r="A523" t="s">
        <v>151</v>
      </c>
      <c r="B523" t="s">
        <v>124</v>
      </c>
      <c r="C523" t="s">
        <v>1016</v>
      </c>
      <c r="D523" t="s">
        <v>56</v>
      </c>
      <c r="E523" t="s">
        <v>57</v>
      </c>
      <c r="F523" t="s">
        <v>459</v>
      </c>
      <c r="G523" t="s">
        <v>460</v>
      </c>
      <c r="H523" t="s">
        <v>406</v>
      </c>
      <c r="I523" t="s">
        <v>42</v>
      </c>
      <c r="J523" t="s">
        <v>47</v>
      </c>
      <c r="K523" s="4">
        <v>13823</v>
      </c>
      <c r="L523" s="4">
        <v>58</v>
      </c>
      <c r="M523" s="4">
        <v>10671</v>
      </c>
      <c r="N523" s="4">
        <v>12937</v>
      </c>
      <c r="O523" s="4">
        <v>3</v>
      </c>
      <c r="P523" s="3">
        <v>1574.7097000000001</v>
      </c>
      <c r="Q523"/>
      <c r="R523"/>
      <c r="S523"/>
      <c r="T523"/>
      <c r="U523"/>
      <c r="V523"/>
      <c r="W523"/>
      <c r="X523"/>
    </row>
    <row r="524" spans="1:24">
      <c r="A524" t="s">
        <v>151</v>
      </c>
      <c r="B524" t="s">
        <v>124</v>
      </c>
      <c r="C524" t="s">
        <v>1040</v>
      </c>
      <c r="D524" t="s">
        <v>56</v>
      </c>
      <c r="E524" t="s">
        <v>57</v>
      </c>
      <c r="F524" t="s">
        <v>473</v>
      </c>
      <c r="G524" t="s">
        <v>474</v>
      </c>
      <c r="H524" t="s">
        <v>237</v>
      </c>
      <c r="I524" t="s">
        <v>36</v>
      </c>
      <c r="J524" t="s">
        <v>48</v>
      </c>
      <c r="K524" s="4">
        <v>16808</v>
      </c>
      <c r="L524" s="4">
        <v>43</v>
      </c>
      <c r="M524" s="4">
        <v>9211</v>
      </c>
      <c r="N524" s="4">
        <v>13372</v>
      </c>
      <c r="O524" s="4">
        <v>3</v>
      </c>
      <c r="P524" s="3">
        <v>1574.7913000000001</v>
      </c>
      <c r="Q524"/>
      <c r="R524"/>
      <c r="S524"/>
      <c r="T524"/>
      <c r="U524"/>
      <c r="V524"/>
      <c r="W524"/>
      <c r="X524"/>
    </row>
    <row r="525" spans="1:24">
      <c r="A525" t="s">
        <v>151</v>
      </c>
      <c r="B525" t="s">
        <v>124</v>
      </c>
      <c r="C525" t="s">
        <v>182</v>
      </c>
      <c r="D525" t="s">
        <v>58</v>
      </c>
      <c r="E525" t="s">
        <v>55</v>
      </c>
      <c r="F525" t="s">
        <v>547</v>
      </c>
      <c r="G525" t="s">
        <v>460</v>
      </c>
      <c r="H525" t="s">
        <v>243</v>
      </c>
      <c r="I525" t="s">
        <v>36</v>
      </c>
      <c r="J525" t="s">
        <v>47</v>
      </c>
      <c r="K525" s="4">
        <v>63415</v>
      </c>
      <c r="L525" s="4">
        <v>185</v>
      </c>
      <c r="M525" s="4">
        <v>28161</v>
      </c>
      <c r="N525" s="4">
        <v>59169</v>
      </c>
      <c r="O525" s="4">
        <v>9</v>
      </c>
      <c r="P525" s="3">
        <v>1924.1627000000001</v>
      </c>
      <c r="Q525"/>
      <c r="R525"/>
      <c r="S525"/>
      <c r="T525"/>
      <c r="U525"/>
      <c r="V525"/>
      <c r="W525"/>
      <c r="X525"/>
    </row>
    <row r="526" spans="1:24">
      <c r="A526" t="s">
        <v>151</v>
      </c>
      <c r="B526" t="s">
        <v>124</v>
      </c>
      <c r="C526" t="s">
        <v>1041</v>
      </c>
      <c r="D526" t="s">
        <v>54</v>
      </c>
      <c r="E526" t="s">
        <v>60</v>
      </c>
      <c r="F526" t="s">
        <v>547</v>
      </c>
      <c r="G526" t="s">
        <v>460</v>
      </c>
      <c r="H526" t="s">
        <v>260</v>
      </c>
      <c r="I526" t="s">
        <v>36</v>
      </c>
      <c r="J526" t="s">
        <v>47</v>
      </c>
      <c r="K526" s="4">
        <v>97346</v>
      </c>
      <c r="L526" s="4">
        <v>790</v>
      </c>
      <c r="M526" s="4">
        <v>44118</v>
      </c>
      <c r="N526" s="4">
        <v>91080</v>
      </c>
      <c r="O526" s="4">
        <v>19</v>
      </c>
      <c r="P526" s="3">
        <v>1657.5649000000001</v>
      </c>
      <c r="Q526"/>
      <c r="R526"/>
      <c r="S526"/>
      <c r="T526"/>
      <c r="U526"/>
      <c r="V526"/>
      <c r="W526"/>
      <c r="X526"/>
    </row>
    <row r="527" spans="1:24">
      <c r="A527" t="s">
        <v>151</v>
      </c>
      <c r="B527" t="s">
        <v>124</v>
      </c>
      <c r="C527" t="s">
        <v>1042</v>
      </c>
      <c r="D527" t="s">
        <v>56</v>
      </c>
      <c r="E527" t="s">
        <v>59</v>
      </c>
      <c r="F527" t="s">
        <v>583</v>
      </c>
      <c r="G527" t="s">
        <v>464</v>
      </c>
      <c r="H527" t="s">
        <v>438</v>
      </c>
      <c r="I527" t="s">
        <v>451</v>
      </c>
      <c r="J527" t="s">
        <v>47</v>
      </c>
      <c r="K527" s="4">
        <v>7409</v>
      </c>
      <c r="L527" s="4">
        <v>10</v>
      </c>
      <c r="M527" s="4">
        <v>5009</v>
      </c>
      <c r="N527" s="4">
        <v>7160</v>
      </c>
      <c r="O527" s="4">
        <v>12</v>
      </c>
      <c r="P527" s="3">
        <v>1472.1101000000001</v>
      </c>
      <c r="Q527"/>
      <c r="R527"/>
      <c r="S527"/>
      <c r="T527"/>
      <c r="U527"/>
      <c r="V527"/>
      <c r="W527"/>
      <c r="X527"/>
    </row>
    <row r="528" spans="1:24">
      <c r="A528" t="s">
        <v>151</v>
      </c>
      <c r="B528" t="s">
        <v>124</v>
      </c>
      <c r="C528" t="s">
        <v>1043</v>
      </c>
      <c r="D528" t="s">
        <v>56</v>
      </c>
      <c r="E528" t="s">
        <v>60</v>
      </c>
      <c r="F528" t="s">
        <v>482</v>
      </c>
      <c r="G528" t="s">
        <v>483</v>
      </c>
      <c r="H528" t="s">
        <v>234</v>
      </c>
      <c r="I528" t="s">
        <v>38</v>
      </c>
      <c r="J528" t="s">
        <v>47</v>
      </c>
      <c r="K528" s="4">
        <v>83537</v>
      </c>
      <c r="L528" s="4">
        <v>222</v>
      </c>
      <c r="M528" s="4">
        <v>67987</v>
      </c>
      <c r="N528" s="4">
        <v>79409</v>
      </c>
      <c r="O528" s="4">
        <v>4</v>
      </c>
      <c r="P528" s="3">
        <v>1761.0793000000001</v>
      </c>
      <c r="Q528"/>
      <c r="R528"/>
      <c r="S528"/>
      <c r="T528"/>
      <c r="U528"/>
      <c r="V528"/>
      <c r="W528"/>
      <c r="X528"/>
    </row>
    <row r="529" spans="1:24">
      <c r="A529" t="s">
        <v>151</v>
      </c>
      <c r="B529" t="s">
        <v>124</v>
      </c>
      <c r="C529" t="s">
        <v>1044</v>
      </c>
      <c r="D529" t="s">
        <v>58</v>
      </c>
      <c r="E529" t="s">
        <v>55</v>
      </c>
      <c r="F529" t="s">
        <v>519</v>
      </c>
      <c r="G529" t="s">
        <v>460</v>
      </c>
      <c r="H529" t="s">
        <v>312</v>
      </c>
      <c r="I529" t="s">
        <v>40</v>
      </c>
      <c r="J529" t="s">
        <v>47</v>
      </c>
      <c r="K529" s="4">
        <v>7531</v>
      </c>
      <c r="L529" s="4">
        <v>10</v>
      </c>
      <c r="M529" s="4">
        <v>3059</v>
      </c>
      <c r="N529" s="4">
        <v>6523</v>
      </c>
      <c r="O529" s="4">
        <v>1</v>
      </c>
      <c r="P529" s="3">
        <v>1937.0583999999999</v>
      </c>
      <c r="Q529"/>
      <c r="R529"/>
      <c r="S529"/>
      <c r="T529"/>
      <c r="U529"/>
      <c r="V529"/>
      <c r="W529"/>
      <c r="X529"/>
    </row>
    <row r="530" spans="1:24">
      <c r="A530" t="s">
        <v>151</v>
      </c>
      <c r="B530" t="s">
        <v>124</v>
      </c>
      <c r="C530" t="s">
        <v>186</v>
      </c>
      <c r="D530" t="s">
        <v>56</v>
      </c>
      <c r="E530" t="s">
        <v>59</v>
      </c>
      <c r="F530" t="s">
        <v>467</v>
      </c>
      <c r="G530" t="s">
        <v>468</v>
      </c>
      <c r="H530" t="s">
        <v>319</v>
      </c>
      <c r="I530" t="s">
        <v>36</v>
      </c>
      <c r="J530" t="s">
        <v>47</v>
      </c>
      <c r="K530" s="4">
        <v>11375</v>
      </c>
      <c r="L530" s="4">
        <v>87</v>
      </c>
      <c r="M530" s="4">
        <v>7171</v>
      </c>
      <c r="N530" s="4">
        <v>8151</v>
      </c>
      <c r="O530" s="4">
        <v>4</v>
      </c>
      <c r="P530" s="3">
        <v>1763.7841000000001</v>
      </c>
      <c r="Q530"/>
      <c r="R530"/>
      <c r="S530"/>
      <c r="T530"/>
      <c r="U530"/>
      <c r="V530"/>
      <c r="W530"/>
      <c r="X530"/>
    </row>
    <row r="531" spans="1:24">
      <c r="A531" t="s">
        <v>151</v>
      </c>
      <c r="B531" t="s">
        <v>124</v>
      </c>
      <c r="C531" t="s">
        <v>190</v>
      </c>
      <c r="D531" t="s">
        <v>58</v>
      </c>
      <c r="E531" t="s">
        <v>59</v>
      </c>
      <c r="F531" t="s">
        <v>467</v>
      </c>
      <c r="G531" t="s">
        <v>468</v>
      </c>
      <c r="H531" t="s">
        <v>310</v>
      </c>
      <c r="I531" t="s">
        <v>36</v>
      </c>
      <c r="J531" t="s">
        <v>47</v>
      </c>
      <c r="K531" s="4">
        <v>84306</v>
      </c>
      <c r="L531" s="4">
        <v>185</v>
      </c>
      <c r="M531" s="4">
        <v>45376</v>
      </c>
      <c r="N531" s="4">
        <v>79935</v>
      </c>
      <c r="O531" s="4">
        <v>3</v>
      </c>
      <c r="P531" s="3">
        <v>1809.5909999999999</v>
      </c>
      <c r="Q531"/>
      <c r="R531"/>
      <c r="S531"/>
      <c r="T531"/>
      <c r="U531"/>
      <c r="V531"/>
      <c r="W531"/>
      <c r="X531"/>
    </row>
    <row r="532" spans="1:24">
      <c r="A532" t="s">
        <v>151</v>
      </c>
      <c r="B532" t="s">
        <v>124</v>
      </c>
      <c r="C532" t="s">
        <v>1045</v>
      </c>
      <c r="D532" t="s">
        <v>58</v>
      </c>
      <c r="E532" t="s">
        <v>60</v>
      </c>
      <c r="F532" t="s">
        <v>551</v>
      </c>
      <c r="G532" t="s">
        <v>487</v>
      </c>
      <c r="H532" t="s">
        <v>277</v>
      </c>
      <c r="I532" t="s">
        <v>40</v>
      </c>
      <c r="J532" t="s">
        <v>47</v>
      </c>
      <c r="K532" s="4">
        <v>23410</v>
      </c>
      <c r="L532" s="4">
        <v>66</v>
      </c>
      <c r="M532" s="4">
        <v>13626</v>
      </c>
      <c r="N532" s="4">
        <v>22109</v>
      </c>
      <c r="O532" s="4">
        <v>6</v>
      </c>
      <c r="P532" s="3">
        <v>1930.1804999999999</v>
      </c>
      <c r="Q532"/>
      <c r="R532"/>
      <c r="S532"/>
      <c r="T532"/>
      <c r="U532"/>
      <c r="V532"/>
      <c r="W532"/>
      <c r="X532"/>
    </row>
    <row r="533" spans="1:24">
      <c r="A533" t="s">
        <v>151</v>
      </c>
      <c r="B533" t="s">
        <v>124</v>
      </c>
      <c r="C533" t="s">
        <v>1046</v>
      </c>
      <c r="D533" t="s">
        <v>54</v>
      </c>
      <c r="E533" t="s">
        <v>57</v>
      </c>
      <c r="F533" t="s">
        <v>480</v>
      </c>
      <c r="G533" t="s">
        <v>460</v>
      </c>
      <c r="H533" t="s">
        <v>450</v>
      </c>
      <c r="I533" t="s">
        <v>448</v>
      </c>
      <c r="J533" t="s">
        <v>47</v>
      </c>
      <c r="K533" s="4">
        <v>16956</v>
      </c>
      <c r="L533" s="4">
        <v>65</v>
      </c>
      <c r="M533" s="4">
        <v>7553</v>
      </c>
      <c r="N533" s="4">
        <v>15201</v>
      </c>
      <c r="O533" s="4">
        <v>3</v>
      </c>
      <c r="P533" s="3">
        <v>1502.6801</v>
      </c>
      <c r="Q533"/>
      <c r="R533"/>
      <c r="S533"/>
      <c r="T533"/>
      <c r="U533"/>
      <c r="V533"/>
      <c r="W533"/>
      <c r="X533"/>
    </row>
    <row r="534" spans="1:24">
      <c r="A534" t="s">
        <v>151</v>
      </c>
      <c r="B534" t="s">
        <v>124</v>
      </c>
      <c r="C534" t="s">
        <v>597</v>
      </c>
      <c r="D534" t="s">
        <v>56</v>
      </c>
      <c r="E534" t="s">
        <v>57</v>
      </c>
      <c r="F534" t="s">
        <v>459</v>
      </c>
      <c r="G534" t="s">
        <v>460</v>
      </c>
      <c r="H534" t="s">
        <v>215</v>
      </c>
      <c r="I534" t="s">
        <v>38</v>
      </c>
      <c r="J534" t="s">
        <v>47</v>
      </c>
      <c r="K534" s="4">
        <v>85965</v>
      </c>
      <c r="L534" s="4">
        <v>233</v>
      </c>
      <c r="M534" s="4">
        <v>33865</v>
      </c>
      <c r="N534" s="4">
        <v>78662</v>
      </c>
      <c r="O534" s="4">
        <v>3</v>
      </c>
      <c r="P534" s="3">
        <v>1555.5347999999999</v>
      </c>
      <c r="Q534"/>
      <c r="R534"/>
      <c r="S534"/>
      <c r="T534"/>
      <c r="U534"/>
      <c r="V534"/>
      <c r="W534"/>
      <c r="X534"/>
    </row>
    <row r="535" spans="1:24">
      <c r="A535" t="s">
        <v>151</v>
      </c>
      <c r="B535" t="s">
        <v>124</v>
      </c>
      <c r="C535" t="s">
        <v>1047</v>
      </c>
      <c r="D535" t="s">
        <v>56</v>
      </c>
      <c r="E535" t="s">
        <v>55</v>
      </c>
      <c r="F535" t="s">
        <v>747</v>
      </c>
      <c r="G535" t="s">
        <v>460</v>
      </c>
      <c r="H535" t="s">
        <v>276</v>
      </c>
      <c r="I535" t="s">
        <v>44</v>
      </c>
      <c r="J535" t="s">
        <v>47</v>
      </c>
      <c r="K535" s="4">
        <v>13833</v>
      </c>
      <c r="L535" s="4">
        <v>84</v>
      </c>
      <c r="M535" s="4">
        <v>7693</v>
      </c>
      <c r="N535" s="4">
        <v>13237</v>
      </c>
      <c r="O535" s="4">
        <v>6</v>
      </c>
      <c r="P535" s="3">
        <v>1526.7871</v>
      </c>
      <c r="Q535"/>
      <c r="R535"/>
      <c r="S535"/>
      <c r="T535"/>
      <c r="U535"/>
      <c r="V535"/>
      <c r="W535"/>
      <c r="X535"/>
    </row>
    <row r="536" spans="1:24">
      <c r="A536" t="s">
        <v>151</v>
      </c>
      <c r="B536" t="s">
        <v>124</v>
      </c>
      <c r="C536" t="s">
        <v>200</v>
      </c>
      <c r="D536" t="s">
        <v>56</v>
      </c>
      <c r="E536" t="s">
        <v>55</v>
      </c>
      <c r="F536" t="s">
        <v>482</v>
      </c>
      <c r="G536" t="s">
        <v>483</v>
      </c>
      <c r="H536" t="s">
        <v>211</v>
      </c>
      <c r="I536" t="s">
        <v>38</v>
      </c>
      <c r="J536" t="s">
        <v>47</v>
      </c>
      <c r="K536" s="4">
        <v>7540</v>
      </c>
      <c r="L536" s="4">
        <v>10</v>
      </c>
      <c r="M536" s="4">
        <v>1475</v>
      </c>
      <c r="N536" s="4">
        <v>2054</v>
      </c>
      <c r="O536" s="4">
        <v>1</v>
      </c>
      <c r="P536" s="3">
        <v>1713.9789000000001</v>
      </c>
      <c r="Q536"/>
      <c r="R536"/>
      <c r="S536"/>
      <c r="T536"/>
      <c r="U536"/>
      <c r="V536"/>
      <c r="W536"/>
      <c r="X536"/>
    </row>
    <row r="537" spans="1:24">
      <c r="A537" t="s">
        <v>153</v>
      </c>
      <c r="B537" t="s">
        <v>1048</v>
      </c>
      <c r="D537" t="s">
        <v>54</v>
      </c>
      <c r="E537" t="s">
        <v>59</v>
      </c>
      <c r="F537" t="s">
        <v>480</v>
      </c>
      <c r="G537" t="s">
        <v>460</v>
      </c>
      <c r="H537" t="s">
        <v>249</v>
      </c>
      <c r="I537" t="s">
        <v>445</v>
      </c>
      <c r="J537" t="s">
        <v>47</v>
      </c>
      <c r="K537" s="4">
        <v>18136</v>
      </c>
      <c r="L537" s="4">
        <v>69</v>
      </c>
      <c r="M537" s="4">
        <v>10842</v>
      </c>
      <c r="N537" s="4">
        <v>14953</v>
      </c>
      <c r="O537" s="4">
        <v>9</v>
      </c>
      <c r="P537" s="3">
        <v>6860.3595999999998</v>
      </c>
      <c r="Q537"/>
      <c r="R537"/>
      <c r="S537"/>
      <c r="T537"/>
      <c r="U537"/>
      <c r="V537"/>
      <c r="W537"/>
      <c r="X537"/>
    </row>
    <row r="538" spans="1:24">
      <c r="A538" t="s">
        <v>153</v>
      </c>
      <c r="B538" t="s">
        <v>1049</v>
      </c>
      <c r="D538" t="s">
        <v>54</v>
      </c>
      <c r="E538" t="s">
        <v>57</v>
      </c>
      <c r="F538" t="s">
        <v>471</v>
      </c>
      <c r="G538" t="s">
        <v>464</v>
      </c>
      <c r="H538" t="s">
        <v>254</v>
      </c>
      <c r="I538" t="s">
        <v>36</v>
      </c>
      <c r="J538" t="s">
        <v>47</v>
      </c>
      <c r="K538" s="4">
        <v>39844</v>
      </c>
      <c r="L538" s="4">
        <v>99</v>
      </c>
      <c r="M538" s="4">
        <v>11077</v>
      </c>
      <c r="N538" s="4">
        <v>30190</v>
      </c>
      <c r="O538" s="4">
        <v>9</v>
      </c>
      <c r="P538" s="3">
        <v>6367.8698999999997</v>
      </c>
      <c r="Q538"/>
      <c r="R538"/>
      <c r="S538"/>
      <c r="T538"/>
      <c r="U538"/>
      <c r="V538"/>
      <c r="W538"/>
      <c r="X538"/>
    </row>
    <row r="539" spans="1:24">
      <c r="A539" t="s">
        <v>153</v>
      </c>
      <c r="B539" t="s">
        <v>1050</v>
      </c>
      <c r="D539" t="s">
        <v>54</v>
      </c>
      <c r="E539" t="s">
        <v>57</v>
      </c>
      <c r="F539" t="s">
        <v>506</v>
      </c>
      <c r="G539" t="s">
        <v>474</v>
      </c>
      <c r="H539" t="s">
        <v>213</v>
      </c>
      <c r="I539" t="s">
        <v>43</v>
      </c>
      <c r="J539" t="s">
        <v>47</v>
      </c>
      <c r="K539" s="4">
        <v>39794</v>
      </c>
      <c r="L539" s="4">
        <v>101</v>
      </c>
      <c r="M539" s="4">
        <v>17539</v>
      </c>
      <c r="N539" s="4">
        <v>37664</v>
      </c>
      <c r="O539" s="4">
        <v>12</v>
      </c>
      <c r="P539" s="3">
        <v>5328.5245000000004</v>
      </c>
      <c r="Q539"/>
      <c r="R539"/>
      <c r="S539"/>
      <c r="T539"/>
      <c r="U539"/>
      <c r="V539"/>
      <c r="W539"/>
      <c r="X539"/>
    </row>
    <row r="540" spans="1:24">
      <c r="A540" t="s">
        <v>153</v>
      </c>
      <c r="B540" t="s">
        <v>1051</v>
      </c>
      <c r="D540" t="s">
        <v>56</v>
      </c>
      <c r="E540" t="s">
        <v>60</v>
      </c>
      <c r="F540" t="s">
        <v>497</v>
      </c>
      <c r="G540" t="s">
        <v>460</v>
      </c>
      <c r="H540" t="s">
        <v>281</v>
      </c>
      <c r="I540" t="s">
        <v>44</v>
      </c>
      <c r="J540" t="s">
        <v>47</v>
      </c>
      <c r="K540" s="4">
        <v>8187</v>
      </c>
      <c r="L540" s="4">
        <v>20</v>
      </c>
      <c r="M540" s="4">
        <v>4888</v>
      </c>
      <c r="N540" s="4">
        <v>7510</v>
      </c>
      <c r="O540" s="4">
        <v>3</v>
      </c>
      <c r="P540" s="3">
        <v>6980.2293</v>
      </c>
      <c r="Q540"/>
      <c r="R540"/>
      <c r="S540"/>
      <c r="T540"/>
      <c r="U540"/>
      <c r="V540"/>
      <c r="W540"/>
      <c r="X540"/>
    </row>
    <row r="541" spans="1:24">
      <c r="A541" t="s">
        <v>153</v>
      </c>
      <c r="B541" t="s">
        <v>1052</v>
      </c>
      <c r="D541" t="s">
        <v>56</v>
      </c>
      <c r="E541" t="s">
        <v>55</v>
      </c>
      <c r="F541" t="s">
        <v>467</v>
      </c>
      <c r="G541" t="s">
        <v>468</v>
      </c>
      <c r="H541" t="s">
        <v>300</v>
      </c>
      <c r="I541" t="s">
        <v>40</v>
      </c>
      <c r="J541" t="s">
        <v>47</v>
      </c>
      <c r="K541" s="4">
        <v>12136</v>
      </c>
      <c r="L541" s="4">
        <v>97</v>
      </c>
      <c r="M541" s="4">
        <v>2089</v>
      </c>
      <c r="N541" s="4">
        <v>11500</v>
      </c>
      <c r="O541" s="4">
        <v>3</v>
      </c>
      <c r="P541" s="3">
        <v>5224.9324999999999</v>
      </c>
      <c r="Q541"/>
      <c r="R541"/>
      <c r="S541"/>
      <c r="T541"/>
      <c r="U541"/>
      <c r="V541"/>
      <c r="W541"/>
      <c r="X541"/>
    </row>
    <row r="542" spans="1:24">
      <c r="A542" t="s">
        <v>153</v>
      </c>
      <c r="B542" t="s">
        <v>1053</v>
      </c>
      <c r="D542" t="s">
        <v>54</v>
      </c>
      <c r="E542" t="s">
        <v>60</v>
      </c>
      <c r="F542" t="s">
        <v>467</v>
      </c>
      <c r="G542" t="s">
        <v>468</v>
      </c>
      <c r="H542" t="s">
        <v>300</v>
      </c>
      <c r="I542" t="s">
        <v>36</v>
      </c>
      <c r="J542" t="s">
        <v>47</v>
      </c>
      <c r="K542" s="4">
        <v>9463</v>
      </c>
      <c r="L542" s="4">
        <v>56</v>
      </c>
      <c r="M542" s="4">
        <v>1518</v>
      </c>
      <c r="N542" s="4">
        <v>8191</v>
      </c>
      <c r="O542" s="4">
        <v>4</v>
      </c>
      <c r="P542" s="3">
        <v>6879.6017000000002</v>
      </c>
      <c r="Q542"/>
      <c r="R542"/>
      <c r="S542"/>
      <c r="T542"/>
      <c r="U542"/>
      <c r="V542"/>
      <c r="W542"/>
      <c r="X542"/>
    </row>
    <row r="543" spans="1:24">
      <c r="A543" t="s">
        <v>155</v>
      </c>
      <c r="B543" t="s">
        <v>1054</v>
      </c>
      <c r="C543" t="s">
        <v>1055</v>
      </c>
      <c r="D543" t="s">
        <v>54</v>
      </c>
      <c r="E543" t="s">
        <v>55</v>
      </c>
      <c r="F543" t="s">
        <v>551</v>
      </c>
      <c r="G543" t="s">
        <v>487</v>
      </c>
      <c r="H543" t="s">
        <v>327</v>
      </c>
      <c r="I543" t="s">
        <v>38</v>
      </c>
      <c r="J543" t="s">
        <v>47</v>
      </c>
      <c r="K543" s="4">
        <v>26784</v>
      </c>
      <c r="L543" s="4">
        <v>85</v>
      </c>
      <c r="M543" s="4">
        <v>12708</v>
      </c>
      <c r="N543" s="4">
        <v>22261</v>
      </c>
      <c r="O543" s="4">
        <v>9</v>
      </c>
      <c r="P543" s="3">
        <v>6643.1616000000004</v>
      </c>
      <c r="Q543"/>
      <c r="R543"/>
      <c r="S543"/>
      <c r="T543"/>
      <c r="U543"/>
      <c r="V543"/>
      <c r="W543"/>
      <c r="X543"/>
    </row>
    <row r="544" spans="1:24">
      <c r="A544" t="s">
        <v>155</v>
      </c>
      <c r="B544" t="s">
        <v>1054</v>
      </c>
      <c r="C544" t="s">
        <v>1056</v>
      </c>
      <c r="D544" t="s">
        <v>54</v>
      </c>
      <c r="E544" t="s">
        <v>55</v>
      </c>
      <c r="F544" t="s">
        <v>489</v>
      </c>
      <c r="G544" t="s">
        <v>460</v>
      </c>
      <c r="H544" t="s">
        <v>241</v>
      </c>
      <c r="I544" t="s">
        <v>38</v>
      </c>
      <c r="J544" t="s">
        <v>47</v>
      </c>
      <c r="K544" s="4">
        <v>115544</v>
      </c>
      <c r="L544" s="4">
        <v>412</v>
      </c>
      <c r="M544" s="4">
        <v>79182</v>
      </c>
      <c r="N544" s="4">
        <v>109463</v>
      </c>
      <c r="O544" s="4">
        <v>56</v>
      </c>
      <c r="P544" s="3">
        <v>6721.0945000000002</v>
      </c>
      <c r="Q544"/>
      <c r="R544"/>
      <c r="S544"/>
      <c r="T544"/>
      <c r="U544"/>
      <c r="V544"/>
      <c r="W544"/>
      <c r="X544"/>
    </row>
    <row r="545" spans="1:24">
      <c r="A545" t="s">
        <v>155</v>
      </c>
      <c r="B545" t="s">
        <v>1057</v>
      </c>
      <c r="D545" t="s">
        <v>56</v>
      </c>
      <c r="E545" t="s">
        <v>57</v>
      </c>
      <c r="F545" t="s">
        <v>497</v>
      </c>
      <c r="G545" t="s">
        <v>460</v>
      </c>
      <c r="H545" t="s">
        <v>228</v>
      </c>
      <c r="I545" t="s">
        <v>38</v>
      </c>
      <c r="J545" t="s">
        <v>47</v>
      </c>
      <c r="K545" s="4">
        <v>23829</v>
      </c>
      <c r="L545" s="4">
        <v>75</v>
      </c>
      <c r="M545" s="4">
        <v>8326</v>
      </c>
      <c r="N545" s="4">
        <v>18812</v>
      </c>
      <c r="O545" s="4">
        <v>5</v>
      </c>
      <c r="P545" s="3">
        <v>1534.6980000000001</v>
      </c>
      <c r="Q545"/>
      <c r="R545"/>
      <c r="S545"/>
      <c r="T545"/>
      <c r="U545"/>
      <c r="V545"/>
      <c r="W545"/>
      <c r="X545"/>
    </row>
    <row r="546" spans="1:24">
      <c r="A546" t="s">
        <v>155</v>
      </c>
      <c r="B546" t="s">
        <v>1058</v>
      </c>
      <c r="D546" t="s">
        <v>54</v>
      </c>
      <c r="E546" t="s">
        <v>59</v>
      </c>
      <c r="F546" t="s">
        <v>489</v>
      </c>
      <c r="G546" t="s">
        <v>460</v>
      </c>
      <c r="H546" t="s">
        <v>378</v>
      </c>
      <c r="I546" t="s">
        <v>36</v>
      </c>
      <c r="J546" t="s">
        <v>47</v>
      </c>
      <c r="K546" s="4">
        <v>26820</v>
      </c>
      <c r="L546" s="4">
        <v>80</v>
      </c>
      <c r="M546" s="4">
        <v>13553</v>
      </c>
      <c r="N546" s="4">
        <v>21192</v>
      </c>
      <c r="O546" s="4">
        <v>12</v>
      </c>
      <c r="P546" s="3">
        <v>6745.1034</v>
      </c>
      <c r="Q546"/>
      <c r="R546"/>
      <c r="S546"/>
      <c r="T546"/>
      <c r="U546"/>
      <c r="V546"/>
      <c r="W546"/>
      <c r="X546"/>
    </row>
    <row r="547" spans="1:24">
      <c r="A547" t="s">
        <v>157</v>
      </c>
      <c r="B547" t="s">
        <v>1059</v>
      </c>
      <c r="D547" t="s">
        <v>56</v>
      </c>
      <c r="E547" t="s">
        <v>55</v>
      </c>
      <c r="F547" t="s">
        <v>467</v>
      </c>
      <c r="G547" t="s">
        <v>468</v>
      </c>
      <c r="H547" t="s">
        <v>233</v>
      </c>
      <c r="I547" t="s">
        <v>40</v>
      </c>
      <c r="J547" t="s">
        <v>47</v>
      </c>
      <c r="K547" s="4">
        <v>109567</v>
      </c>
      <c r="L547" s="4">
        <v>345</v>
      </c>
      <c r="M547" s="4">
        <v>57620</v>
      </c>
      <c r="N547" s="4">
        <v>97903</v>
      </c>
      <c r="O547" s="4">
        <v>5</v>
      </c>
      <c r="P547" s="3">
        <v>1616.7147</v>
      </c>
      <c r="Q547"/>
      <c r="R547"/>
      <c r="S547"/>
      <c r="T547"/>
      <c r="U547"/>
      <c r="V547"/>
      <c r="W547"/>
      <c r="X547"/>
    </row>
    <row r="548" spans="1:24">
      <c r="A548" t="s">
        <v>159</v>
      </c>
      <c r="B548" t="s">
        <v>159</v>
      </c>
      <c r="C548" t="s">
        <v>1060</v>
      </c>
      <c r="D548" t="s">
        <v>54</v>
      </c>
      <c r="E548" t="s">
        <v>57</v>
      </c>
      <c r="F548" t="s">
        <v>467</v>
      </c>
      <c r="G548" t="s">
        <v>468</v>
      </c>
      <c r="H548" t="s">
        <v>391</v>
      </c>
      <c r="I548" t="s">
        <v>36</v>
      </c>
      <c r="J548" t="s">
        <v>47</v>
      </c>
      <c r="K548" s="4">
        <v>15322</v>
      </c>
      <c r="L548" s="4">
        <v>55</v>
      </c>
      <c r="M548" s="4">
        <v>6416</v>
      </c>
      <c r="N548" s="4">
        <v>14049</v>
      </c>
      <c r="O548" s="4">
        <v>5</v>
      </c>
      <c r="P548" s="3">
        <v>1850.4641999999999</v>
      </c>
      <c r="Q548"/>
      <c r="R548"/>
      <c r="S548"/>
      <c r="T548"/>
      <c r="U548"/>
      <c r="V548"/>
      <c r="W548"/>
      <c r="X548"/>
    </row>
    <row r="549" spans="1:24">
      <c r="A549" t="s">
        <v>161</v>
      </c>
      <c r="D549" t="s">
        <v>56</v>
      </c>
      <c r="E549" t="s">
        <v>60</v>
      </c>
      <c r="F549" t="s">
        <v>463</v>
      </c>
      <c r="G549" t="s">
        <v>464</v>
      </c>
      <c r="H549" t="s">
        <v>234</v>
      </c>
      <c r="I549" t="s">
        <v>210</v>
      </c>
      <c r="J549" t="s">
        <v>48</v>
      </c>
      <c r="K549" s="4">
        <v>35043</v>
      </c>
      <c r="L549" s="4">
        <v>140</v>
      </c>
      <c r="M549" s="4">
        <v>20942</v>
      </c>
      <c r="N549" s="4">
        <v>33479</v>
      </c>
      <c r="O549" s="4">
        <v>24</v>
      </c>
      <c r="P549" s="3">
        <v>1527.9763</v>
      </c>
      <c r="Q549"/>
      <c r="R549"/>
      <c r="S549"/>
      <c r="T549"/>
      <c r="U549"/>
      <c r="V549"/>
      <c r="W549"/>
      <c r="X549"/>
    </row>
    <row r="550" spans="1:24">
      <c r="A550" t="s">
        <v>163</v>
      </c>
      <c r="B550" t="s">
        <v>1061</v>
      </c>
      <c r="D550" t="s">
        <v>54</v>
      </c>
      <c r="E550" t="s">
        <v>59</v>
      </c>
      <c r="F550" t="s">
        <v>471</v>
      </c>
      <c r="G550" t="s">
        <v>464</v>
      </c>
      <c r="H550" t="s">
        <v>232</v>
      </c>
      <c r="I550" t="s">
        <v>210</v>
      </c>
      <c r="J550" t="s">
        <v>47</v>
      </c>
      <c r="K550" s="4">
        <v>66554</v>
      </c>
      <c r="L550" s="4">
        <v>169</v>
      </c>
      <c r="M550" s="4">
        <v>39206</v>
      </c>
      <c r="N550" s="4">
        <v>62109</v>
      </c>
      <c r="O550" s="4">
        <v>6</v>
      </c>
      <c r="P550" s="3">
        <v>1890.8859</v>
      </c>
      <c r="Q550"/>
      <c r="R550"/>
      <c r="S550"/>
      <c r="T550"/>
      <c r="U550"/>
      <c r="V550"/>
      <c r="W550"/>
      <c r="X550"/>
    </row>
    <row r="551" spans="1:24">
      <c r="A551" t="s">
        <v>163</v>
      </c>
      <c r="B551" t="s">
        <v>1062</v>
      </c>
      <c r="D551" t="s">
        <v>54</v>
      </c>
      <c r="E551" t="s">
        <v>55</v>
      </c>
      <c r="F551" t="s">
        <v>559</v>
      </c>
      <c r="G551" t="s">
        <v>560</v>
      </c>
      <c r="H551" t="s">
        <v>265</v>
      </c>
      <c r="I551" t="s">
        <v>38</v>
      </c>
      <c r="J551" t="s">
        <v>47</v>
      </c>
      <c r="K551" s="4">
        <v>19549</v>
      </c>
      <c r="L551" s="4">
        <v>84</v>
      </c>
      <c r="M551" s="4">
        <v>6187</v>
      </c>
      <c r="N551" s="4">
        <v>17166</v>
      </c>
      <c r="O551" s="4">
        <v>2</v>
      </c>
      <c r="P551" s="3">
        <v>1844.9869000000001</v>
      </c>
      <c r="Q551"/>
      <c r="R551"/>
      <c r="S551"/>
      <c r="T551"/>
      <c r="U551"/>
      <c r="V551"/>
      <c r="W551"/>
      <c r="X551"/>
    </row>
    <row r="552" spans="1:24">
      <c r="A552" t="s">
        <v>165</v>
      </c>
      <c r="D552" t="s">
        <v>56</v>
      </c>
      <c r="E552" t="s">
        <v>60</v>
      </c>
      <c r="F552" t="s">
        <v>467</v>
      </c>
      <c r="G552" t="s">
        <v>468</v>
      </c>
      <c r="H552" t="s">
        <v>442</v>
      </c>
      <c r="I552" t="s">
        <v>43</v>
      </c>
      <c r="J552" t="s">
        <v>47</v>
      </c>
      <c r="K552" s="4">
        <v>11289</v>
      </c>
      <c r="L552" s="4">
        <v>97</v>
      </c>
      <c r="M552" s="4">
        <v>1345</v>
      </c>
      <c r="N552" s="4">
        <v>8187</v>
      </c>
      <c r="O552" s="4">
        <v>3</v>
      </c>
      <c r="P552" s="3">
        <v>1665.1604</v>
      </c>
      <c r="Q552"/>
      <c r="R552"/>
      <c r="S552"/>
      <c r="T552"/>
      <c r="U552"/>
      <c r="V552"/>
      <c r="W552"/>
      <c r="X552"/>
    </row>
    <row r="553" spans="1:24">
      <c r="A553" t="s">
        <v>165</v>
      </c>
      <c r="B553" t="s">
        <v>1063</v>
      </c>
      <c r="C553" t="s">
        <v>1064</v>
      </c>
      <c r="D553" t="s">
        <v>56</v>
      </c>
      <c r="E553" t="s">
        <v>55</v>
      </c>
      <c r="F553" t="s">
        <v>467</v>
      </c>
      <c r="G553" t="s">
        <v>468</v>
      </c>
      <c r="H553" t="s">
        <v>254</v>
      </c>
      <c r="I553" t="s">
        <v>451</v>
      </c>
      <c r="J553" t="s">
        <v>47</v>
      </c>
      <c r="K553" s="4">
        <v>12280</v>
      </c>
      <c r="L553" s="4">
        <v>90</v>
      </c>
      <c r="M553" s="4">
        <v>7633</v>
      </c>
      <c r="N553" s="4">
        <v>11053</v>
      </c>
      <c r="O553" s="4">
        <v>5</v>
      </c>
      <c r="P553" s="3">
        <v>1452.2074</v>
      </c>
      <c r="Q553"/>
      <c r="R553"/>
      <c r="S553"/>
      <c r="T553"/>
      <c r="U553"/>
      <c r="V553"/>
      <c r="W553"/>
      <c r="X553"/>
    </row>
    <row r="554" spans="1:24">
      <c r="A554" t="s">
        <v>167</v>
      </c>
      <c r="D554" t="s">
        <v>56</v>
      </c>
      <c r="E554" t="s">
        <v>60</v>
      </c>
      <c r="F554" t="s">
        <v>471</v>
      </c>
      <c r="G554" t="s">
        <v>464</v>
      </c>
      <c r="H554" t="s">
        <v>305</v>
      </c>
      <c r="I554" t="s">
        <v>36</v>
      </c>
      <c r="J554" t="s">
        <v>48</v>
      </c>
      <c r="K554" s="4">
        <v>16142</v>
      </c>
      <c r="L554" s="4">
        <v>30</v>
      </c>
      <c r="M554" s="4">
        <v>7064</v>
      </c>
      <c r="N554" s="4">
        <v>15433</v>
      </c>
      <c r="O554" s="4">
        <v>5</v>
      </c>
      <c r="P554" s="3">
        <v>2209.6509999999998</v>
      </c>
      <c r="Q554"/>
      <c r="R554"/>
      <c r="S554"/>
      <c r="T554"/>
      <c r="U554"/>
      <c r="V554"/>
      <c r="W554"/>
      <c r="X554"/>
    </row>
    <row r="555" spans="1:24">
      <c r="A555" t="s">
        <v>169</v>
      </c>
      <c r="B555" t="s">
        <v>1065</v>
      </c>
      <c r="C555" t="s">
        <v>1066</v>
      </c>
      <c r="D555" t="s">
        <v>54</v>
      </c>
      <c r="E555" t="s">
        <v>57</v>
      </c>
      <c r="F555" t="s">
        <v>467</v>
      </c>
      <c r="G555" t="s">
        <v>468</v>
      </c>
      <c r="H555" t="s">
        <v>235</v>
      </c>
      <c r="I555" t="s">
        <v>38</v>
      </c>
      <c r="J555" t="s">
        <v>47</v>
      </c>
      <c r="K555" s="4">
        <v>12868</v>
      </c>
      <c r="L555" s="4">
        <v>80</v>
      </c>
      <c r="M555" s="4">
        <v>6472</v>
      </c>
      <c r="N555" s="4">
        <v>11922</v>
      </c>
      <c r="O555" s="4">
        <v>6</v>
      </c>
      <c r="P555" s="3">
        <v>3137.143</v>
      </c>
      <c r="Q555"/>
      <c r="R555"/>
      <c r="S555"/>
      <c r="T555"/>
      <c r="U555"/>
      <c r="V555"/>
      <c r="W555"/>
      <c r="X555"/>
    </row>
    <row r="556" spans="1:24">
      <c r="A556" t="s">
        <v>169</v>
      </c>
      <c r="B556" t="s">
        <v>1065</v>
      </c>
      <c r="C556" t="s">
        <v>1066</v>
      </c>
      <c r="D556" t="s">
        <v>54</v>
      </c>
      <c r="E556" t="s">
        <v>55</v>
      </c>
      <c r="F556" t="s">
        <v>467</v>
      </c>
      <c r="G556" t="s">
        <v>468</v>
      </c>
      <c r="H556" t="s">
        <v>231</v>
      </c>
      <c r="I556" t="s">
        <v>42</v>
      </c>
      <c r="J556" t="s">
        <v>47</v>
      </c>
      <c r="K556" s="4">
        <v>51515</v>
      </c>
      <c r="L556" s="4">
        <v>144</v>
      </c>
      <c r="M556" s="4">
        <v>18304</v>
      </c>
      <c r="N556" s="4">
        <v>44891</v>
      </c>
      <c r="O556" s="4">
        <v>14</v>
      </c>
      <c r="P556" s="3">
        <v>2160.3072999999999</v>
      </c>
      <c r="Q556"/>
      <c r="R556"/>
      <c r="S556"/>
      <c r="T556"/>
      <c r="U556"/>
      <c r="V556"/>
      <c r="W556"/>
      <c r="X556"/>
    </row>
    <row r="557" spans="1:24">
      <c r="A557" t="s">
        <v>169</v>
      </c>
      <c r="B557" t="s">
        <v>1065</v>
      </c>
      <c r="C557" t="s">
        <v>1067</v>
      </c>
      <c r="D557" t="s">
        <v>56</v>
      </c>
      <c r="E557" t="s">
        <v>60</v>
      </c>
      <c r="F557" t="s">
        <v>782</v>
      </c>
      <c r="G557" t="s">
        <v>783</v>
      </c>
      <c r="H557" t="s">
        <v>215</v>
      </c>
      <c r="I557" t="s">
        <v>42</v>
      </c>
      <c r="J557" t="s">
        <v>47</v>
      </c>
      <c r="K557" s="4">
        <v>90123</v>
      </c>
      <c r="L557" s="4">
        <v>60</v>
      </c>
      <c r="M557" s="4">
        <v>33421</v>
      </c>
      <c r="N557" s="4">
        <v>66729</v>
      </c>
      <c r="O557" s="4">
        <v>9</v>
      </c>
      <c r="P557" s="3">
        <v>3433.9142999999999</v>
      </c>
      <c r="Q557"/>
      <c r="R557"/>
      <c r="S557"/>
      <c r="T557"/>
      <c r="U557"/>
      <c r="V557"/>
      <c r="W557"/>
      <c r="X557"/>
    </row>
    <row r="558" spans="1:24">
      <c r="A558" t="s">
        <v>169</v>
      </c>
      <c r="B558" t="s">
        <v>1065</v>
      </c>
      <c r="C558" t="s">
        <v>1068</v>
      </c>
      <c r="D558" t="s">
        <v>56</v>
      </c>
      <c r="E558" t="s">
        <v>55</v>
      </c>
      <c r="F558" t="s">
        <v>540</v>
      </c>
      <c r="G558" t="s">
        <v>468</v>
      </c>
      <c r="H558" t="s">
        <v>281</v>
      </c>
      <c r="I558" t="s">
        <v>36</v>
      </c>
      <c r="J558" t="s">
        <v>47</v>
      </c>
      <c r="K558" s="4">
        <v>17620</v>
      </c>
      <c r="L558" s="4">
        <v>52</v>
      </c>
      <c r="M558" s="4">
        <v>11197</v>
      </c>
      <c r="N558" s="4">
        <v>16687</v>
      </c>
      <c r="O558" s="4">
        <v>9</v>
      </c>
      <c r="P558" s="3">
        <v>2407.7943</v>
      </c>
      <c r="Q558"/>
      <c r="R558"/>
      <c r="S558"/>
      <c r="T558"/>
      <c r="U558"/>
      <c r="V558"/>
      <c r="W558"/>
      <c r="X558"/>
    </row>
    <row r="559" spans="1:24">
      <c r="A559" t="s">
        <v>169</v>
      </c>
      <c r="B559" t="s">
        <v>1065</v>
      </c>
      <c r="C559" t="s">
        <v>1069</v>
      </c>
      <c r="D559" t="s">
        <v>54</v>
      </c>
      <c r="E559" t="s">
        <v>60</v>
      </c>
      <c r="F559" t="s">
        <v>497</v>
      </c>
      <c r="G559" t="s">
        <v>460</v>
      </c>
      <c r="H559" t="s">
        <v>215</v>
      </c>
      <c r="I559" t="s">
        <v>36</v>
      </c>
      <c r="J559" t="s">
        <v>47</v>
      </c>
      <c r="K559" s="4">
        <v>263752</v>
      </c>
      <c r="L559" s="4">
        <v>702</v>
      </c>
      <c r="M559" s="4">
        <v>127042</v>
      </c>
      <c r="N559" s="4">
        <v>225121</v>
      </c>
      <c r="O559" s="4">
        <v>4</v>
      </c>
      <c r="P559" s="3">
        <v>1465.5146999999999</v>
      </c>
      <c r="Q559"/>
      <c r="R559"/>
      <c r="S559"/>
      <c r="T559"/>
      <c r="U559"/>
      <c r="V559"/>
      <c r="W559"/>
      <c r="X559"/>
    </row>
    <row r="560" spans="1:24">
      <c r="A560" t="s">
        <v>169</v>
      </c>
      <c r="B560" t="s">
        <v>1065</v>
      </c>
      <c r="C560" t="s">
        <v>1070</v>
      </c>
      <c r="D560" t="s">
        <v>54</v>
      </c>
      <c r="E560" t="s">
        <v>55</v>
      </c>
      <c r="F560" t="s">
        <v>551</v>
      </c>
      <c r="G560" t="s">
        <v>487</v>
      </c>
      <c r="H560" t="s">
        <v>361</v>
      </c>
      <c r="I560" t="s">
        <v>36</v>
      </c>
      <c r="J560" t="s">
        <v>47</v>
      </c>
      <c r="K560" s="4">
        <v>268811</v>
      </c>
      <c r="L560" s="4">
        <v>799</v>
      </c>
      <c r="M560" s="4">
        <v>95989</v>
      </c>
      <c r="N560" s="4">
        <v>173923</v>
      </c>
      <c r="O560" s="4">
        <v>4</v>
      </c>
      <c r="P560" s="3">
        <v>2549.1152000000002</v>
      </c>
      <c r="Q560"/>
      <c r="R560"/>
      <c r="S560"/>
      <c r="T560"/>
      <c r="U560"/>
      <c r="V560"/>
      <c r="W560"/>
      <c r="X560"/>
    </row>
    <row r="561" spans="1:24">
      <c r="A561" t="s">
        <v>169</v>
      </c>
      <c r="B561" t="s">
        <v>1065</v>
      </c>
      <c r="C561" t="s">
        <v>1071</v>
      </c>
      <c r="D561" t="s">
        <v>56</v>
      </c>
      <c r="E561" t="s">
        <v>55</v>
      </c>
      <c r="F561" t="s">
        <v>482</v>
      </c>
      <c r="G561" t="s">
        <v>483</v>
      </c>
      <c r="H561" t="s">
        <v>332</v>
      </c>
      <c r="I561" t="s">
        <v>38</v>
      </c>
      <c r="J561" t="s">
        <v>47</v>
      </c>
      <c r="K561" s="4">
        <v>18458</v>
      </c>
      <c r="L561" s="4">
        <v>111</v>
      </c>
      <c r="M561" s="4">
        <v>3623</v>
      </c>
      <c r="N561" s="4">
        <v>16934</v>
      </c>
      <c r="O561" s="4">
        <v>6</v>
      </c>
      <c r="P561" s="3">
        <v>2866.4967000000001</v>
      </c>
      <c r="Q561"/>
      <c r="R561"/>
      <c r="S561"/>
      <c r="T561"/>
      <c r="U561"/>
      <c r="V561"/>
      <c r="W561"/>
      <c r="X561"/>
    </row>
    <row r="562" spans="1:24">
      <c r="A562" t="s">
        <v>169</v>
      </c>
      <c r="B562" t="s">
        <v>1065</v>
      </c>
      <c r="C562" t="s">
        <v>1072</v>
      </c>
      <c r="D562" t="s">
        <v>54</v>
      </c>
      <c r="E562" t="s">
        <v>57</v>
      </c>
      <c r="F562" t="s">
        <v>467</v>
      </c>
      <c r="G562" t="s">
        <v>468</v>
      </c>
      <c r="H562" t="s">
        <v>271</v>
      </c>
      <c r="I562" t="s">
        <v>44</v>
      </c>
      <c r="J562" t="s">
        <v>47</v>
      </c>
      <c r="K562" s="4">
        <v>20548</v>
      </c>
      <c r="L562" s="4">
        <v>40</v>
      </c>
      <c r="M562" s="4">
        <v>14259</v>
      </c>
      <c r="N562" s="4">
        <v>19654</v>
      </c>
      <c r="O562" s="4">
        <v>13</v>
      </c>
      <c r="P562" s="3">
        <v>3060.4247999999998</v>
      </c>
      <c r="Q562"/>
      <c r="R562"/>
      <c r="S562"/>
      <c r="T562"/>
      <c r="U562"/>
      <c r="V562"/>
      <c r="W562"/>
      <c r="X562"/>
    </row>
    <row r="563" spans="1:24">
      <c r="A563" t="s">
        <v>169</v>
      </c>
      <c r="B563" t="s">
        <v>1065</v>
      </c>
      <c r="C563" t="s">
        <v>1073</v>
      </c>
      <c r="D563" t="s">
        <v>56</v>
      </c>
      <c r="E563" t="s">
        <v>55</v>
      </c>
      <c r="F563" t="s">
        <v>471</v>
      </c>
      <c r="G563" t="s">
        <v>464</v>
      </c>
      <c r="H563" t="s">
        <v>237</v>
      </c>
      <c r="I563" t="s">
        <v>36</v>
      </c>
      <c r="J563" t="s">
        <v>48</v>
      </c>
      <c r="K563" s="4">
        <v>64892</v>
      </c>
      <c r="L563" s="4">
        <v>214</v>
      </c>
      <c r="M563" s="4">
        <v>34731</v>
      </c>
      <c r="N563" s="4">
        <v>59369</v>
      </c>
      <c r="O563" s="4">
        <v>24</v>
      </c>
      <c r="P563" s="3">
        <v>2096.2855</v>
      </c>
      <c r="Q563"/>
      <c r="R563"/>
      <c r="S563"/>
      <c r="T563"/>
      <c r="U563"/>
      <c r="V563"/>
      <c r="W563"/>
      <c r="X563"/>
    </row>
    <row r="564" spans="1:24">
      <c r="A564" t="s">
        <v>169</v>
      </c>
      <c r="B564" t="s">
        <v>1065</v>
      </c>
      <c r="C564" t="s">
        <v>1074</v>
      </c>
      <c r="D564" t="s">
        <v>56</v>
      </c>
      <c r="E564" t="s">
        <v>60</v>
      </c>
      <c r="F564" t="s">
        <v>506</v>
      </c>
      <c r="G564" t="s">
        <v>474</v>
      </c>
      <c r="H564" t="s">
        <v>251</v>
      </c>
      <c r="I564" t="s">
        <v>216</v>
      </c>
      <c r="J564" t="s">
        <v>47</v>
      </c>
      <c r="K564" s="4">
        <v>292578</v>
      </c>
      <c r="L564" s="4">
        <v>812</v>
      </c>
      <c r="M564" s="4">
        <v>6474</v>
      </c>
      <c r="N564" s="4">
        <v>12323</v>
      </c>
      <c r="O564" s="4">
        <v>4</v>
      </c>
      <c r="P564" s="3">
        <v>1826.3187</v>
      </c>
      <c r="Q564"/>
      <c r="R564"/>
      <c r="S564"/>
      <c r="T564"/>
      <c r="U564"/>
      <c r="V564"/>
      <c r="W564"/>
      <c r="X564"/>
    </row>
    <row r="565" spans="1:24">
      <c r="A565" t="s">
        <v>169</v>
      </c>
      <c r="B565" t="s">
        <v>1065</v>
      </c>
      <c r="C565" t="s">
        <v>1075</v>
      </c>
      <c r="D565" t="s">
        <v>54</v>
      </c>
      <c r="E565" t="s">
        <v>57</v>
      </c>
      <c r="F565" t="s">
        <v>506</v>
      </c>
      <c r="G565" t="s">
        <v>474</v>
      </c>
      <c r="H565" t="s">
        <v>357</v>
      </c>
      <c r="I565" t="s">
        <v>36</v>
      </c>
      <c r="J565" t="s">
        <v>47</v>
      </c>
      <c r="K565" s="4">
        <v>18771</v>
      </c>
      <c r="L565" s="4">
        <v>69</v>
      </c>
      <c r="M565" s="4">
        <v>10871</v>
      </c>
      <c r="N565" s="4">
        <v>17138</v>
      </c>
      <c r="O565" s="4">
        <v>6</v>
      </c>
      <c r="P565" s="3">
        <v>3827.3663999999999</v>
      </c>
      <c r="Q565"/>
      <c r="R565"/>
      <c r="S565"/>
      <c r="T565"/>
      <c r="U565"/>
      <c r="V565"/>
      <c r="W565"/>
      <c r="X565"/>
    </row>
    <row r="566" spans="1:24">
      <c r="A566" t="s">
        <v>169</v>
      </c>
      <c r="B566" t="s">
        <v>1065</v>
      </c>
      <c r="C566" t="s">
        <v>1076</v>
      </c>
      <c r="D566" t="s">
        <v>54</v>
      </c>
      <c r="E566" t="s">
        <v>55</v>
      </c>
      <c r="F566" t="s">
        <v>644</v>
      </c>
      <c r="G566" t="s">
        <v>464</v>
      </c>
      <c r="H566" t="s">
        <v>257</v>
      </c>
      <c r="I566" t="s">
        <v>42</v>
      </c>
      <c r="J566" t="s">
        <v>47</v>
      </c>
      <c r="K566" s="4">
        <v>15399</v>
      </c>
      <c r="L566" s="4">
        <v>35</v>
      </c>
      <c r="M566" s="4">
        <v>3398</v>
      </c>
      <c r="N566" s="4">
        <v>4324</v>
      </c>
      <c r="O566" s="4">
        <v>3</v>
      </c>
      <c r="P566" s="3">
        <v>3434.7312000000002</v>
      </c>
      <c r="Q566"/>
      <c r="R566"/>
      <c r="S566"/>
      <c r="T566"/>
      <c r="U566"/>
      <c r="V566"/>
      <c r="W566"/>
      <c r="X566"/>
    </row>
    <row r="567" spans="1:24">
      <c r="A567" t="s">
        <v>169</v>
      </c>
      <c r="B567" t="s">
        <v>1065</v>
      </c>
      <c r="C567" t="s">
        <v>1077</v>
      </c>
      <c r="D567" t="s">
        <v>56</v>
      </c>
      <c r="E567" t="s">
        <v>57</v>
      </c>
      <c r="F567" t="s">
        <v>473</v>
      </c>
      <c r="G567" t="s">
        <v>474</v>
      </c>
      <c r="H567" t="s">
        <v>213</v>
      </c>
      <c r="I567" t="s">
        <v>38</v>
      </c>
      <c r="J567" t="s">
        <v>49</v>
      </c>
      <c r="K567" s="4">
        <v>63460</v>
      </c>
      <c r="L567" s="4">
        <v>212</v>
      </c>
      <c r="M567" s="4">
        <v>26978</v>
      </c>
      <c r="N567" s="4">
        <v>59516</v>
      </c>
      <c r="O567" s="4">
        <v>4</v>
      </c>
      <c r="P567" s="3">
        <v>1945.4331999999999</v>
      </c>
      <c r="Q567"/>
      <c r="R567"/>
      <c r="S567"/>
      <c r="T567"/>
      <c r="U567"/>
      <c r="V567"/>
      <c r="W567"/>
      <c r="X567"/>
    </row>
    <row r="568" spans="1:24">
      <c r="A568" t="s">
        <v>169</v>
      </c>
      <c r="B568" t="s">
        <v>1065</v>
      </c>
      <c r="C568" t="s">
        <v>1078</v>
      </c>
      <c r="D568" t="s">
        <v>56</v>
      </c>
      <c r="E568" t="s">
        <v>59</v>
      </c>
      <c r="F568" t="s">
        <v>473</v>
      </c>
      <c r="G568" t="s">
        <v>474</v>
      </c>
      <c r="H568" t="s">
        <v>218</v>
      </c>
      <c r="I568" t="s">
        <v>36</v>
      </c>
      <c r="J568" t="s">
        <v>47</v>
      </c>
      <c r="K568" s="4">
        <v>321263</v>
      </c>
      <c r="L568" s="4">
        <v>852</v>
      </c>
      <c r="M568" s="4">
        <v>172887</v>
      </c>
      <c r="N568" s="4">
        <v>263424</v>
      </c>
      <c r="O568" s="4">
        <v>6</v>
      </c>
      <c r="P568" s="3">
        <v>1576.0514000000001</v>
      </c>
      <c r="Q568"/>
      <c r="R568"/>
      <c r="S568"/>
      <c r="T568"/>
      <c r="U568"/>
      <c r="V568"/>
      <c r="W568"/>
      <c r="X568"/>
    </row>
    <row r="569" spans="1:24">
      <c r="A569" t="s">
        <v>169</v>
      </c>
      <c r="B569" t="s">
        <v>1065</v>
      </c>
      <c r="C569" t="s">
        <v>584</v>
      </c>
      <c r="D569" t="s">
        <v>56</v>
      </c>
      <c r="E569" t="s">
        <v>59</v>
      </c>
      <c r="F569" t="s">
        <v>473</v>
      </c>
      <c r="G569" t="s">
        <v>474</v>
      </c>
      <c r="H569" t="s">
        <v>325</v>
      </c>
      <c r="I569" t="s">
        <v>38</v>
      </c>
      <c r="J569" t="s">
        <v>47</v>
      </c>
      <c r="K569" s="4">
        <v>20278</v>
      </c>
      <c r="L569" s="4">
        <v>74</v>
      </c>
      <c r="M569" s="4">
        <v>14227</v>
      </c>
      <c r="N569" s="4">
        <v>19480</v>
      </c>
      <c r="O569" s="4">
        <v>3</v>
      </c>
      <c r="P569" s="3">
        <v>2921.1102000000001</v>
      </c>
      <c r="Q569"/>
      <c r="R569"/>
      <c r="S569"/>
      <c r="T569"/>
      <c r="U569"/>
      <c r="V569"/>
      <c r="W569"/>
      <c r="X569"/>
    </row>
    <row r="570" spans="1:24">
      <c r="A570" t="s">
        <v>169</v>
      </c>
      <c r="B570" t="s">
        <v>1065</v>
      </c>
      <c r="C570" t="s">
        <v>1079</v>
      </c>
      <c r="D570" t="s">
        <v>56</v>
      </c>
      <c r="E570" t="s">
        <v>60</v>
      </c>
      <c r="F570" t="s">
        <v>499</v>
      </c>
      <c r="G570" t="s">
        <v>487</v>
      </c>
      <c r="H570" t="s">
        <v>241</v>
      </c>
      <c r="I570" t="s">
        <v>38</v>
      </c>
      <c r="J570" t="s">
        <v>47</v>
      </c>
      <c r="K570" s="4">
        <v>510778</v>
      </c>
      <c r="L570" s="4">
        <v>1290</v>
      </c>
      <c r="M570" s="4">
        <v>70777</v>
      </c>
      <c r="N570" s="4">
        <v>436133</v>
      </c>
      <c r="O570" s="4">
        <v>6</v>
      </c>
      <c r="P570" s="3">
        <v>3870.2539000000002</v>
      </c>
      <c r="Q570"/>
      <c r="R570"/>
      <c r="S570"/>
      <c r="T570"/>
      <c r="U570"/>
      <c r="V570"/>
      <c r="W570"/>
      <c r="X570"/>
    </row>
    <row r="571" spans="1:24">
      <c r="A571" t="s">
        <v>169</v>
      </c>
      <c r="B571" t="s">
        <v>1065</v>
      </c>
      <c r="C571" t="s">
        <v>1080</v>
      </c>
      <c r="D571" t="s">
        <v>56</v>
      </c>
      <c r="E571" t="s">
        <v>55</v>
      </c>
      <c r="F571" t="s">
        <v>467</v>
      </c>
      <c r="G571" t="s">
        <v>468</v>
      </c>
      <c r="H571" t="s">
        <v>254</v>
      </c>
      <c r="I571" t="s">
        <v>42</v>
      </c>
      <c r="J571" t="s">
        <v>47</v>
      </c>
      <c r="K571" s="4">
        <v>564387</v>
      </c>
      <c r="L571" s="4">
        <v>1984</v>
      </c>
      <c r="M571" s="4">
        <v>78234</v>
      </c>
      <c r="N571" s="4">
        <v>438695</v>
      </c>
      <c r="O571" s="4">
        <v>6</v>
      </c>
      <c r="P571" s="3">
        <v>2712.3797</v>
      </c>
      <c r="Q571"/>
      <c r="R571"/>
      <c r="S571"/>
      <c r="T571"/>
      <c r="U571"/>
      <c r="V571"/>
      <c r="W571"/>
      <c r="X571"/>
    </row>
    <row r="572" spans="1:24">
      <c r="A572" t="s">
        <v>169</v>
      </c>
      <c r="B572" t="s">
        <v>1065</v>
      </c>
      <c r="C572" t="s">
        <v>1081</v>
      </c>
      <c r="D572" t="s">
        <v>56</v>
      </c>
      <c r="E572" t="s">
        <v>55</v>
      </c>
      <c r="F572" t="s">
        <v>506</v>
      </c>
      <c r="G572" t="s">
        <v>474</v>
      </c>
      <c r="H572" t="s">
        <v>350</v>
      </c>
      <c r="I572" t="s">
        <v>38</v>
      </c>
      <c r="J572" t="s">
        <v>47</v>
      </c>
      <c r="K572" s="4">
        <v>10653</v>
      </c>
      <c r="L572" s="4">
        <v>68</v>
      </c>
      <c r="M572" s="4">
        <v>5263</v>
      </c>
      <c r="N572" s="4">
        <v>9921</v>
      </c>
      <c r="O572" s="4">
        <v>11</v>
      </c>
      <c r="P572" s="3">
        <v>2641.4784</v>
      </c>
      <c r="Q572"/>
      <c r="R572"/>
      <c r="S572"/>
      <c r="T572"/>
      <c r="U572"/>
      <c r="V572"/>
      <c r="W572"/>
      <c r="X572"/>
    </row>
    <row r="573" spans="1:24">
      <c r="A573" t="s">
        <v>169</v>
      </c>
      <c r="B573" t="s">
        <v>1065</v>
      </c>
      <c r="C573" t="s">
        <v>1082</v>
      </c>
      <c r="D573" t="s">
        <v>56</v>
      </c>
      <c r="E573" t="s">
        <v>55</v>
      </c>
      <c r="F573" t="s">
        <v>463</v>
      </c>
      <c r="G573" t="s">
        <v>464</v>
      </c>
      <c r="H573" t="s">
        <v>231</v>
      </c>
      <c r="I573" t="s">
        <v>40</v>
      </c>
      <c r="J573" t="s">
        <v>49</v>
      </c>
      <c r="K573" s="4">
        <v>65043</v>
      </c>
      <c r="L573" s="4">
        <v>160</v>
      </c>
      <c r="M573" s="4">
        <v>25871</v>
      </c>
      <c r="N573" s="4">
        <v>53969</v>
      </c>
      <c r="O573" s="4">
        <v>4</v>
      </c>
      <c r="P573" s="3">
        <v>2347.9185000000002</v>
      </c>
      <c r="Q573"/>
      <c r="R573"/>
      <c r="S573"/>
      <c r="T573"/>
      <c r="U573"/>
      <c r="V573"/>
      <c r="W573"/>
      <c r="X573"/>
    </row>
    <row r="574" spans="1:24">
      <c r="A574" t="s">
        <v>169</v>
      </c>
      <c r="B574" t="s">
        <v>1065</v>
      </c>
      <c r="C574" t="s">
        <v>1083</v>
      </c>
      <c r="D574" t="s">
        <v>56</v>
      </c>
      <c r="E574" t="s">
        <v>60</v>
      </c>
      <c r="F574" t="s">
        <v>467</v>
      </c>
      <c r="G574" t="s">
        <v>468</v>
      </c>
      <c r="H574" t="s">
        <v>262</v>
      </c>
      <c r="I574" t="s">
        <v>36</v>
      </c>
      <c r="J574" t="s">
        <v>48</v>
      </c>
      <c r="K574" s="4">
        <v>65238</v>
      </c>
      <c r="L574" s="4">
        <v>240</v>
      </c>
      <c r="M574" s="4">
        <v>23741</v>
      </c>
      <c r="N574" s="4">
        <v>59893</v>
      </c>
      <c r="O574" s="4">
        <v>15</v>
      </c>
      <c r="P574" s="3">
        <v>3132.5192000000002</v>
      </c>
      <c r="Q574"/>
      <c r="R574"/>
      <c r="S574"/>
      <c r="T574"/>
      <c r="U574"/>
      <c r="V574"/>
      <c r="W574"/>
      <c r="X574"/>
    </row>
    <row r="575" spans="1:24">
      <c r="A575" t="s">
        <v>169</v>
      </c>
      <c r="B575" t="s">
        <v>1065</v>
      </c>
      <c r="C575" t="s">
        <v>1084</v>
      </c>
      <c r="D575" t="s">
        <v>56</v>
      </c>
      <c r="E575" t="s">
        <v>57</v>
      </c>
      <c r="F575" t="s">
        <v>473</v>
      </c>
      <c r="G575" t="s">
        <v>474</v>
      </c>
      <c r="H575" t="s">
        <v>324</v>
      </c>
      <c r="I575" t="s">
        <v>38</v>
      </c>
      <c r="J575" t="s">
        <v>48</v>
      </c>
      <c r="K575" s="4">
        <v>65243</v>
      </c>
      <c r="L575" s="4">
        <v>120</v>
      </c>
      <c r="M575" s="4">
        <v>39543</v>
      </c>
      <c r="N575" s="4">
        <v>54290</v>
      </c>
      <c r="O575" s="4">
        <v>4</v>
      </c>
      <c r="P575" s="3">
        <v>3754.6851999999999</v>
      </c>
      <c r="Q575"/>
      <c r="R575"/>
      <c r="S575"/>
      <c r="T575"/>
      <c r="U575"/>
      <c r="V575"/>
      <c r="W575"/>
      <c r="X575"/>
    </row>
    <row r="576" spans="1:24">
      <c r="A576" t="s">
        <v>169</v>
      </c>
      <c r="B576" t="s">
        <v>1065</v>
      </c>
      <c r="C576" t="s">
        <v>1085</v>
      </c>
      <c r="D576" t="s">
        <v>56</v>
      </c>
      <c r="E576" t="s">
        <v>59</v>
      </c>
      <c r="F576" t="s">
        <v>497</v>
      </c>
      <c r="G576" t="s">
        <v>460</v>
      </c>
      <c r="H576" t="s">
        <v>211</v>
      </c>
      <c r="I576" t="s">
        <v>36</v>
      </c>
      <c r="J576" t="s">
        <v>47</v>
      </c>
      <c r="K576" s="4">
        <v>12988</v>
      </c>
      <c r="L576" s="4">
        <v>69</v>
      </c>
      <c r="M576" s="4">
        <v>6514</v>
      </c>
      <c r="N576" s="4">
        <v>9378</v>
      </c>
      <c r="O576" s="4">
        <v>4</v>
      </c>
      <c r="P576" s="3">
        <v>2236.4850999999999</v>
      </c>
      <c r="Q576"/>
      <c r="R576"/>
      <c r="S576"/>
      <c r="T576"/>
      <c r="U576"/>
      <c r="V576"/>
      <c r="W576"/>
      <c r="X576"/>
    </row>
    <row r="577" spans="1:24">
      <c r="A577" t="s">
        <v>169</v>
      </c>
      <c r="B577" t="s">
        <v>1065</v>
      </c>
      <c r="C577" t="s">
        <v>1086</v>
      </c>
      <c r="D577" t="s">
        <v>54</v>
      </c>
      <c r="E577" t="s">
        <v>60</v>
      </c>
      <c r="F577" t="s">
        <v>482</v>
      </c>
      <c r="G577" t="s">
        <v>483</v>
      </c>
      <c r="H577" t="s">
        <v>270</v>
      </c>
      <c r="I577" t="s">
        <v>44</v>
      </c>
      <c r="J577" t="s">
        <v>47</v>
      </c>
      <c r="K577" s="4">
        <v>21482</v>
      </c>
      <c r="L577" s="4">
        <v>67</v>
      </c>
      <c r="M577" s="4">
        <v>10473</v>
      </c>
      <c r="N577" s="4">
        <v>19679</v>
      </c>
      <c r="O577" s="4">
        <v>3</v>
      </c>
      <c r="P577" s="3">
        <v>3563.0988000000002</v>
      </c>
      <c r="Q577"/>
      <c r="R577"/>
      <c r="S577"/>
      <c r="T577"/>
      <c r="U577"/>
      <c r="V577"/>
      <c r="W577"/>
      <c r="X577"/>
    </row>
    <row r="578" spans="1:24">
      <c r="A578" t="s">
        <v>169</v>
      </c>
      <c r="B578" t="s">
        <v>1065</v>
      </c>
      <c r="C578" t="s">
        <v>1087</v>
      </c>
      <c r="D578" t="s">
        <v>56</v>
      </c>
      <c r="E578" t="s">
        <v>59</v>
      </c>
      <c r="F578" t="s">
        <v>486</v>
      </c>
      <c r="G578" t="s">
        <v>487</v>
      </c>
      <c r="H578" t="s">
        <v>334</v>
      </c>
      <c r="I578" t="s">
        <v>36</v>
      </c>
      <c r="J578" t="s">
        <v>47</v>
      </c>
      <c r="K578" s="4">
        <v>22444</v>
      </c>
      <c r="L578" s="4">
        <v>160</v>
      </c>
      <c r="M578" s="4">
        <v>12672</v>
      </c>
      <c r="N578" s="4">
        <v>21345</v>
      </c>
      <c r="O578" s="4">
        <v>5</v>
      </c>
      <c r="P578" s="3">
        <v>2539.2006000000001</v>
      </c>
      <c r="Q578"/>
      <c r="R578"/>
      <c r="S578"/>
      <c r="T578"/>
      <c r="U578"/>
      <c r="V578"/>
      <c r="W578"/>
      <c r="X578"/>
    </row>
    <row r="579" spans="1:24">
      <c r="A579" t="s">
        <v>169</v>
      </c>
      <c r="B579" t="s">
        <v>1065</v>
      </c>
      <c r="C579" t="s">
        <v>1088</v>
      </c>
      <c r="D579" t="s">
        <v>56</v>
      </c>
      <c r="E579" t="s">
        <v>59</v>
      </c>
      <c r="F579" t="s">
        <v>482</v>
      </c>
      <c r="G579" t="s">
        <v>483</v>
      </c>
      <c r="H579" t="s">
        <v>231</v>
      </c>
      <c r="I579" t="s">
        <v>210</v>
      </c>
      <c r="J579" t="s">
        <v>47</v>
      </c>
      <c r="K579" s="4">
        <v>114267</v>
      </c>
      <c r="L579" s="4">
        <v>110</v>
      </c>
      <c r="M579" s="4">
        <v>60964</v>
      </c>
      <c r="N579" s="4">
        <v>108301</v>
      </c>
      <c r="O579" s="4">
        <v>5</v>
      </c>
      <c r="P579" s="3">
        <v>2679.1541000000002</v>
      </c>
      <c r="Q579"/>
      <c r="R579"/>
      <c r="S579"/>
      <c r="T579"/>
      <c r="U579"/>
      <c r="V579"/>
      <c r="W579"/>
      <c r="X579"/>
    </row>
    <row r="580" spans="1:24">
      <c r="A580" t="s">
        <v>169</v>
      </c>
      <c r="B580" t="s">
        <v>1065</v>
      </c>
      <c r="C580" t="s">
        <v>1089</v>
      </c>
      <c r="D580" t="s">
        <v>54</v>
      </c>
      <c r="E580" t="s">
        <v>59</v>
      </c>
      <c r="F580" t="s">
        <v>482</v>
      </c>
      <c r="G580" t="s">
        <v>483</v>
      </c>
      <c r="H580" t="s">
        <v>211</v>
      </c>
      <c r="I580" t="s">
        <v>40</v>
      </c>
      <c r="J580" t="s">
        <v>47</v>
      </c>
      <c r="K580" s="4">
        <v>65257</v>
      </c>
      <c r="L580" s="4">
        <v>201</v>
      </c>
      <c r="M580" s="4">
        <v>12749</v>
      </c>
      <c r="N580" s="4">
        <v>19274</v>
      </c>
      <c r="O580" s="4">
        <v>3</v>
      </c>
      <c r="P580" s="3">
        <v>2468.1358</v>
      </c>
      <c r="Q580"/>
      <c r="R580"/>
      <c r="S580"/>
      <c r="T580"/>
      <c r="U580"/>
      <c r="V580"/>
      <c r="W580"/>
      <c r="X580"/>
    </row>
    <row r="581" spans="1:24">
      <c r="A581" t="s">
        <v>169</v>
      </c>
      <c r="B581" t="s">
        <v>1065</v>
      </c>
      <c r="C581" t="s">
        <v>1090</v>
      </c>
      <c r="D581" t="s">
        <v>56</v>
      </c>
      <c r="E581" t="s">
        <v>59</v>
      </c>
      <c r="F581" t="s">
        <v>572</v>
      </c>
      <c r="G581" t="s">
        <v>512</v>
      </c>
      <c r="H581" t="s">
        <v>421</v>
      </c>
      <c r="I581" t="s">
        <v>36</v>
      </c>
      <c r="J581" t="s">
        <v>47</v>
      </c>
      <c r="K581" s="4">
        <v>8730</v>
      </c>
      <c r="L581" s="4">
        <v>22</v>
      </c>
      <c r="M581" s="4">
        <v>3725</v>
      </c>
      <c r="N581" s="4">
        <v>7413</v>
      </c>
      <c r="O581" s="4">
        <v>3</v>
      </c>
      <c r="P581" s="3">
        <v>3268.0070999999998</v>
      </c>
      <c r="Q581"/>
      <c r="R581"/>
      <c r="S581"/>
      <c r="T581"/>
      <c r="U581"/>
      <c r="V581"/>
      <c r="W581"/>
      <c r="X581"/>
    </row>
    <row r="582" spans="1:24">
      <c r="A582" t="s">
        <v>169</v>
      </c>
      <c r="B582" t="s">
        <v>1065</v>
      </c>
      <c r="C582" t="s">
        <v>1091</v>
      </c>
      <c r="D582" t="s">
        <v>56</v>
      </c>
      <c r="E582" t="s">
        <v>59</v>
      </c>
      <c r="F582" t="s">
        <v>482</v>
      </c>
      <c r="G582" t="s">
        <v>483</v>
      </c>
      <c r="H582" t="s">
        <v>258</v>
      </c>
      <c r="I582" t="s">
        <v>36</v>
      </c>
      <c r="J582" t="s">
        <v>48</v>
      </c>
      <c r="K582" s="4">
        <v>33650</v>
      </c>
      <c r="L582" s="4">
        <v>100</v>
      </c>
      <c r="M582" s="4">
        <v>15621</v>
      </c>
      <c r="N582" s="4">
        <v>32539</v>
      </c>
      <c r="O582" s="4">
        <v>9</v>
      </c>
      <c r="P582" s="3">
        <v>3844.9911999999999</v>
      </c>
      <c r="Q582"/>
      <c r="R582"/>
      <c r="S582"/>
      <c r="T582"/>
      <c r="U582"/>
      <c r="V582"/>
      <c r="W582"/>
      <c r="X582"/>
    </row>
    <row r="583" spans="1:24">
      <c r="A583" t="s">
        <v>169</v>
      </c>
      <c r="B583" t="s">
        <v>1065</v>
      </c>
      <c r="C583" t="s">
        <v>1092</v>
      </c>
      <c r="D583" t="s">
        <v>54</v>
      </c>
      <c r="E583" t="s">
        <v>55</v>
      </c>
      <c r="F583" t="s">
        <v>1093</v>
      </c>
      <c r="G583" t="s">
        <v>1094</v>
      </c>
      <c r="H583" t="s">
        <v>251</v>
      </c>
      <c r="I583" t="s">
        <v>40</v>
      </c>
      <c r="J583" t="s">
        <v>47</v>
      </c>
      <c r="K583" s="4">
        <v>68114</v>
      </c>
      <c r="L583" s="4">
        <v>174</v>
      </c>
      <c r="M583" s="4">
        <v>569</v>
      </c>
      <c r="N583" s="4">
        <v>2059</v>
      </c>
      <c r="O583" s="4">
        <v>15</v>
      </c>
      <c r="P583" s="3">
        <v>2753.712</v>
      </c>
      <c r="Q583"/>
      <c r="R583"/>
      <c r="S583"/>
      <c r="T583"/>
      <c r="U583"/>
      <c r="V583"/>
      <c r="W583"/>
      <c r="X583"/>
    </row>
    <row r="584" spans="1:24">
      <c r="A584" t="s">
        <v>169</v>
      </c>
      <c r="B584" t="s">
        <v>1065</v>
      </c>
      <c r="C584" t="s">
        <v>1095</v>
      </c>
      <c r="D584" t="s">
        <v>54</v>
      </c>
      <c r="E584" t="s">
        <v>55</v>
      </c>
      <c r="F584" t="s">
        <v>699</v>
      </c>
      <c r="G584" t="s">
        <v>613</v>
      </c>
      <c r="H584" t="s">
        <v>286</v>
      </c>
      <c r="I584" t="s">
        <v>43</v>
      </c>
      <c r="J584" t="s">
        <v>47</v>
      </c>
      <c r="K584" s="4">
        <v>36431</v>
      </c>
      <c r="L584" s="4">
        <v>108</v>
      </c>
      <c r="M584" s="4">
        <v>31262</v>
      </c>
      <c r="N584" s="4">
        <v>35043</v>
      </c>
      <c r="O584" s="4">
        <v>11</v>
      </c>
      <c r="P584" s="3">
        <v>3285.8344999999999</v>
      </c>
      <c r="Q584"/>
      <c r="R584"/>
      <c r="S584"/>
      <c r="T584"/>
      <c r="U584"/>
      <c r="V584"/>
      <c r="W584"/>
      <c r="X584"/>
    </row>
    <row r="585" spans="1:24">
      <c r="A585" t="s">
        <v>169</v>
      </c>
      <c r="B585" t="s">
        <v>1065</v>
      </c>
      <c r="C585" t="s">
        <v>1096</v>
      </c>
      <c r="D585" t="s">
        <v>54</v>
      </c>
      <c r="E585" t="s">
        <v>59</v>
      </c>
      <c r="F585" t="s">
        <v>506</v>
      </c>
      <c r="G585" t="s">
        <v>474</v>
      </c>
      <c r="H585" t="s">
        <v>409</v>
      </c>
      <c r="I585" t="s">
        <v>36</v>
      </c>
      <c r="J585" t="s">
        <v>47</v>
      </c>
      <c r="K585" s="4">
        <v>10093</v>
      </c>
      <c r="L585" s="4">
        <v>65</v>
      </c>
      <c r="M585" s="4">
        <v>3901</v>
      </c>
      <c r="N585" s="4">
        <v>9645</v>
      </c>
      <c r="O585" s="4">
        <v>2</v>
      </c>
      <c r="P585" s="3">
        <v>3105.2829999999999</v>
      </c>
      <c r="Q585"/>
      <c r="R585"/>
      <c r="S585"/>
      <c r="T585"/>
      <c r="U585"/>
      <c r="V585"/>
      <c r="W585"/>
      <c r="X585"/>
    </row>
    <row r="586" spans="1:24">
      <c r="A586" t="s">
        <v>169</v>
      </c>
      <c r="B586" t="s">
        <v>1065</v>
      </c>
      <c r="C586" t="s">
        <v>1097</v>
      </c>
      <c r="D586" t="s">
        <v>56</v>
      </c>
      <c r="E586" t="s">
        <v>57</v>
      </c>
      <c r="F586" t="s">
        <v>482</v>
      </c>
      <c r="G586" t="s">
        <v>483</v>
      </c>
      <c r="H586" t="s">
        <v>241</v>
      </c>
      <c r="I586" t="s">
        <v>36</v>
      </c>
      <c r="J586" t="s">
        <v>48</v>
      </c>
      <c r="K586" s="4">
        <v>65983</v>
      </c>
      <c r="L586" s="4">
        <v>212</v>
      </c>
      <c r="M586" s="4">
        <v>8536</v>
      </c>
      <c r="N586" s="4">
        <v>57434</v>
      </c>
      <c r="O586" s="4">
        <v>3</v>
      </c>
      <c r="P586" s="3">
        <v>1599.0762</v>
      </c>
      <c r="Q586"/>
      <c r="R586"/>
      <c r="S586"/>
      <c r="T586"/>
      <c r="U586"/>
      <c r="V586"/>
      <c r="W586"/>
      <c r="X586"/>
    </row>
    <row r="587" spans="1:24">
      <c r="A587" t="s">
        <v>169</v>
      </c>
      <c r="B587" t="s">
        <v>1065</v>
      </c>
      <c r="C587" t="s">
        <v>1098</v>
      </c>
      <c r="D587" t="s">
        <v>58</v>
      </c>
      <c r="E587" t="s">
        <v>55</v>
      </c>
      <c r="F587" t="s">
        <v>506</v>
      </c>
      <c r="G587" t="s">
        <v>474</v>
      </c>
      <c r="H587" t="s">
        <v>302</v>
      </c>
      <c r="I587" t="s">
        <v>40</v>
      </c>
      <c r="J587" t="s">
        <v>47</v>
      </c>
      <c r="K587" s="4">
        <v>15475</v>
      </c>
      <c r="L587" s="4">
        <v>110</v>
      </c>
      <c r="M587" s="4">
        <v>6019</v>
      </c>
      <c r="N587" s="4">
        <v>10952</v>
      </c>
      <c r="O587" s="4">
        <v>9</v>
      </c>
      <c r="P587" s="3">
        <v>4156.7133999999996</v>
      </c>
      <c r="Q587"/>
      <c r="R587"/>
      <c r="S587"/>
      <c r="T587"/>
      <c r="U587"/>
      <c r="V587"/>
      <c r="W587"/>
      <c r="X587"/>
    </row>
    <row r="588" spans="1:24">
      <c r="A588" t="s">
        <v>169</v>
      </c>
      <c r="B588" t="s">
        <v>1065</v>
      </c>
      <c r="C588" t="s">
        <v>1099</v>
      </c>
      <c r="D588" t="s">
        <v>54</v>
      </c>
      <c r="E588" t="s">
        <v>60</v>
      </c>
      <c r="F588" t="s">
        <v>467</v>
      </c>
      <c r="G588" t="s">
        <v>468</v>
      </c>
      <c r="H588" t="s">
        <v>413</v>
      </c>
      <c r="I588" t="s">
        <v>36</v>
      </c>
      <c r="J588" t="s">
        <v>47</v>
      </c>
      <c r="K588" s="4">
        <v>10191</v>
      </c>
      <c r="L588" s="4">
        <v>75</v>
      </c>
      <c r="M588" s="4">
        <v>1243</v>
      </c>
      <c r="N588" s="4">
        <v>8897</v>
      </c>
      <c r="O588" s="4">
        <v>3</v>
      </c>
      <c r="P588" s="3">
        <v>2365.9144000000001</v>
      </c>
      <c r="Q588"/>
      <c r="R588"/>
      <c r="S588"/>
      <c r="T588"/>
      <c r="U588"/>
      <c r="V588"/>
      <c r="W588"/>
      <c r="X588"/>
    </row>
    <row r="589" spans="1:24">
      <c r="A589" t="s">
        <v>169</v>
      </c>
      <c r="B589" t="s">
        <v>1065</v>
      </c>
      <c r="C589" t="s">
        <v>1100</v>
      </c>
      <c r="D589" t="s">
        <v>56</v>
      </c>
      <c r="E589" t="s">
        <v>55</v>
      </c>
      <c r="F589" t="s">
        <v>540</v>
      </c>
      <c r="G589" t="s">
        <v>468</v>
      </c>
      <c r="H589" t="s">
        <v>231</v>
      </c>
      <c r="I589" t="s">
        <v>36</v>
      </c>
      <c r="J589" t="s">
        <v>47</v>
      </c>
      <c r="K589" s="4">
        <v>15449</v>
      </c>
      <c r="L589" s="4">
        <v>50</v>
      </c>
      <c r="M589" s="4">
        <v>4595</v>
      </c>
      <c r="N589" s="4">
        <v>13765</v>
      </c>
      <c r="O589" s="4">
        <v>1</v>
      </c>
      <c r="P589" s="3">
        <v>3122.9425999999999</v>
      </c>
      <c r="Q589"/>
      <c r="R589"/>
      <c r="S589"/>
      <c r="T589"/>
      <c r="U589"/>
      <c r="V589"/>
      <c r="W589"/>
      <c r="X589"/>
    </row>
    <row r="590" spans="1:24">
      <c r="A590" t="s">
        <v>169</v>
      </c>
      <c r="B590" t="s">
        <v>1065</v>
      </c>
      <c r="C590" t="s">
        <v>1101</v>
      </c>
      <c r="D590" t="s">
        <v>56</v>
      </c>
      <c r="E590" t="s">
        <v>57</v>
      </c>
      <c r="F590" t="s">
        <v>482</v>
      </c>
      <c r="G590" t="s">
        <v>483</v>
      </c>
      <c r="H590" t="s">
        <v>303</v>
      </c>
      <c r="I590" t="s">
        <v>40</v>
      </c>
      <c r="J590" t="s">
        <v>47</v>
      </c>
      <c r="K590" s="4">
        <v>13100</v>
      </c>
      <c r="L590" s="4">
        <v>80</v>
      </c>
      <c r="M590" s="4">
        <v>6507</v>
      </c>
      <c r="N590" s="4">
        <v>10895</v>
      </c>
      <c r="O590" s="4">
        <v>5</v>
      </c>
      <c r="P590" s="3">
        <v>3411.59</v>
      </c>
      <c r="Q590"/>
      <c r="R590"/>
      <c r="S590"/>
      <c r="T590"/>
      <c r="U590"/>
      <c r="V590"/>
      <c r="W590"/>
      <c r="X590"/>
    </row>
    <row r="591" spans="1:24">
      <c r="A591" t="s">
        <v>169</v>
      </c>
      <c r="B591" t="s">
        <v>1065</v>
      </c>
      <c r="C591" t="s">
        <v>1102</v>
      </c>
      <c r="D591" t="s">
        <v>54</v>
      </c>
      <c r="E591" t="s">
        <v>57</v>
      </c>
      <c r="F591" t="s">
        <v>506</v>
      </c>
      <c r="G591" t="s">
        <v>474</v>
      </c>
      <c r="H591" t="s">
        <v>252</v>
      </c>
      <c r="I591" t="s">
        <v>36</v>
      </c>
      <c r="J591" t="s">
        <v>47</v>
      </c>
      <c r="K591" s="4">
        <v>29107</v>
      </c>
      <c r="L591" s="4">
        <v>64</v>
      </c>
      <c r="M591" s="4">
        <v>4047</v>
      </c>
      <c r="N591" s="4">
        <v>27357</v>
      </c>
      <c r="O591" s="4">
        <v>9</v>
      </c>
      <c r="P591" s="3">
        <v>3339.4542999999999</v>
      </c>
      <c r="Q591"/>
      <c r="R591"/>
      <c r="S591"/>
      <c r="T591"/>
      <c r="U591"/>
      <c r="V591"/>
      <c r="W591"/>
      <c r="X591"/>
    </row>
    <row r="592" spans="1:24">
      <c r="A592" t="s">
        <v>169</v>
      </c>
      <c r="B592" t="s">
        <v>1065</v>
      </c>
      <c r="C592" t="s">
        <v>1103</v>
      </c>
      <c r="D592" t="s">
        <v>58</v>
      </c>
      <c r="E592" t="s">
        <v>55</v>
      </c>
      <c r="F592" t="s">
        <v>583</v>
      </c>
      <c r="G592" t="s">
        <v>464</v>
      </c>
      <c r="H592" t="s">
        <v>379</v>
      </c>
      <c r="I592" t="s">
        <v>36</v>
      </c>
      <c r="J592" t="s">
        <v>47</v>
      </c>
      <c r="K592" s="4">
        <v>15602</v>
      </c>
      <c r="L592" s="4">
        <v>50</v>
      </c>
      <c r="M592" s="4">
        <v>7676</v>
      </c>
      <c r="N592" s="4">
        <v>13775</v>
      </c>
      <c r="O592" s="4">
        <v>1</v>
      </c>
      <c r="P592" s="3">
        <v>2600.8942999999999</v>
      </c>
      <c r="Q592"/>
      <c r="R592"/>
      <c r="S592"/>
      <c r="T592"/>
      <c r="U592"/>
      <c r="V592"/>
      <c r="W592"/>
      <c r="X592"/>
    </row>
    <row r="593" spans="1:24">
      <c r="A593" t="s">
        <v>169</v>
      </c>
      <c r="B593" t="s">
        <v>1065</v>
      </c>
      <c r="C593" t="s">
        <v>1104</v>
      </c>
      <c r="D593" t="s">
        <v>56</v>
      </c>
      <c r="E593" t="s">
        <v>59</v>
      </c>
      <c r="F593" t="s">
        <v>459</v>
      </c>
      <c r="G593" t="s">
        <v>460</v>
      </c>
      <c r="H593" t="s">
        <v>234</v>
      </c>
      <c r="I593" t="s">
        <v>42</v>
      </c>
      <c r="J593" t="s">
        <v>47</v>
      </c>
      <c r="K593" s="4">
        <v>10389</v>
      </c>
      <c r="L593" s="4">
        <v>55</v>
      </c>
      <c r="M593" s="4">
        <v>8161</v>
      </c>
      <c r="N593" s="4">
        <v>9951</v>
      </c>
      <c r="O593" s="4">
        <v>2</v>
      </c>
      <c r="P593" s="3">
        <v>2582.4938000000002</v>
      </c>
      <c r="Q593"/>
      <c r="R593"/>
      <c r="S593"/>
      <c r="T593"/>
      <c r="U593"/>
      <c r="V593"/>
      <c r="W593"/>
      <c r="X593"/>
    </row>
    <row r="594" spans="1:24">
      <c r="A594" t="s">
        <v>169</v>
      </c>
      <c r="B594" t="s">
        <v>1065</v>
      </c>
      <c r="C594" t="s">
        <v>1095</v>
      </c>
      <c r="D594" t="s">
        <v>54</v>
      </c>
      <c r="E594" t="s">
        <v>55</v>
      </c>
      <c r="F594" t="s">
        <v>471</v>
      </c>
      <c r="G594" t="s">
        <v>464</v>
      </c>
      <c r="H594" t="s">
        <v>217</v>
      </c>
      <c r="I594" t="s">
        <v>42</v>
      </c>
      <c r="J594" t="s">
        <v>47</v>
      </c>
      <c r="K594" s="4">
        <v>481526</v>
      </c>
      <c r="L594" s="4">
        <v>1235</v>
      </c>
      <c r="M594" s="4">
        <v>396802</v>
      </c>
      <c r="N594" s="4">
        <v>437639</v>
      </c>
      <c r="O594" s="4">
        <v>23</v>
      </c>
      <c r="P594" s="3">
        <v>2037.8656000000001</v>
      </c>
      <c r="Q594"/>
      <c r="R594"/>
      <c r="S594"/>
      <c r="T594"/>
      <c r="U594"/>
      <c r="V594"/>
      <c r="W594"/>
      <c r="X594"/>
    </row>
    <row r="595" spans="1:24">
      <c r="A595" t="s">
        <v>169</v>
      </c>
      <c r="B595" t="s">
        <v>1065</v>
      </c>
      <c r="C595" t="s">
        <v>582</v>
      </c>
      <c r="D595" t="s">
        <v>54</v>
      </c>
      <c r="E595" t="s">
        <v>55</v>
      </c>
      <c r="F595" t="s">
        <v>473</v>
      </c>
      <c r="G595" t="s">
        <v>474</v>
      </c>
      <c r="H595" t="s">
        <v>254</v>
      </c>
      <c r="I595" t="s">
        <v>36</v>
      </c>
      <c r="J595" t="s">
        <v>47</v>
      </c>
      <c r="K595" s="4">
        <v>68008</v>
      </c>
      <c r="L595" s="4">
        <v>204</v>
      </c>
      <c r="M595" s="4">
        <v>2996</v>
      </c>
      <c r="N595" s="4">
        <v>49686</v>
      </c>
      <c r="O595" s="4">
        <v>9</v>
      </c>
      <c r="P595" s="3">
        <v>1923.8081</v>
      </c>
      <c r="Q595"/>
      <c r="R595"/>
      <c r="S595"/>
      <c r="T595"/>
      <c r="U595"/>
      <c r="V595"/>
      <c r="W595"/>
      <c r="X595"/>
    </row>
    <row r="596" spans="1:24">
      <c r="A596" t="s">
        <v>169</v>
      </c>
      <c r="B596" t="s">
        <v>1065</v>
      </c>
      <c r="C596" t="s">
        <v>1105</v>
      </c>
      <c r="D596" t="s">
        <v>56</v>
      </c>
      <c r="E596" t="s">
        <v>59</v>
      </c>
      <c r="F596" t="s">
        <v>497</v>
      </c>
      <c r="G596" t="s">
        <v>460</v>
      </c>
      <c r="H596" t="s">
        <v>241</v>
      </c>
      <c r="I596" t="s">
        <v>43</v>
      </c>
      <c r="J596" t="s">
        <v>49</v>
      </c>
      <c r="K596" s="4">
        <v>13075</v>
      </c>
      <c r="L596" s="4">
        <v>74</v>
      </c>
      <c r="M596" s="4">
        <v>5980</v>
      </c>
      <c r="N596" s="4">
        <v>12114</v>
      </c>
      <c r="O596" s="4">
        <v>15</v>
      </c>
      <c r="P596" s="3">
        <v>1936.1307999999999</v>
      </c>
      <c r="Q596"/>
      <c r="R596"/>
      <c r="S596"/>
      <c r="T596"/>
      <c r="U596"/>
      <c r="V596"/>
      <c r="W596"/>
      <c r="X596"/>
    </row>
    <row r="597" spans="1:24">
      <c r="A597" t="s">
        <v>169</v>
      </c>
      <c r="B597" t="s">
        <v>1065</v>
      </c>
      <c r="C597" t="s">
        <v>1106</v>
      </c>
      <c r="D597" t="s">
        <v>56</v>
      </c>
      <c r="E597" t="s">
        <v>57</v>
      </c>
      <c r="F597" t="s">
        <v>547</v>
      </c>
      <c r="G597" t="s">
        <v>460</v>
      </c>
      <c r="H597" t="s">
        <v>235</v>
      </c>
      <c r="I597" t="s">
        <v>210</v>
      </c>
      <c r="J597" t="s">
        <v>48</v>
      </c>
      <c r="K597" s="4">
        <v>15904</v>
      </c>
      <c r="L597" s="4">
        <v>190</v>
      </c>
      <c r="M597" s="4">
        <v>7523</v>
      </c>
      <c r="N597" s="4">
        <v>14815</v>
      </c>
      <c r="O597" s="4">
        <v>2</v>
      </c>
      <c r="P597" s="3">
        <v>1825.7257</v>
      </c>
      <c r="Q597"/>
      <c r="R597"/>
      <c r="S597"/>
      <c r="T597"/>
      <c r="U597"/>
      <c r="V597"/>
      <c r="W597"/>
      <c r="X597"/>
    </row>
    <row r="598" spans="1:24">
      <c r="A598" t="s">
        <v>169</v>
      </c>
      <c r="B598" t="s">
        <v>1065</v>
      </c>
      <c r="C598" t="s">
        <v>1107</v>
      </c>
      <c r="D598" t="s">
        <v>54</v>
      </c>
      <c r="E598" t="s">
        <v>60</v>
      </c>
      <c r="F598" t="s">
        <v>482</v>
      </c>
      <c r="G598" t="s">
        <v>483</v>
      </c>
      <c r="H598" t="s">
        <v>295</v>
      </c>
      <c r="I598" t="s">
        <v>40</v>
      </c>
      <c r="J598" t="s">
        <v>47</v>
      </c>
      <c r="K598" s="4">
        <v>15588</v>
      </c>
      <c r="L598" s="4">
        <v>80</v>
      </c>
      <c r="M598" s="4">
        <v>2089</v>
      </c>
      <c r="N598" s="4">
        <v>14526</v>
      </c>
      <c r="O598" s="4">
        <v>9</v>
      </c>
      <c r="P598" s="3">
        <v>3518.5335</v>
      </c>
      <c r="Q598"/>
      <c r="R598"/>
      <c r="S598"/>
      <c r="T598"/>
      <c r="U598"/>
      <c r="V598"/>
      <c r="W598"/>
      <c r="X598"/>
    </row>
    <row r="599" spans="1:24">
      <c r="A599" t="s">
        <v>169</v>
      </c>
      <c r="B599" t="s">
        <v>1065</v>
      </c>
      <c r="C599" t="s">
        <v>1108</v>
      </c>
      <c r="D599" t="s">
        <v>54</v>
      </c>
      <c r="E599" t="s">
        <v>59</v>
      </c>
      <c r="F599" t="s">
        <v>482</v>
      </c>
      <c r="G599" t="s">
        <v>483</v>
      </c>
      <c r="H599" t="s">
        <v>274</v>
      </c>
      <c r="I599" t="s">
        <v>44</v>
      </c>
      <c r="J599" t="s">
        <v>47</v>
      </c>
      <c r="K599" s="4">
        <v>20885</v>
      </c>
      <c r="L599" s="4">
        <v>99</v>
      </c>
      <c r="M599" s="4">
        <v>9901</v>
      </c>
      <c r="N599" s="4">
        <v>16266</v>
      </c>
      <c r="O599" s="4">
        <v>15</v>
      </c>
      <c r="P599" s="3">
        <v>2496.7854000000002</v>
      </c>
      <c r="Q599"/>
      <c r="R599"/>
      <c r="S599"/>
      <c r="T599"/>
      <c r="U599"/>
      <c r="V599"/>
      <c r="W599"/>
      <c r="X599"/>
    </row>
    <row r="600" spans="1:24">
      <c r="A600" t="s">
        <v>169</v>
      </c>
      <c r="B600" t="s">
        <v>184</v>
      </c>
      <c r="C600" t="s">
        <v>1109</v>
      </c>
      <c r="D600" t="s">
        <v>56</v>
      </c>
      <c r="E600" t="s">
        <v>55</v>
      </c>
      <c r="F600" t="s">
        <v>471</v>
      </c>
      <c r="G600" t="s">
        <v>464</v>
      </c>
      <c r="H600" t="s">
        <v>242</v>
      </c>
      <c r="I600" t="s">
        <v>36</v>
      </c>
      <c r="J600" t="s">
        <v>48</v>
      </c>
      <c r="K600" s="4">
        <v>69239</v>
      </c>
      <c r="L600" s="4">
        <v>160</v>
      </c>
      <c r="M600" s="4">
        <v>23112</v>
      </c>
      <c r="N600" s="4">
        <v>65390</v>
      </c>
      <c r="O600" s="4">
        <v>1</v>
      </c>
      <c r="P600" s="3">
        <v>4514.9526999999998</v>
      </c>
      <c r="Q600"/>
      <c r="R600"/>
      <c r="S600"/>
      <c r="T600"/>
      <c r="U600"/>
      <c r="V600"/>
      <c r="W600"/>
      <c r="X600"/>
    </row>
    <row r="601" spans="1:24">
      <c r="A601" t="s">
        <v>169</v>
      </c>
      <c r="B601" t="s">
        <v>184</v>
      </c>
      <c r="C601" t="s">
        <v>1110</v>
      </c>
      <c r="D601" t="s">
        <v>58</v>
      </c>
      <c r="E601" t="s">
        <v>60</v>
      </c>
      <c r="F601" t="s">
        <v>506</v>
      </c>
      <c r="G601" t="s">
        <v>474</v>
      </c>
      <c r="H601" t="s">
        <v>292</v>
      </c>
      <c r="I601" t="s">
        <v>38</v>
      </c>
      <c r="J601" t="s">
        <v>47</v>
      </c>
      <c r="K601" s="4">
        <v>13686</v>
      </c>
      <c r="L601" s="4">
        <v>66</v>
      </c>
      <c r="M601" s="4">
        <v>7928</v>
      </c>
      <c r="N601" s="4">
        <v>11931</v>
      </c>
      <c r="O601" s="4">
        <v>11</v>
      </c>
      <c r="P601" s="3">
        <v>4660.5604000000003</v>
      </c>
      <c r="Q601"/>
      <c r="R601"/>
      <c r="S601"/>
      <c r="T601"/>
      <c r="U601"/>
      <c r="V601"/>
      <c r="W601"/>
      <c r="X601"/>
    </row>
    <row r="602" spans="1:24">
      <c r="A602" t="s">
        <v>169</v>
      </c>
      <c r="B602" t="s">
        <v>184</v>
      </c>
      <c r="C602" t="s">
        <v>1111</v>
      </c>
      <c r="D602" t="s">
        <v>58</v>
      </c>
      <c r="E602" t="s">
        <v>59</v>
      </c>
      <c r="F602" t="s">
        <v>506</v>
      </c>
      <c r="G602" t="s">
        <v>474</v>
      </c>
      <c r="H602" t="s">
        <v>323</v>
      </c>
      <c r="I602" t="s">
        <v>38</v>
      </c>
      <c r="J602" t="s">
        <v>47</v>
      </c>
      <c r="K602" s="4">
        <v>68704</v>
      </c>
      <c r="L602" s="4">
        <v>185</v>
      </c>
      <c r="M602" s="4">
        <v>31283</v>
      </c>
      <c r="N602" s="4">
        <v>59462</v>
      </c>
      <c r="O602" s="4">
        <v>16</v>
      </c>
      <c r="P602" s="3">
        <v>1605.566</v>
      </c>
      <c r="Q602"/>
      <c r="R602"/>
      <c r="S602"/>
      <c r="T602"/>
      <c r="U602"/>
      <c r="V602"/>
      <c r="W602"/>
      <c r="X602"/>
    </row>
    <row r="603" spans="1:24">
      <c r="A603" t="s">
        <v>169</v>
      </c>
      <c r="B603" t="s">
        <v>184</v>
      </c>
      <c r="C603" t="s">
        <v>1112</v>
      </c>
      <c r="D603" t="s">
        <v>56</v>
      </c>
      <c r="E603" t="s">
        <v>55</v>
      </c>
      <c r="F603" t="s">
        <v>467</v>
      </c>
      <c r="G603" t="s">
        <v>468</v>
      </c>
      <c r="H603" t="s">
        <v>325</v>
      </c>
      <c r="I603" t="s">
        <v>36</v>
      </c>
      <c r="J603" t="s">
        <v>47</v>
      </c>
      <c r="K603" s="4">
        <v>13132</v>
      </c>
      <c r="L603" s="4">
        <v>67</v>
      </c>
      <c r="M603" s="4">
        <v>6133</v>
      </c>
      <c r="N603" s="4">
        <v>12377</v>
      </c>
      <c r="O603" s="4">
        <v>4</v>
      </c>
      <c r="P603" s="3">
        <v>1807.6931</v>
      </c>
      <c r="Q603"/>
      <c r="R603"/>
      <c r="S603"/>
      <c r="T603"/>
      <c r="U603"/>
      <c r="V603"/>
      <c r="W603"/>
      <c r="X603"/>
    </row>
    <row r="604" spans="1:24">
      <c r="A604" t="s">
        <v>169</v>
      </c>
      <c r="B604" t="s">
        <v>184</v>
      </c>
      <c r="C604" t="s">
        <v>1113</v>
      </c>
      <c r="D604" t="s">
        <v>54</v>
      </c>
      <c r="E604" t="s">
        <v>57</v>
      </c>
      <c r="F604" t="s">
        <v>463</v>
      </c>
      <c r="G604" t="s">
        <v>464</v>
      </c>
      <c r="H604" t="s">
        <v>250</v>
      </c>
      <c r="I604" t="s">
        <v>36</v>
      </c>
      <c r="J604" t="s">
        <v>47</v>
      </c>
      <c r="K604" s="4">
        <v>70134</v>
      </c>
      <c r="L604" s="4">
        <v>169</v>
      </c>
      <c r="M604" s="4">
        <v>48862</v>
      </c>
      <c r="N604" s="4">
        <v>66739</v>
      </c>
      <c r="O604" s="4">
        <v>14</v>
      </c>
      <c r="P604" s="3">
        <v>2514.8681000000001</v>
      </c>
      <c r="Q604"/>
      <c r="R604"/>
      <c r="S604"/>
      <c r="T604"/>
      <c r="U604"/>
      <c r="V604"/>
      <c r="W604"/>
      <c r="X604"/>
    </row>
    <row r="605" spans="1:24">
      <c r="A605" t="s">
        <v>169</v>
      </c>
      <c r="B605" t="s">
        <v>184</v>
      </c>
      <c r="C605" t="s">
        <v>1114</v>
      </c>
      <c r="D605" t="s">
        <v>54</v>
      </c>
      <c r="E605" t="s">
        <v>59</v>
      </c>
      <c r="F605" t="s">
        <v>530</v>
      </c>
      <c r="G605" t="s">
        <v>531</v>
      </c>
      <c r="H605" t="s">
        <v>236</v>
      </c>
      <c r="I605" t="s">
        <v>40</v>
      </c>
      <c r="J605" t="s">
        <v>47</v>
      </c>
      <c r="K605" s="4">
        <v>14181</v>
      </c>
      <c r="L605" s="4">
        <v>65</v>
      </c>
      <c r="M605" s="4">
        <v>7106</v>
      </c>
      <c r="N605" s="4">
        <v>13189</v>
      </c>
      <c r="O605" s="4">
        <v>17</v>
      </c>
      <c r="P605" s="3">
        <v>2912.4672</v>
      </c>
      <c r="Q605"/>
      <c r="R605"/>
      <c r="S605"/>
      <c r="T605"/>
      <c r="U605"/>
      <c r="V605"/>
      <c r="W605"/>
      <c r="X605"/>
    </row>
    <row r="606" spans="1:24">
      <c r="A606" t="s">
        <v>172</v>
      </c>
      <c r="B606" t="s">
        <v>1115</v>
      </c>
      <c r="D606" t="s">
        <v>54</v>
      </c>
      <c r="E606" t="s">
        <v>59</v>
      </c>
      <c r="F606" t="s">
        <v>482</v>
      </c>
      <c r="G606" t="s">
        <v>483</v>
      </c>
      <c r="H606" t="s">
        <v>271</v>
      </c>
      <c r="I606" t="s">
        <v>36</v>
      </c>
      <c r="J606" t="s">
        <v>47</v>
      </c>
      <c r="K606" s="4">
        <v>9515</v>
      </c>
      <c r="L606" s="4">
        <v>30</v>
      </c>
      <c r="M606" s="4">
        <v>6169</v>
      </c>
      <c r="N606" s="4">
        <v>9138</v>
      </c>
      <c r="O606" s="4">
        <v>3</v>
      </c>
      <c r="P606" s="3">
        <v>5776.5082000000002</v>
      </c>
      <c r="Q606"/>
      <c r="R606"/>
      <c r="S606"/>
      <c r="T606"/>
      <c r="U606"/>
      <c r="V606"/>
      <c r="W606"/>
      <c r="X606"/>
    </row>
    <row r="607" spans="1:24">
      <c r="A607" t="s">
        <v>172</v>
      </c>
      <c r="B607" t="s">
        <v>1116</v>
      </c>
      <c r="D607" t="s">
        <v>56</v>
      </c>
      <c r="E607" t="s">
        <v>60</v>
      </c>
      <c r="F607" t="s">
        <v>482</v>
      </c>
      <c r="G607" t="s">
        <v>483</v>
      </c>
      <c r="H607" t="s">
        <v>213</v>
      </c>
      <c r="I607" t="s">
        <v>36</v>
      </c>
      <c r="J607" t="s">
        <v>47</v>
      </c>
      <c r="K607" s="4">
        <v>161178</v>
      </c>
      <c r="L607" s="4">
        <v>492</v>
      </c>
      <c r="M607" s="4">
        <v>70181</v>
      </c>
      <c r="N607" s="4">
        <v>150003</v>
      </c>
      <c r="O607" s="4">
        <v>11</v>
      </c>
      <c r="P607" s="3">
        <v>5892.4822000000004</v>
      </c>
      <c r="Q607"/>
      <c r="R607"/>
      <c r="S607"/>
      <c r="T607"/>
      <c r="U607"/>
      <c r="V607"/>
      <c r="W607"/>
      <c r="X607"/>
    </row>
    <row r="608" spans="1:24">
      <c r="A608" t="s">
        <v>172</v>
      </c>
      <c r="B608" t="s">
        <v>1117</v>
      </c>
      <c r="C608" t="s">
        <v>1118</v>
      </c>
      <c r="D608" t="s">
        <v>56</v>
      </c>
      <c r="E608" t="s">
        <v>59</v>
      </c>
      <c r="F608" t="s">
        <v>482</v>
      </c>
      <c r="G608" t="s">
        <v>483</v>
      </c>
      <c r="H608" t="s">
        <v>254</v>
      </c>
      <c r="I608" t="s">
        <v>42</v>
      </c>
      <c r="J608" t="s">
        <v>47</v>
      </c>
      <c r="K608" s="4">
        <v>232635</v>
      </c>
      <c r="L608" s="4">
        <v>666</v>
      </c>
      <c r="M608" s="4">
        <v>34008</v>
      </c>
      <c r="N608" s="4">
        <v>195803</v>
      </c>
      <c r="O608" s="4">
        <v>39</v>
      </c>
      <c r="P608" s="3">
        <v>1773.9919</v>
      </c>
      <c r="Q608"/>
      <c r="R608"/>
      <c r="S608"/>
      <c r="T608"/>
      <c r="U608"/>
      <c r="V608"/>
      <c r="W608"/>
      <c r="X608"/>
    </row>
    <row r="609" spans="1:24">
      <c r="A609" t="s">
        <v>172</v>
      </c>
      <c r="B609" t="s">
        <v>1119</v>
      </c>
      <c r="C609" t="s">
        <v>1120</v>
      </c>
      <c r="D609" t="s">
        <v>56</v>
      </c>
      <c r="E609" t="s">
        <v>59</v>
      </c>
      <c r="F609" t="s">
        <v>467</v>
      </c>
      <c r="G609" t="s">
        <v>468</v>
      </c>
      <c r="H609" t="s">
        <v>228</v>
      </c>
      <c r="I609" t="s">
        <v>36</v>
      </c>
      <c r="J609" t="s">
        <v>48</v>
      </c>
      <c r="K609" s="4">
        <v>49250</v>
      </c>
      <c r="L609" s="4">
        <v>220</v>
      </c>
      <c r="M609" s="4">
        <v>9205</v>
      </c>
      <c r="N609" s="4">
        <v>43535</v>
      </c>
      <c r="O609" s="4">
        <v>15</v>
      </c>
      <c r="P609" s="3">
        <v>1694.471</v>
      </c>
      <c r="Q609"/>
      <c r="R609"/>
      <c r="S609"/>
      <c r="T609"/>
      <c r="U609"/>
      <c r="V609"/>
      <c r="W609"/>
      <c r="X609"/>
    </row>
    <row r="610" spans="1:24">
      <c r="A610" t="s">
        <v>172</v>
      </c>
      <c r="B610" t="s">
        <v>882</v>
      </c>
      <c r="C610" t="s">
        <v>1121</v>
      </c>
      <c r="D610" t="s">
        <v>56</v>
      </c>
      <c r="E610" t="s">
        <v>60</v>
      </c>
      <c r="F610" t="s">
        <v>540</v>
      </c>
      <c r="G610" t="s">
        <v>468</v>
      </c>
      <c r="H610" t="s">
        <v>272</v>
      </c>
      <c r="I610" t="s">
        <v>36</v>
      </c>
      <c r="J610" t="s">
        <v>49</v>
      </c>
      <c r="K610" s="4">
        <v>11043</v>
      </c>
      <c r="L610" s="4">
        <v>125</v>
      </c>
      <c r="M610" s="4">
        <v>4547</v>
      </c>
      <c r="N610" s="4">
        <v>9666</v>
      </c>
      <c r="O610" s="4">
        <v>13</v>
      </c>
      <c r="P610" s="3">
        <v>1858.1322</v>
      </c>
      <c r="Q610"/>
      <c r="R610"/>
      <c r="S610"/>
      <c r="T610"/>
      <c r="U610"/>
      <c r="V610"/>
      <c r="W610"/>
      <c r="X610"/>
    </row>
    <row r="611" spans="1:24">
      <c r="A611" t="s">
        <v>172</v>
      </c>
      <c r="B611" t="s">
        <v>1122</v>
      </c>
      <c r="C611" t="s">
        <v>1123</v>
      </c>
      <c r="D611" t="s">
        <v>56</v>
      </c>
      <c r="E611" t="s">
        <v>60</v>
      </c>
      <c r="F611" t="s">
        <v>473</v>
      </c>
      <c r="G611" t="s">
        <v>474</v>
      </c>
      <c r="H611" t="s">
        <v>255</v>
      </c>
      <c r="I611" t="s">
        <v>253</v>
      </c>
      <c r="J611" t="s">
        <v>48</v>
      </c>
      <c r="K611" s="4">
        <v>49415</v>
      </c>
      <c r="L611" s="4">
        <v>144</v>
      </c>
      <c r="M611" s="4">
        <v>24692</v>
      </c>
      <c r="N611" s="4">
        <v>45565</v>
      </c>
      <c r="O611" s="4">
        <v>3</v>
      </c>
      <c r="P611" s="3">
        <v>1471.1757</v>
      </c>
      <c r="Q611"/>
      <c r="R611"/>
      <c r="S611"/>
      <c r="T611"/>
      <c r="U611"/>
      <c r="V611"/>
      <c r="W611"/>
      <c r="X611"/>
    </row>
    <row r="612" spans="1:24">
      <c r="A612" t="s">
        <v>172</v>
      </c>
      <c r="B612" t="s">
        <v>1124</v>
      </c>
      <c r="C612" t="s">
        <v>1125</v>
      </c>
      <c r="D612" t="s">
        <v>54</v>
      </c>
      <c r="E612" t="s">
        <v>59</v>
      </c>
      <c r="F612" t="s">
        <v>736</v>
      </c>
      <c r="G612" t="s">
        <v>531</v>
      </c>
      <c r="H612" t="s">
        <v>242</v>
      </c>
      <c r="I612" t="s">
        <v>36</v>
      </c>
      <c r="J612" t="s">
        <v>47</v>
      </c>
      <c r="K612" s="4">
        <v>111884</v>
      </c>
      <c r="L612" s="4">
        <v>220</v>
      </c>
      <c r="M612" s="4">
        <v>53017</v>
      </c>
      <c r="N612" s="4">
        <v>106432</v>
      </c>
      <c r="O612" s="4">
        <v>7</v>
      </c>
      <c r="P612" s="3">
        <v>1786.1051</v>
      </c>
      <c r="Q612"/>
      <c r="R612"/>
      <c r="S612"/>
      <c r="T612"/>
      <c r="U612"/>
      <c r="V612"/>
      <c r="W612"/>
      <c r="X612"/>
    </row>
    <row r="613" spans="1:24">
      <c r="A613" t="s">
        <v>174</v>
      </c>
      <c r="B613" t="s">
        <v>1126</v>
      </c>
      <c r="D613" t="s">
        <v>56</v>
      </c>
      <c r="E613" t="s">
        <v>55</v>
      </c>
      <c r="F613" t="s">
        <v>491</v>
      </c>
      <c r="G613" t="s">
        <v>29</v>
      </c>
      <c r="H613" t="s">
        <v>404</v>
      </c>
      <c r="I613" t="s">
        <v>36</v>
      </c>
      <c r="J613" t="s">
        <v>47</v>
      </c>
      <c r="K613" s="4">
        <v>13183</v>
      </c>
      <c r="L613" s="4">
        <v>100</v>
      </c>
      <c r="M613" s="4">
        <v>4337</v>
      </c>
      <c r="N613" s="4">
        <v>10596</v>
      </c>
      <c r="O613" s="4">
        <v>1</v>
      </c>
      <c r="P613" s="3">
        <v>2430.2437</v>
      </c>
      <c r="Q613"/>
      <c r="R613"/>
      <c r="S613"/>
      <c r="T613"/>
      <c r="U613"/>
      <c r="V613"/>
      <c r="W613"/>
      <c r="X613"/>
    </row>
    <row r="614" spans="1:24">
      <c r="A614" t="s">
        <v>174</v>
      </c>
      <c r="B614" t="s">
        <v>1127</v>
      </c>
      <c r="D614" t="s">
        <v>56</v>
      </c>
      <c r="E614" t="s">
        <v>60</v>
      </c>
      <c r="F614" t="s">
        <v>467</v>
      </c>
      <c r="G614" t="s">
        <v>468</v>
      </c>
      <c r="H614" t="s">
        <v>220</v>
      </c>
      <c r="I614" t="s">
        <v>209</v>
      </c>
      <c r="J614" t="s">
        <v>47</v>
      </c>
      <c r="K614" s="4">
        <v>117713</v>
      </c>
      <c r="L614" s="4">
        <v>374</v>
      </c>
      <c r="M614" s="4">
        <v>16357</v>
      </c>
      <c r="N614" s="4">
        <v>100222</v>
      </c>
      <c r="O614" s="4">
        <v>5</v>
      </c>
      <c r="P614" s="3">
        <v>2505.4034999999999</v>
      </c>
      <c r="Q614"/>
      <c r="R614"/>
      <c r="S614"/>
      <c r="T614"/>
      <c r="U614"/>
      <c r="V614"/>
      <c r="W614"/>
      <c r="X614"/>
    </row>
    <row r="615" spans="1:24">
      <c r="A615" t="s">
        <v>176</v>
      </c>
      <c r="D615" t="s">
        <v>56</v>
      </c>
      <c r="E615" t="s">
        <v>60</v>
      </c>
      <c r="F615" t="s">
        <v>471</v>
      </c>
      <c r="G615" t="s">
        <v>464</v>
      </c>
      <c r="H615" t="s">
        <v>398</v>
      </c>
      <c r="I615" t="s">
        <v>36</v>
      </c>
      <c r="J615" t="s">
        <v>47</v>
      </c>
      <c r="K615" s="4">
        <v>12280</v>
      </c>
      <c r="L615" s="4">
        <v>40</v>
      </c>
      <c r="M615" s="4">
        <v>9613</v>
      </c>
      <c r="N615" s="4">
        <v>11247</v>
      </c>
      <c r="O615" s="4">
        <v>4</v>
      </c>
      <c r="P615" s="3">
        <v>1765.3987</v>
      </c>
      <c r="Q615"/>
      <c r="R615"/>
      <c r="S615"/>
      <c r="T615"/>
      <c r="U615"/>
      <c r="V615"/>
      <c r="W615"/>
      <c r="X615"/>
    </row>
    <row r="616" spans="1:24">
      <c r="A616" t="s">
        <v>178</v>
      </c>
      <c r="D616" t="s">
        <v>54</v>
      </c>
      <c r="E616" t="s">
        <v>57</v>
      </c>
      <c r="F616" t="s">
        <v>530</v>
      </c>
      <c r="G616" t="s">
        <v>531</v>
      </c>
      <c r="H616" t="s">
        <v>254</v>
      </c>
      <c r="I616" t="s">
        <v>40</v>
      </c>
      <c r="J616" t="s">
        <v>47</v>
      </c>
      <c r="K616" s="4">
        <v>239164</v>
      </c>
      <c r="L616" s="4">
        <v>699</v>
      </c>
      <c r="M616" s="4">
        <v>86250</v>
      </c>
      <c r="N616" s="4">
        <v>198209</v>
      </c>
      <c r="O616" s="4">
        <v>41</v>
      </c>
      <c r="P616" s="3">
        <v>2819.9353000000001</v>
      </c>
      <c r="Q616"/>
      <c r="R616"/>
      <c r="S616"/>
      <c r="T616"/>
      <c r="U616"/>
      <c r="V616"/>
      <c r="W616"/>
      <c r="X616"/>
    </row>
    <row r="617" spans="1:24">
      <c r="A617" t="s">
        <v>180</v>
      </c>
      <c r="D617" t="s">
        <v>54</v>
      </c>
      <c r="E617" t="s">
        <v>55</v>
      </c>
      <c r="F617" t="s">
        <v>482</v>
      </c>
      <c r="G617" t="s">
        <v>483</v>
      </c>
      <c r="H617" t="s">
        <v>368</v>
      </c>
      <c r="I617" t="s">
        <v>43</v>
      </c>
      <c r="J617" t="s">
        <v>47</v>
      </c>
      <c r="K617" s="4">
        <v>10677</v>
      </c>
      <c r="L617" s="4">
        <v>88</v>
      </c>
      <c r="M617" s="4">
        <v>7247</v>
      </c>
      <c r="N617" s="4">
        <v>10338</v>
      </c>
      <c r="O617" s="4">
        <v>3</v>
      </c>
      <c r="P617" s="3">
        <v>1483.4527</v>
      </c>
      <c r="Q617"/>
      <c r="R617"/>
      <c r="S617"/>
      <c r="T617"/>
      <c r="U617"/>
      <c r="V617"/>
      <c r="W617"/>
      <c r="X617"/>
    </row>
    <row r="618" spans="1:24">
      <c r="A618" t="s">
        <v>182</v>
      </c>
      <c r="B618" t="s">
        <v>1128</v>
      </c>
      <c r="C618" t="s">
        <v>1129</v>
      </c>
      <c r="D618" t="s">
        <v>56</v>
      </c>
      <c r="E618" t="s">
        <v>59</v>
      </c>
      <c r="F618" t="s">
        <v>473</v>
      </c>
      <c r="G618" t="s">
        <v>474</v>
      </c>
      <c r="H618" t="s">
        <v>285</v>
      </c>
      <c r="I618" t="s">
        <v>40</v>
      </c>
      <c r="J618" t="s">
        <v>47</v>
      </c>
      <c r="K618" s="4">
        <v>67752</v>
      </c>
      <c r="L618" s="4">
        <v>174</v>
      </c>
      <c r="M618" s="4">
        <v>47126</v>
      </c>
      <c r="N618" s="4">
        <v>65080</v>
      </c>
      <c r="O618" s="4">
        <v>3</v>
      </c>
      <c r="P618" s="3">
        <v>1557.0156999999999</v>
      </c>
      <c r="Q618"/>
      <c r="R618"/>
      <c r="S618"/>
      <c r="T618"/>
      <c r="U618"/>
      <c r="V618"/>
      <c r="W618"/>
      <c r="X618"/>
    </row>
    <row r="619" spans="1:24">
      <c r="A619" t="s">
        <v>184</v>
      </c>
      <c r="B619" t="s">
        <v>1130</v>
      </c>
      <c r="C619" t="s">
        <v>1131</v>
      </c>
      <c r="D619" t="s">
        <v>54</v>
      </c>
      <c r="E619" t="s">
        <v>57</v>
      </c>
      <c r="F619" t="s">
        <v>482</v>
      </c>
      <c r="G619" t="s">
        <v>483</v>
      </c>
      <c r="H619" t="s">
        <v>242</v>
      </c>
      <c r="I619" t="s">
        <v>36</v>
      </c>
      <c r="J619" t="s">
        <v>47</v>
      </c>
      <c r="K619" s="4">
        <v>20899</v>
      </c>
      <c r="L619" s="4">
        <v>20</v>
      </c>
      <c r="M619" s="4">
        <v>11394</v>
      </c>
      <c r="N619" s="4">
        <v>19576</v>
      </c>
      <c r="O619" s="4">
        <v>19</v>
      </c>
      <c r="P619" s="3">
        <v>1649.4599000000001</v>
      </c>
      <c r="Q619"/>
      <c r="R619"/>
      <c r="S619"/>
      <c r="T619"/>
      <c r="U619"/>
      <c r="V619"/>
      <c r="W619"/>
      <c r="X619"/>
    </row>
    <row r="620" spans="1:24">
      <c r="A620" t="s">
        <v>184</v>
      </c>
      <c r="B620" t="s">
        <v>1130</v>
      </c>
      <c r="C620" t="s">
        <v>1132</v>
      </c>
      <c r="D620" t="s">
        <v>54</v>
      </c>
      <c r="E620" t="s">
        <v>57</v>
      </c>
      <c r="F620" t="s">
        <v>506</v>
      </c>
      <c r="G620" t="s">
        <v>474</v>
      </c>
      <c r="H620" t="s">
        <v>254</v>
      </c>
      <c r="I620" t="s">
        <v>36</v>
      </c>
      <c r="J620" t="s">
        <v>47</v>
      </c>
      <c r="K620" s="4">
        <v>292885</v>
      </c>
      <c r="L620" s="4">
        <v>796</v>
      </c>
      <c r="M620" s="4">
        <v>12733</v>
      </c>
      <c r="N620" s="4">
        <v>203986</v>
      </c>
      <c r="O620" s="4">
        <v>4</v>
      </c>
      <c r="P620" s="3">
        <v>1503.9131</v>
      </c>
      <c r="Q620"/>
      <c r="R620"/>
      <c r="S620"/>
      <c r="T620"/>
      <c r="U620"/>
      <c r="V620"/>
      <c r="W620"/>
      <c r="X620"/>
    </row>
    <row r="621" spans="1:24">
      <c r="A621" t="s">
        <v>184</v>
      </c>
      <c r="B621" t="s">
        <v>1130</v>
      </c>
      <c r="C621" t="s">
        <v>1133</v>
      </c>
      <c r="D621" t="s">
        <v>54</v>
      </c>
      <c r="E621" t="s">
        <v>55</v>
      </c>
      <c r="F621" t="s">
        <v>480</v>
      </c>
      <c r="G621" t="s">
        <v>460</v>
      </c>
      <c r="H621" t="s">
        <v>321</v>
      </c>
      <c r="I621" t="s">
        <v>43</v>
      </c>
      <c r="J621" t="s">
        <v>47</v>
      </c>
      <c r="K621" s="4">
        <v>13293</v>
      </c>
      <c r="L621" s="4">
        <v>74</v>
      </c>
      <c r="M621" s="4">
        <v>9054</v>
      </c>
      <c r="N621" s="4">
        <v>12676</v>
      </c>
      <c r="O621" s="4">
        <v>5</v>
      </c>
      <c r="P621" s="3">
        <v>2901.2094999999999</v>
      </c>
      <c r="Q621"/>
      <c r="R621"/>
      <c r="S621"/>
      <c r="T621"/>
      <c r="U621"/>
      <c r="V621"/>
      <c r="W621"/>
      <c r="X621"/>
    </row>
    <row r="622" spans="1:24">
      <c r="A622" t="s">
        <v>184</v>
      </c>
      <c r="B622" t="s">
        <v>1130</v>
      </c>
      <c r="C622" t="s">
        <v>1134</v>
      </c>
      <c r="D622" t="s">
        <v>54</v>
      </c>
      <c r="E622" t="s">
        <v>57</v>
      </c>
      <c r="F622" t="s">
        <v>519</v>
      </c>
      <c r="G622" t="s">
        <v>460</v>
      </c>
      <c r="H622" t="s">
        <v>211</v>
      </c>
      <c r="I622" t="s">
        <v>36</v>
      </c>
      <c r="J622" t="s">
        <v>47</v>
      </c>
      <c r="K622" s="4">
        <v>31003</v>
      </c>
      <c r="L622" s="4">
        <v>87</v>
      </c>
      <c r="M622" s="4">
        <v>12591</v>
      </c>
      <c r="N622" s="4">
        <v>22656</v>
      </c>
      <c r="O622" s="4">
        <v>8</v>
      </c>
      <c r="P622" s="3">
        <v>2294.0038</v>
      </c>
      <c r="Q622"/>
      <c r="R622"/>
      <c r="S622"/>
      <c r="T622"/>
      <c r="U622"/>
      <c r="V622"/>
      <c r="W622"/>
      <c r="X622"/>
    </row>
    <row r="623" spans="1:24">
      <c r="A623" t="s">
        <v>184</v>
      </c>
      <c r="B623" t="s">
        <v>1130</v>
      </c>
      <c r="C623" t="s">
        <v>1135</v>
      </c>
      <c r="D623" t="s">
        <v>56</v>
      </c>
      <c r="E623" t="s">
        <v>57</v>
      </c>
      <c r="F623" t="s">
        <v>583</v>
      </c>
      <c r="G623" t="s">
        <v>464</v>
      </c>
      <c r="H623" t="s">
        <v>419</v>
      </c>
      <c r="I623" t="s">
        <v>36</v>
      </c>
      <c r="J623" t="s">
        <v>47</v>
      </c>
      <c r="K623" s="4">
        <v>10485</v>
      </c>
      <c r="L623" s="4">
        <v>84</v>
      </c>
      <c r="M623" s="4">
        <v>4255</v>
      </c>
      <c r="N623" s="4">
        <v>7669</v>
      </c>
      <c r="O623" s="4">
        <v>2</v>
      </c>
      <c r="P623" s="3">
        <v>2239.2628</v>
      </c>
      <c r="Q623"/>
      <c r="R623"/>
      <c r="S623"/>
      <c r="T623"/>
      <c r="U623"/>
      <c r="V623"/>
      <c r="W623"/>
      <c r="X623"/>
    </row>
    <row r="624" spans="1:24">
      <c r="A624" t="s">
        <v>184</v>
      </c>
      <c r="B624" t="s">
        <v>1136</v>
      </c>
      <c r="C624" t="s">
        <v>1137</v>
      </c>
      <c r="D624" t="s">
        <v>54</v>
      </c>
      <c r="E624" t="s">
        <v>60</v>
      </c>
      <c r="F624" t="s">
        <v>506</v>
      </c>
      <c r="G624" t="s">
        <v>474</v>
      </c>
      <c r="H624" t="s">
        <v>231</v>
      </c>
      <c r="I624" t="s">
        <v>38</v>
      </c>
      <c r="J624" t="s">
        <v>47</v>
      </c>
      <c r="K624" s="4">
        <v>64577</v>
      </c>
      <c r="L624" s="4">
        <v>240</v>
      </c>
      <c r="M624" s="4">
        <v>37732</v>
      </c>
      <c r="N624" s="4">
        <v>60357</v>
      </c>
      <c r="O624" s="4">
        <v>11</v>
      </c>
      <c r="P624" s="3">
        <v>1801.3490999999999</v>
      </c>
      <c r="Q624"/>
      <c r="R624"/>
      <c r="S624"/>
      <c r="T624"/>
      <c r="U624"/>
      <c r="V624"/>
      <c r="W624"/>
      <c r="X624"/>
    </row>
    <row r="625" spans="1:24">
      <c r="A625" t="s">
        <v>184</v>
      </c>
      <c r="B625" t="s">
        <v>1136</v>
      </c>
      <c r="C625" t="s">
        <v>1138</v>
      </c>
      <c r="D625" t="s">
        <v>54</v>
      </c>
      <c r="E625" t="s">
        <v>60</v>
      </c>
      <c r="F625" t="s">
        <v>506</v>
      </c>
      <c r="G625" t="s">
        <v>474</v>
      </c>
      <c r="H625" t="s">
        <v>297</v>
      </c>
      <c r="I625" t="s">
        <v>36</v>
      </c>
      <c r="J625" t="s">
        <v>47</v>
      </c>
      <c r="K625" s="4">
        <v>11025</v>
      </c>
      <c r="L625" s="4">
        <v>50</v>
      </c>
      <c r="M625" s="4">
        <v>7974</v>
      </c>
      <c r="N625" s="4">
        <v>10311</v>
      </c>
      <c r="O625" s="4">
        <v>4</v>
      </c>
      <c r="P625" s="3">
        <v>1657.1597999999999</v>
      </c>
      <c r="Q625"/>
      <c r="R625"/>
      <c r="S625"/>
      <c r="T625"/>
      <c r="U625"/>
      <c r="V625"/>
      <c r="W625"/>
      <c r="X625"/>
    </row>
    <row r="626" spans="1:24">
      <c r="A626" t="s">
        <v>184</v>
      </c>
      <c r="B626" t="s">
        <v>1136</v>
      </c>
      <c r="C626" t="s">
        <v>1139</v>
      </c>
      <c r="D626" t="s">
        <v>54</v>
      </c>
      <c r="E626" t="s">
        <v>57</v>
      </c>
      <c r="F626" t="s">
        <v>497</v>
      </c>
      <c r="G626" t="s">
        <v>460</v>
      </c>
      <c r="H626" t="s">
        <v>339</v>
      </c>
      <c r="I626" t="s">
        <v>38</v>
      </c>
      <c r="J626" t="s">
        <v>47</v>
      </c>
      <c r="K626" s="4">
        <v>14379</v>
      </c>
      <c r="L626" s="4">
        <v>30</v>
      </c>
      <c r="M626" s="4">
        <v>6272</v>
      </c>
      <c r="N626" s="4">
        <v>11886</v>
      </c>
      <c r="O626" s="4">
        <v>18</v>
      </c>
      <c r="P626" s="3">
        <v>1973.5622000000001</v>
      </c>
      <c r="Q626"/>
      <c r="R626"/>
      <c r="S626"/>
      <c r="T626"/>
      <c r="U626"/>
      <c r="V626"/>
      <c r="W626"/>
      <c r="X626"/>
    </row>
    <row r="627" spans="1:24">
      <c r="A627" t="s">
        <v>184</v>
      </c>
      <c r="B627" t="s">
        <v>1136</v>
      </c>
      <c r="C627" t="s">
        <v>1140</v>
      </c>
      <c r="D627" t="s">
        <v>54</v>
      </c>
      <c r="E627" t="s">
        <v>59</v>
      </c>
      <c r="F627" t="s">
        <v>467</v>
      </c>
      <c r="G627" t="s">
        <v>468</v>
      </c>
      <c r="H627" t="s">
        <v>218</v>
      </c>
      <c r="I627" t="s">
        <v>36</v>
      </c>
      <c r="J627" t="s">
        <v>47</v>
      </c>
      <c r="K627" s="4">
        <v>297347</v>
      </c>
      <c r="L627" s="4">
        <v>751</v>
      </c>
      <c r="M627" s="4">
        <v>166412</v>
      </c>
      <c r="N627" s="4">
        <v>251319</v>
      </c>
      <c r="O627" s="4">
        <v>4</v>
      </c>
      <c r="P627" s="3">
        <v>2255.5223999999998</v>
      </c>
      <c r="Q627"/>
      <c r="R627"/>
      <c r="S627"/>
      <c r="T627"/>
      <c r="U627"/>
      <c r="V627"/>
      <c r="W627"/>
      <c r="X627"/>
    </row>
    <row r="628" spans="1:24">
      <c r="A628" t="s">
        <v>184</v>
      </c>
      <c r="B628" t="s">
        <v>1141</v>
      </c>
      <c r="C628" t="s">
        <v>1142</v>
      </c>
      <c r="D628" t="s">
        <v>58</v>
      </c>
      <c r="E628" t="s">
        <v>55</v>
      </c>
      <c r="F628" t="s">
        <v>482</v>
      </c>
      <c r="G628" t="s">
        <v>483</v>
      </c>
      <c r="H628" t="s">
        <v>326</v>
      </c>
      <c r="I628" t="s">
        <v>43</v>
      </c>
      <c r="J628" t="s">
        <v>47</v>
      </c>
      <c r="K628" s="4">
        <v>72117</v>
      </c>
      <c r="L628" s="4">
        <v>187</v>
      </c>
      <c r="M628" s="4">
        <v>9807</v>
      </c>
      <c r="N628" s="4">
        <v>68568</v>
      </c>
      <c r="O628" s="4">
        <v>16</v>
      </c>
      <c r="P628" s="3">
        <v>1702.3172</v>
      </c>
      <c r="Q628"/>
      <c r="R628"/>
      <c r="S628"/>
      <c r="T628"/>
      <c r="U628"/>
      <c r="V628"/>
      <c r="W628"/>
      <c r="X628"/>
    </row>
    <row r="629" spans="1:24">
      <c r="A629" t="s">
        <v>184</v>
      </c>
      <c r="B629" t="s">
        <v>1143</v>
      </c>
      <c r="C629" t="s">
        <v>1144</v>
      </c>
      <c r="D629" t="s">
        <v>56</v>
      </c>
      <c r="E629" t="s">
        <v>60</v>
      </c>
      <c r="F629" t="s">
        <v>499</v>
      </c>
      <c r="G629" t="s">
        <v>487</v>
      </c>
      <c r="H629" t="s">
        <v>335</v>
      </c>
      <c r="I629" t="s">
        <v>36</v>
      </c>
      <c r="J629" t="s">
        <v>48</v>
      </c>
      <c r="K629" s="4">
        <v>34278</v>
      </c>
      <c r="L629" s="4">
        <v>100</v>
      </c>
      <c r="M629" s="4">
        <v>3704</v>
      </c>
      <c r="N629" s="4">
        <v>30227</v>
      </c>
      <c r="O629" s="4">
        <v>6</v>
      </c>
      <c r="P629" s="3">
        <v>1689.0832</v>
      </c>
      <c r="Q629"/>
      <c r="R629"/>
      <c r="S629"/>
      <c r="T629"/>
      <c r="U629"/>
      <c r="V629"/>
      <c r="W629"/>
      <c r="X629"/>
    </row>
    <row r="630" spans="1:24">
      <c r="A630" t="s">
        <v>184</v>
      </c>
      <c r="B630" t="s">
        <v>1143</v>
      </c>
      <c r="C630" t="s">
        <v>1145</v>
      </c>
      <c r="D630" t="s">
        <v>54</v>
      </c>
      <c r="E630" t="s">
        <v>55</v>
      </c>
      <c r="F630" t="s">
        <v>482</v>
      </c>
      <c r="G630" t="s">
        <v>483</v>
      </c>
      <c r="H630" t="s">
        <v>250</v>
      </c>
      <c r="I630" t="s">
        <v>216</v>
      </c>
      <c r="J630" t="s">
        <v>47</v>
      </c>
      <c r="K630" s="4">
        <v>34959</v>
      </c>
      <c r="L630" s="4">
        <v>122</v>
      </c>
      <c r="M630" s="4">
        <v>17511</v>
      </c>
      <c r="N630" s="4">
        <v>31974</v>
      </c>
      <c r="O630" s="4">
        <v>5</v>
      </c>
      <c r="P630" s="3">
        <v>1477.4934000000001</v>
      </c>
      <c r="Q630"/>
      <c r="R630"/>
      <c r="S630"/>
      <c r="T630"/>
      <c r="U630"/>
      <c r="V630"/>
      <c r="W630"/>
      <c r="X630"/>
    </row>
    <row r="631" spans="1:24">
      <c r="A631" t="s">
        <v>186</v>
      </c>
      <c r="B631" t="s">
        <v>1146</v>
      </c>
      <c r="C631" t="s">
        <v>1147</v>
      </c>
      <c r="D631" t="s">
        <v>56</v>
      </c>
      <c r="E631" t="s">
        <v>55</v>
      </c>
      <c r="F631" t="s">
        <v>482</v>
      </c>
      <c r="G631" t="s">
        <v>483</v>
      </c>
      <c r="H631" t="s">
        <v>436</v>
      </c>
      <c r="I631" t="s">
        <v>42</v>
      </c>
      <c r="J631" t="s">
        <v>47</v>
      </c>
      <c r="K631" s="4">
        <v>13642</v>
      </c>
      <c r="L631" s="4">
        <v>40</v>
      </c>
      <c r="M631" s="4">
        <v>9830</v>
      </c>
      <c r="N631" s="4">
        <v>11658</v>
      </c>
      <c r="O631" s="4">
        <v>3</v>
      </c>
      <c r="P631" s="3">
        <v>1731.2718</v>
      </c>
      <c r="Q631"/>
      <c r="R631"/>
      <c r="S631"/>
      <c r="T631"/>
      <c r="U631"/>
      <c r="V631"/>
      <c r="W631"/>
      <c r="X631"/>
    </row>
    <row r="632" spans="1:24">
      <c r="A632" t="s">
        <v>186</v>
      </c>
      <c r="B632" t="s">
        <v>1148</v>
      </c>
      <c r="D632" t="s">
        <v>56</v>
      </c>
      <c r="E632" t="s">
        <v>59</v>
      </c>
      <c r="F632" t="s">
        <v>473</v>
      </c>
      <c r="G632" t="s">
        <v>474</v>
      </c>
      <c r="H632" t="s">
        <v>254</v>
      </c>
      <c r="I632" t="s">
        <v>42</v>
      </c>
      <c r="J632" t="s">
        <v>47</v>
      </c>
      <c r="K632" s="4">
        <v>1109184</v>
      </c>
      <c r="L632" s="4">
        <v>3142</v>
      </c>
      <c r="M632" s="4">
        <v>83035</v>
      </c>
      <c r="N632" s="4">
        <v>782482</v>
      </c>
      <c r="O632" s="4">
        <v>25</v>
      </c>
      <c r="P632" s="3">
        <v>7490.8608000000004</v>
      </c>
      <c r="Q632"/>
      <c r="R632"/>
      <c r="S632"/>
      <c r="T632"/>
      <c r="U632"/>
      <c r="V632"/>
      <c r="W632"/>
      <c r="X632"/>
    </row>
    <row r="633" spans="1:24">
      <c r="A633" t="s">
        <v>186</v>
      </c>
      <c r="B633" t="s">
        <v>1149</v>
      </c>
      <c r="D633" t="s">
        <v>56</v>
      </c>
      <c r="E633" t="s">
        <v>55</v>
      </c>
      <c r="F633" t="s">
        <v>497</v>
      </c>
      <c r="G633" t="s">
        <v>460</v>
      </c>
      <c r="H633" t="s">
        <v>389</v>
      </c>
      <c r="I633" t="s">
        <v>445</v>
      </c>
      <c r="J633" t="s">
        <v>47</v>
      </c>
      <c r="K633" s="4">
        <v>14599</v>
      </c>
      <c r="L633" s="4">
        <v>33</v>
      </c>
      <c r="M633" s="4">
        <v>1779</v>
      </c>
      <c r="N633" s="4">
        <v>12458</v>
      </c>
      <c r="O633" s="4">
        <v>4</v>
      </c>
      <c r="P633" s="3">
        <v>5092.5591999999997</v>
      </c>
      <c r="Q633"/>
      <c r="R633"/>
      <c r="S633"/>
      <c r="T633"/>
      <c r="U633"/>
      <c r="V633"/>
      <c r="W633"/>
      <c r="X633"/>
    </row>
    <row r="634" spans="1:24">
      <c r="A634" t="s">
        <v>186</v>
      </c>
      <c r="B634" t="s">
        <v>1150</v>
      </c>
      <c r="D634" t="s">
        <v>54</v>
      </c>
      <c r="E634" t="s">
        <v>59</v>
      </c>
      <c r="F634" t="s">
        <v>570</v>
      </c>
      <c r="G634" t="s">
        <v>460</v>
      </c>
      <c r="H634" t="s">
        <v>438</v>
      </c>
      <c r="I634" t="s">
        <v>43</v>
      </c>
      <c r="J634" t="s">
        <v>47</v>
      </c>
      <c r="K634" s="4">
        <v>45285</v>
      </c>
      <c r="L634" s="4">
        <v>190</v>
      </c>
      <c r="M634" s="4">
        <v>30225</v>
      </c>
      <c r="N634" s="4">
        <v>43298</v>
      </c>
      <c r="O634" s="4">
        <v>11</v>
      </c>
      <c r="P634" s="3">
        <v>4728.0123999999996</v>
      </c>
      <c r="Q634"/>
      <c r="R634"/>
      <c r="S634"/>
      <c r="T634"/>
      <c r="U634"/>
      <c r="V634"/>
      <c r="W634"/>
      <c r="X634"/>
    </row>
    <row r="635" spans="1:24">
      <c r="A635" t="s">
        <v>186</v>
      </c>
      <c r="B635" t="s">
        <v>993</v>
      </c>
      <c r="C635" t="s">
        <v>1151</v>
      </c>
      <c r="D635" t="s">
        <v>56</v>
      </c>
      <c r="E635" t="s">
        <v>57</v>
      </c>
      <c r="F635" t="s">
        <v>486</v>
      </c>
      <c r="G635" t="s">
        <v>487</v>
      </c>
      <c r="H635" t="s">
        <v>257</v>
      </c>
      <c r="I635" t="s">
        <v>253</v>
      </c>
      <c r="J635" t="s">
        <v>48</v>
      </c>
      <c r="K635" s="4">
        <v>30460</v>
      </c>
      <c r="L635" s="4">
        <v>95</v>
      </c>
      <c r="M635" s="4">
        <v>21830</v>
      </c>
      <c r="N635" s="4">
        <v>27750</v>
      </c>
      <c r="O635" s="4">
        <v>25</v>
      </c>
      <c r="P635" s="3">
        <v>6643.9665000000005</v>
      </c>
      <c r="Q635"/>
      <c r="R635"/>
      <c r="S635"/>
      <c r="T635"/>
      <c r="U635"/>
      <c r="V635"/>
      <c r="W635"/>
      <c r="X635"/>
    </row>
    <row r="636" spans="1:24">
      <c r="A636" t="s">
        <v>186</v>
      </c>
      <c r="B636" t="s">
        <v>993</v>
      </c>
      <c r="C636" t="s">
        <v>1152</v>
      </c>
      <c r="D636" t="s">
        <v>56</v>
      </c>
      <c r="E636" t="s">
        <v>60</v>
      </c>
      <c r="F636" t="s">
        <v>583</v>
      </c>
      <c r="G636" t="s">
        <v>464</v>
      </c>
      <c r="H636" t="s">
        <v>218</v>
      </c>
      <c r="I636" t="s">
        <v>214</v>
      </c>
      <c r="J636" t="s">
        <v>48</v>
      </c>
      <c r="K636" s="4">
        <v>117518</v>
      </c>
      <c r="L636" s="4">
        <v>299</v>
      </c>
      <c r="M636" s="4">
        <v>66458</v>
      </c>
      <c r="N636" s="4">
        <v>86571</v>
      </c>
      <c r="O636" s="4">
        <v>1</v>
      </c>
      <c r="P636" s="3">
        <v>5999.9938000000002</v>
      </c>
      <c r="Q636"/>
      <c r="R636"/>
      <c r="S636"/>
      <c r="T636"/>
      <c r="U636"/>
      <c r="V636"/>
      <c r="W636"/>
      <c r="X636"/>
    </row>
    <row r="637" spans="1:24">
      <c r="A637" t="s">
        <v>186</v>
      </c>
      <c r="B637" t="s">
        <v>993</v>
      </c>
      <c r="C637" t="s">
        <v>1153</v>
      </c>
      <c r="D637" t="s">
        <v>56</v>
      </c>
      <c r="E637" t="s">
        <v>57</v>
      </c>
      <c r="F637" t="s">
        <v>497</v>
      </c>
      <c r="G637" t="s">
        <v>460</v>
      </c>
      <c r="H637" t="s">
        <v>231</v>
      </c>
      <c r="I637" t="s">
        <v>43</v>
      </c>
      <c r="J637" t="s">
        <v>47</v>
      </c>
      <c r="K637" s="4">
        <v>69928</v>
      </c>
      <c r="L637" s="4">
        <v>210</v>
      </c>
      <c r="M637" s="4">
        <v>30196</v>
      </c>
      <c r="N637" s="4">
        <v>62327</v>
      </c>
      <c r="O637" s="4">
        <v>9</v>
      </c>
      <c r="P637" s="3">
        <v>6318.4130999999998</v>
      </c>
      <c r="Q637"/>
      <c r="R637"/>
      <c r="S637"/>
      <c r="T637"/>
      <c r="U637"/>
      <c r="V637"/>
      <c r="W637"/>
      <c r="X637"/>
    </row>
    <row r="638" spans="1:24">
      <c r="A638" t="s">
        <v>186</v>
      </c>
      <c r="B638" t="s">
        <v>993</v>
      </c>
      <c r="C638" t="s">
        <v>1154</v>
      </c>
      <c r="D638" t="s">
        <v>56</v>
      </c>
      <c r="E638" t="s">
        <v>60</v>
      </c>
      <c r="F638" t="s">
        <v>471</v>
      </c>
      <c r="G638" t="s">
        <v>464</v>
      </c>
      <c r="H638" t="s">
        <v>241</v>
      </c>
      <c r="I638" t="s">
        <v>38</v>
      </c>
      <c r="J638" t="s">
        <v>47</v>
      </c>
      <c r="K638" s="4">
        <v>7229</v>
      </c>
      <c r="L638" s="4">
        <v>20</v>
      </c>
      <c r="M638" s="4">
        <v>5668</v>
      </c>
      <c r="N638" s="4">
        <v>6760</v>
      </c>
      <c r="O638" s="4">
        <v>3</v>
      </c>
      <c r="P638" s="3">
        <v>6812.5887000000002</v>
      </c>
      <c r="Q638"/>
      <c r="R638"/>
      <c r="S638"/>
      <c r="T638"/>
      <c r="U638"/>
      <c r="V638"/>
      <c r="W638"/>
      <c r="X638"/>
    </row>
    <row r="639" spans="1:24">
      <c r="A639" t="s">
        <v>186</v>
      </c>
      <c r="B639" t="s">
        <v>993</v>
      </c>
      <c r="C639" t="s">
        <v>1155</v>
      </c>
      <c r="D639" t="s">
        <v>54</v>
      </c>
      <c r="E639" t="s">
        <v>57</v>
      </c>
      <c r="F639" t="s">
        <v>782</v>
      </c>
      <c r="G639" t="s">
        <v>783</v>
      </c>
      <c r="H639" t="s">
        <v>446</v>
      </c>
      <c r="I639" t="s">
        <v>445</v>
      </c>
      <c r="J639" t="s">
        <v>47</v>
      </c>
      <c r="K639" s="4">
        <v>117879</v>
      </c>
      <c r="L639" s="4">
        <v>390</v>
      </c>
      <c r="M639" s="4">
        <v>52098</v>
      </c>
      <c r="N639" s="4">
        <v>86127</v>
      </c>
      <c r="O639" s="4">
        <v>1</v>
      </c>
      <c r="P639" s="3">
        <v>5102.7066999999997</v>
      </c>
      <c r="Q639"/>
      <c r="R639"/>
      <c r="S639"/>
      <c r="T639"/>
      <c r="U639"/>
      <c r="V639"/>
      <c r="W639"/>
      <c r="X639"/>
    </row>
    <row r="640" spans="1:24">
      <c r="A640" t="s">
        <v>186</v>
      </c>
      <c r="B640" t="s">
        <v>993</v>
      </c>
      <c r="C640" t="s">
        <v>1156</v>
      </c>
      <c r="D640" t="s">
        <v>54</v>
      </c>
      <c r="E640" t="s">
        <v>59</v>
      </c>
      <c r="F640" t="s">
        <v>467</v>
      </c>
      <c r="G640" t="s">
        <v>468</v>
      </c>
      <c r="H640" t="s">
        <v>257</v>
      </c>
      <c r="I640" t="s">
        <v>36</v>
      </c>
      <c r="J640" t="s">
        <v>47</v>
      </c>
      <c r="K640" s="4">
        <v>7514</v>
      </c>
      <c r="L640" s="4">
        <v>20</v>
      </c>
      <c r="M640" s="4">
        <v>2646</v>
      </c>
      <c r="N640" s="4">
        <v>3373</v>
      </c>
      <c r="O640" s="4">
        <v>3</v>
      </c>
      <c r="P640" s="3">
        <v>6756.2951999999996</v>
      </c>
      <c r="Q640"/>
      <c r="R640"/>
      <c r="S640"/>
      <c r="T640"/>
      <c r="U640"/>
      <c r="V640"/>
      <c r="W640"/>
      <c r="X640"/>
    </row>
    <row r="641" spans="1:24">
      <c r="A641" t="s">
        <v>186</v>
      </c>
      <c r="B641" t="s">
        <v>1157</v>
      </c>
      <c r="D641" t="s">
        <v>54</v>
      </c>
      <c r="E641" t="s">
        <v>59</v>
      </c>
      <c r="F641" t="s">
        <v>530</v>
      </c>
      <c r="G641" t="s">
        <v>531</v>
      </c>
      <c r="H641" t="s">
        <v>242</v>
      </c>
      <c r="I641" t="s">
        <v>38</v>
      </c>
      <c r="J641" t="s">
        <v>47</v>
      </c>
      <c r="K641" s="4">
        <v>8204</v>
      </c>
      <c r="L641" s="4">
        <v>20</v>
      </c>
      <c r="M641" s="4">
        <v>1348</v>
      </c>
      <c r="N641" s="4">
        <v>7832</v>
      </c>
      <c r="O641" s="4">
        <v>1</v>
      </c>
      <c r="P641" s="3">
        <v>5973.3798999999999</v>
      </c>
      <c r="Q641"/>
      <c r="R641"/>
      <c r="S641"/>
      <c r="T641"/>
      <c r="U641"/>
      <c r="V641"/>
      <c r="W641"/>
      <c r="X641"/>
    </row>
    <row r="642" spans="1:24">
      <c r="A642" t="s">
        <v>186</v>
      </c>
      <c r="B642" t="s">
        <v>1157</v>
      </c>
      <c r="C642" t="s">
        <v>1158</v>
      </c>
      <c r="D642" t="s">
        <v>54</v>
      </c>
      <c r="E642" t="s">
        <v>59</v>
      </c>
      <c r="F642" t="s">
        <v>635</v>
      </c>
      <c r="G642" t="s">
        <v>531</v>
      </c>
      <c r="H642" t="s">
        <v>215</v>
      </c>
      <c r="I642" t="s">
        <v>36</v>
      </c>
      <c r="J642" t="s">
        <v>47</v>
      </c>
      <c r="K642" s="4">
        <v>74516</v>
      </c>
      <c r="L642" s="4">
        <v>200</v>
      </c>
      <c r="M642" s="4">
        <v>23985</v>
      </c>
      <c r="N642" s="4">
        <v>63853</v>
      </c>
      <c r="O642" s="4">
        <v>24</v>
      </c>
      <c r="P642" s="3">
        <v>1523.7838999999999</v>
      </c>
      <c r="Q642"/>
      <c r="R642"/>
      <c r="S642"/>
      <c r="T642"/>
      <c r="U642"/>
      <c r="V642"/>
      <c r="W642"/>
      <c r="X642"/>
    </row>
    <row r="643" spans="1:24">
      <c r="A643" t="s">
        <v>186</v>
      </c>
      <c r="B643" t="s">
        <v>1024</v>
      </c>
      <c r="D643" t="s">
        <v>54</v>
      </c>
      <c r="E643" t="s">
        <v>59</v>
      </c>
      <c r="F643" t="s">
        <v>471</v>
      </c>
      <c r="G643" t="s">
        <v>464</v>
      </c>
      <c r="H643" t="s">
        <v>286</v>
      </c>
      <c r="I643" t="s">
        <v>36</v>
      </c>
      <c r="J643" t="s">
        <v>47</v>
      </c>
      <c r="K643" s="4">
        <v>18633</v>
      </c>
      <c r="L643" s="4">
        <v>60</v>
      </c>
      <c r="M643" s="4">
        <v>9424</v>
      </c>
      <c r="N643" s="4">
        <v>18087</v>
      </c>
      <c r="O643" s="4">
        <v>15</v>
      </c>
      <c r="P643" s="3">
        <v>6785.0632999999998</v>
      </c>
      <c r="Q643"/>
      <c r="R643"/>
      <c r="S643"/>
      <c r="T643"/>
      <c r="U643"/>
      <c r="V643"/>
      <c r="W643"/>
      <c r="X643"/>
    </row>
    <row r="644" spans="1:24">
      <c r="A644" t="s">
        <v>186</v>
      </c>
      <c r="B644" t="s">
        <v>1159</v>
      </c>
      <c r="C644" t="s">
        <v>1160</v>
      </c>
      <c r="D644" t="s">
        <v>54</v>
      </c>
      <c r="E644" t="s">
        <v>60</v>
      </c>
      <c r="F644" t="s">
        <v>482</v>
      </c>
      <c r="G644" t="s">
        <v>483</v>
      </c>
      <c r="H644" t="s">
        <v>285</v>
      </c>
      <c r="I644" t="s">
        <v>36</v>
      </c>
      <c r="J644" t="s">
        <v>47</v>
      </c>
      <c r="K644" s="4">
        <v>19093</v>
      </c>
      <c r="L644" s="4">
        <v>50</v>
      </c>
      <c r="M644" s="4">
        <v>9626</v>
      </c>
      <c r="N644" s="4">
        <v>17815</v>
      </c>
      <c r="O644" s="4">
        <v>10</v>
      </c>
      <c r="P644" s="3">
        <v>6612.1457</v>
      </c>
      <c r="Q644"/>
      <c r="R644"/>
      <c r="S644"/>
      <c r="T644"/>
      <c r="U644"/>
      <c r="V644"/>
      <c r="W644"/>
      <c r="X644"/>
    </row>
    <row r="645" spans="1:24">
      <c r="A645" t="s">
        <v>186</v>
      </c>
      <c r="B645" t="s">
        <v>1159</v>
      </c>
      <c r="C645" t="s">
        <v>1161</v>
      </c>
      <c r="D645" t="s">
        <v>54</v>
      </c>
      <c r="E645" t="s">
        <v>60</v>
      </c>
      <c r="F645" t="s">
        <v>480</v>
      </c>
      <c r="G645" t="s">
        <v>460</v>
      </c>
      <c r="H645" t="s">
        <v>237</v>
      </c>
      <c r="I645" t="s">
        <v>42</v>
      </c>
      <c r="J645" t="s">
        <v>47</v>
      </c>
      <c r="K645" s="4">
        <v>149618</v>
      </c>
      <c r="L645" s="4">
        <v>260</v>
      </c>
      <c r="M645" s="4">
        <v>126031</v>
      </c>
      <c r="N645" s="4">
        <v>140596</v>
      </c>
      <c r="O645" s="4">
        <v>26</v>
      </c>
      <c r="P645" s="3">
        <v>6605.5861999999997</v>
      </c>
      <c r="Q645"/>
      <c r="R645"/>
      <c r="S645"/>
      <c r="T645"/>
      <c r="U645"/>
      <c r="V645"/>
      <c r="W645"/>
      <c r="X645"/>
    </row>
    <row r="646" spans="1:24">
      <c r="A646" t="s">
        <v>186</v>
      </c>
      <c r="B646" t="s">
        <v>1159</v>
      </c>
      <c r="C646" t="s">
        <v>1162</v>
      </c>
      <c r="D646" t="s">
        <v>54</v>
      </c>
      <c r="E646" t="s">
        <v>59</v>
      </c>
      <c r="F646" t="s">
        <v>473</v>
      </c>
      <c r="G646" t="s">
        <v>474</v>
      </c>
      <c r="H646" t="s">
        <v>267</v>
      </c>
      <c r="I646" t="s">
        <v>44</v>
      </c>
      <c r="J646" t="s">
        <v>47</v>
      </c>
      <c r="K646" s="4">
        <v>40447</v>
      </c>
      <c r="L646" s="4">
        <v>177</v>
      </c>
      <c r="M646" s="4">
        <v>16663</v>
      </c>
      <c r="N646" s="4">
        <v>29774</v>
      </c>
      <c r="O646" s="4">
        <v>12</v>
      </c>
      <c r="P646" s="3">
        <v>5083.8863000000001</v>
      </c>
      <c r="Q646"/>
      <c r="R646"/>
      <c r="S646"/>
      <c r="T646"/>
      <c r="U646"/>
      <c r="V646"/>
      <c r="W646"/>
      <c r="X646"/>
    </row>
    <row r="647" spans="1:24">
      <c r="A647" t="s">
        <v>186</v>
      </c>
      <c r="B647" t="s">
        <v>1159</v>
      </c>
      <c r="C647" t="s">
        <v>1163</v>
      </c>
      <c r="D647" t="s">
        <v>56</v>
      </c>
      <c r="E647" t="s">
        <v>59</v>
      </c>
      <c r="F647" t="s">
        <v>467</v>
      </c>
      <c r="G647" t="s">
        <v>468</v>
      </c>
      <c r="H647" t="s">
        <v>213</v>
      </c>
      <c r="I647" t="s">
        <v>43</v>
      </c>
      <c r="J647" t="s">
        <v>47</v>
      </c>
      <c r="K647" s="4">
        <v>56945</v>
      </c>
      <c r="L647" s="4">
        <v>152</v>
      </c>
      <c r="M647" s="4">
        <v>20750</v>
      </c>
      <c r="N647" s="4">
        <v>50714</v>
      </c>
      <c r="O647" s="4">
        <v>9</v>
      </c>
      <c r="P647" s="3">
        <v>5144.4744000000001</v>
      </c>
      <c r="Q647"/>
      <c r="R647"/>
      <c r="S647"/>
      <c r="T647"/>
      <c r="U647"/>
      <c r="V647"/>
      <c r="W647"/>
      <c r="X647"/>
    </row>
    <row r="648" spans="1:24">
      <c r="A648" t="s">
        <v>186</v>
      </c>
      <c r="B648" t="s">
        <v>1159</v>
      </c>
      <c r="C648" t="s">
        <v>1164</v>
      </c>
      <c r="D648" t="s">
        <v>56</v>
      </c>
      <c r="E648" t="s">
        <v>57</v>
      </c>
      <c r="F648" t="s">
        <v>467</v>
      </c>
      <c r="G648" t="s">
        <v>468</v>
      </c>
      <c r="H648" t="s">
        <v>248</v>
      </c>
      <c r="I648" t="s">
        <v>38</v>
      </c>
      <c r="J648" t="s">
        <v>47</v>
      </c>
      <c r="K648" s="4">
        <v>8217</v>
      </c>
      <c r="L648" s="4">
        <v>25</v>
      </c>
      <c r="M648" s="4">
        <v>5740</v>
      </c>
      <c r="N648" s="4">
        <v>8009</v>
      </c>
      <c r="O648" s="4">
        <v>11</v>
      </c>
      <c r="P648" s="3">
        <v>6051.3346000000001</v>
      </c>
      <c r="Q648"/>
      <c r="R648"/>
      <c r="S648"/>
      <c r="T648"/>
      <c r="U648"/>
      <c r="V648"/>
      <c r="W648"/>
      <c r="X648"/>
    </row>
    <row r="649" spans="1:24">
      <c r="A649" t="s">
        <v>186</v>
      </c>
      <c r="B649" t="s">
        <v>1025</v>
      </c>
      <c r="C649" t="s">
        <v>1165</v>
      </c>
      <c r="D649" t="s">
        <v>54</v>
      </c>
      <c r="E649" t="s">
        <v>57</v>
      </c>
      <c r="F649" t="s">
        <v>471</v>
      </c>
      <c r="G649" t="s">
        <v>464</v>
      </c>
      <c r="H649" t="s">
        <v>218</v>
      </c>
      <c r="I649" t="s">
        <v>40</v>
      </c>
      <c r="J649" t="s">
        <v>47</v>
      </c>
      <c r="K649" s="4">
        <v>458931</v>
      </c>
      <c r="L649" s="4">
        <v>974</v>
      </c>
      <c r="M649" s="4">
        <v>264325</v>
      </c>
      <c r="N649" s="4">
        <v>378011</v>
      </c>
      <c r="O649" s="4">
        <v>30</v>
      </c>
      <c r="P649" s="3">
        <v>7462.6778999999997</v>
      </c>
      <c r="Q649"/>
      <c r="R649"/>
      <c r="S649"/>
      <c r="T649"/>
      <c r="U649"/>
      <c r="V649"/>
      <c r="W649"/>
      <c r="X649"/>
    </row>
    <row r="650" spans="1:24">
      <c r="A650" t="s">
        <v>186</v>
      </c>
      <c r="B650" t="s">
        <v>1025</v>
      </c>
      <c r="C650" t="s">
        <v>1166</v>
      </c>
      <c r="D650" t="s">
        <v>54</v>
      </c>
      <c r="E650" t="s">
        <v>59</v>
      </c>
      <c r="F650" t="s">
        <v>482</v>
      </c>
      <c r="G650" t="s">
        <v>483</v>
      </c>
      <c r="H650" t="s">
        <v>258</v>
      </c>
      <c r="I650" t="s">
        <v>253</v>
      </c>
      <c r="J650" t="s">
        <v>47</v>
      </c>
      <c r="K650" s="4">
        <v>19334</v>
      </c>
      <c r="L650" s="4">
        <v>40</v>
      </c>
      <c r="M650" s="4">
        <v>8673</v>
      </c>
      <c r="N650" s="4">
        <v>18578</v>
      </c>
      <c r="O650" s="4">
        <v>11</v>
      </c>
      <c r="P650" s="3">
        <v>7292.1351000000004</v>
      </c>
      <c r="Q650"/>
      <c r="R650"/>
      <c r="S650"/>
      <c r="T650"/>
      <c r="U650"/>
      <c r="V650"/>
      <c r="W650"/>
      <c r="X650"/>
    </row>
    <row r="651" spans="1:24">
      <c r="A651" t="s">
        <v>186</v>
      </c>
      <c r="B651" t="s">
        <v>1025</v>
      </c>
      <c r="C651" t="s">
        <v>1146</v>
      </c>
      <c r="D651" t="s">
        <v>56</v>
      </c>
      <c r="E651" t="s">
        <v>57</v>
      </c>
      <c r="F651" t="s">
        <v>482</v>
      </c>
      <c r="G651" t="s">
        <v>483</v>
      </c>
      <c r="H651" t="s">
        <v>279</v>
      </c>
      <c r="I651" t="s">
        <v>40</v>
      </c>
      <c r="J651" t="s">
        <v>48</v>
      </c>
      <c r="K651" s="4">
        <v>19379</v>
      </c>
      <c r="L651" s="4">
        <v>49</v>
      </c>
      <c r="M651" s="4">
        <v>12168</v>
      </c>
      <c r="N651" s="4">
        <v>16616</v>
      </c>
      <c r="O651" s="4">
        <v>97</v>
      </c>
      <c r="P651" s="3">
        <v>7294.1</v>
      </c>
      <c r="Q651"/>
      <c r="R651"/>
      <c r="S651"/>
      <c r="T651"/>
      <c r="U651"/>
      <c r="V651"/>
      <c r="W651"/>
      <c r="X651"/>
    </row>
    <row r="652" spans="1:24">
      <c r="A652" t="s">
        <v>186</v>
      </c>
      <c r="B652" t="s">
        <v>1025</v>
      </c>
      <c r="C652" t="s">
        <v>1167</v>
      </c>
      <c r="D652" t="s">
        <v>56</v>
      </c>
      <c r="E652" t="s">
        <v>60</v>
      </c>
      <c r="F652" t="s">
        <v>482</v>
      </c>
      <c r="G652" t="s">
        <v>483</v>
      </c>
      <c r="H652" t="s">
        <v>211</v>
      </c>
      <c r="I652" t="s">
        <v>38</v>
      </c>
      <c r="J652" t="s">
        <v>47</v>
      </c>
      <c r="K652" s="4">
        <v>1956642</v>
      </c>
      <c r="L652" s="4">
        <v>4563</v>
      </c>
      <c r="M652" s="4">
        <v>981461</v>
      </c>
      <c r="N652" s="4">
        <v>1731673</v>
      </c>
      <c r="O652" s="4">
        <v>106</v>
      </c>
      <c r="P652" s="3">
        <v>7730.2406000000001</v>
      </c>
      <c r="Q652"/>
      <c r="R652"/>
      <c r="S652"/>
      <c r="T652"/>
      <c r="U652"/>
      <c r="V652"/>
      <c r="W652"/>
      <c r="X652"/>
    </row>
    <row r="653" spans="1:24">
      <c r="A653" t="s">
        <v>186</v>
      </c>
      <c r="B653" t="s">
        <v>1025</v>
      </c>
      <c r="C653" t="s">
        <v>1168</v>
      </c>
      <c r="D653" t="s">
        <v>56</v>
      </c>
      <c r="E653" t="s">
        <v>55</v>
      </c>
      <c r="F653" t="s">
        <v>471</v>
      </c>
      <c r="G653" t="s">
        <v>464</v>
      </c>
      <c r="H653" t="s">
        <v>247</v>
      </c>
      <c r="I653" t="s">
        <v>313</v>
      </c>
      <c r="J653" t="s">
        <v>49</v>
      </c>
      <c r="K653" s="4">
        <v>10066</v>
      </c>
      <c r="L653" s="4">
        <v>63</v>
      </c>
      <c r="M653" s="4">
        <v>6978</v>
      </c>
      <c r="N653" s="4">
        <v>9369</v>
      </c>
      <c r="O653" s="4">
        <v>19</v>
      </c>
      <c r="P653" s="3">
        <v>6879.5870999999997</v>
      </c>
      <c r="Q653"/>
      <c r="R653"/>
      <c r="S653"/>
      <c r="T653"/>
      <c r="U653"/>
      <c r="V653"/>
      <c r="W653"/>
      <c r="X653"/>
    </row>
    <row r="654" spans="1:24">
      <c r="A654" t="s">
        <v>186</v>
      </c>
      <c r="B654" t="s">
        <v>1169</v>
      </c>
      <c r="D654" t="s">
        <v>54</v>
      </c>
      <c r="E654" t="s">
        <v>57</v>
      </c>
      <c r="F654" t="s">
        <v>540</v>
      </c>
      <c r="G654" t="s">
        <v>468</v>
      </c>
      <c r="H654" t="s">
        <v>276</v>
      </c>
      <c r="I654" t="s">
        <v>36</v>
      </c>
      <c r="J654" t="s">
        <v>47</v>
      </c>
      <c r="K654" s="4">
        <v>22180</v>
      </c>
      <c r="L654" s="4">
        <v>60</v>
      </c>
      <c r="M654" s="4">
        <v>4835</v>
      </c>
      <c r="N654" s="4">
        <v>19291</v>
      </c>
      <c r="O654" s="4">
        <v>9</v>
      </c>
      <c r="P654" s="3">
        <v>1441.6311000000001</v>
      </c>
      <c r="Q654"/>
      <c r="R654"/>
      <c r="S654"/>
      <c r="T654"/>
      <c r="U654"/>
      <c r="V654"/>
      <c r="W654"/>
      <c r="X654"/>
    </row>
    <row r="655" spans="1:24">
      <c r="A655" t="s">
        <v>186</v>
      </c>
      <c r="B655" t="s">
        <v>1170</v>
      </c>
      <c r="C655" t="s">
        <v>1171</v>
      </c>
      <c r="D655" t="s">
        <v>54</v>
      </c>
      <c r="E655" t="s">
        <v>60</v>
      </c>
      <c r="F655" t="s">
        <v>482</v>
      </c>
      <c r="G655" t="s">
        <v>483</v>
      </c>
      <c r="H655" t="s">
        <v>452</v>
      </c>
      <c r="I655" t="s">
        <v>451</v>
      </c>
      <c r="J655" t="s">
        <v>47</v>
      </c>
      <c r="K655" s="4">
        <v>13655</v>
      </c>
      <c r="L655" s="4">
        <v>66</v>
      </c>
      <c r="M655" s="4">
        <v>9519</v>
      </c>
      <c r="N655" s="4">
        <v>13041</v>
      </c>
      <c r="O655" s="4">
        <v>3</v>
      </c>
      <c r="P655" s="3">
        <v>1475.2451000000001</v>
      </c>
      <c r="Q655"/>
      <c r="R655"/>
      <c r="S655"/>
      <c r="T655"/>
      <c r="U655"/>
      <c r="V655"/>
      <c r="W655"/>
      <c r="X655"/>
    </row>
    <row r="656" spans="1:24">
      <c r="A656" t="s">
        <v>186</v>
      </c>
      <c r="B656" t="s">
        <v>1170</v>
      </c>
      <c r="C656" t="s">
        <v>1172</v>
      </c>
      <c r="D656" t="s">
        <v>56</v>
      </c>
      <c r="E656" t="s">
        <v>57</v>
      </c>
      <c r="F656" t="s">
        <v>471</v>
      </c>
      <c r="G656" t="s">
        <v>464</v>
      </c>
      <c r="H656" t="s">
        <v>213</v>
      </c>
      <c r="I656" t="s">
        <v>36</v>
      </c>
      <c r="J656" t="s">
        <v>47</v>
      </c>
      <c r="K656" s="4">
        <v>23983</v>
      </c>
      <c r="L656" s="4">
        <v>0</v>
      </c>
      <c r="M656" s="4">
        <v>464</v>
      </c>
      <c r="N656" s="4">
        <v>19802</v>
      </c>
      <c r="O656" s="4">
        <v>9</v>
      </c>
      <c r="P656" s="3">
        <v>4574.3482999999997</v>
      </c>
      <c r="Q656"/>
      <c r="R656"/>
      <c r="S656"/>
      <c r="T656"/>
      <c r="U656"/>
      <c r="V656"/>
      <c r="W656"/>
      <c r="X656"/>
    </row>
    <row r="657" spans="1:24">
      <c r="A657" t="s">
        <v>186</v>
      </c>
      <c r="B657" t="s">
        <v>1173</v>
      </c>
      <c r="C657" t="s">
        <v>1174</v>
      </c>
      <c r="D657" t="s">
        <v>56</v>
      </c>
      <c r="E657" t="s">
        <v>59</v>
      </c>
      <c r="F657" t="s">
        <v>467</v>
      </c>
      <c r="G657" t="s">
        <v>468</v>
      </c>
      <c r="H657" t="s">
        <v>211</v>
      </c>
      <c r="I657" t="s">
        <v>36</v>
      </c>
      <c r="J657" t="s">
        <v>47</v>
      </c>
      <c r="K657" s="4">
        <v>470192</v>
      </c>
      <c r="L657" s="4">
        <v>940</v>
      </c>
      <c r="M657" s="4">
        <v>336480</v>
      </c>
      <c r="N657" s="4">
        <v>443202</v>
      </c>
      <c r="O657" s="4">
        <v>3</v>
      </c>
      <c r="P657" s="3">
        <v>4963.9663</v>
      </c>
      <c r="Q657"/>
      <c r="R657"/>
      <c r="S657"/>
      <c r="T657"/>
      <c r="U657"/>
      <c r="V657"/>
      <c r="W657"/>
      <c r="X657"/>
    </row>
    <row r="658" spans="1:24">
      <c r="A658" t="s">
        <v>186</v>
      </c>
      <c r="B658" t="s">
        <v>1173</v>
      </c>
      <c r="C658" t="s">
        <v>1175</v>
      </c>
      <c r="D658" t="s">
        <v>54</v>
      </c>
      <c r="E658" t="s">
        <v>60</v>
      </c>
      <c r="F658" t="s">
        <v>463</v>
      </c>
      <c r="G658" t="s">
        <v>464</v>
      </c>
      <c r="H658" t="s">
        <v>286</v>
      </c>
      <c r="I658" t="s">
        <v>36</v>
      </c>
      <c r="J658" t="s">
        <v>47</v>
      </c>
      <c r="K658" s="4">
        <v>29251</v>
      </c>
      <c r="L658" s="4">
        <v>95</v>
      </c>
      <c r="M658" s="4">
        <v>25060</v>
      </c>
      <c r="N658" s="4">
        <v>28038</v>
      </c>
      <c r="O658" s="4">
        <v>8</v>
      </c>
      <c r="P658" s="3">
        <v>5994.7467999999999</v>
      </c>
      <c r="Q658"/>
      <c r="R658"/>
      <c r="S658"/>
      <c r="T658"/>
      <c r="U658"/>
      <c r="V658"/>
      <c r="W658"/>
      <c r="X658"/>
    </row>
    <row r="659" spans="1:24">
      <c r="A659" t="s">
        <v>188</v>
      </c>
      <c r="D659" t="s">
        <v>54</v>
      </c>
      <c r="E659" t="s">
        <v>57</v>
      </c>
      <c r="F659" t="s">
        <v>497</v>
      </c>
      <c r="G659" t="s">
        <v>460</v>
      </c>
      <c r="H659" t="s">
        <v>219</v>
      </c>
      <c r="I659" t="s">
        <v>36</v>
      </c>
      <c r="J659" t="s">
        <v>47</v>
      </c>
      <c r="K659" s="4">
        <v>29092</v>
      </c>
      <c r="L659" s="4">
        <v>75</v>
      </c>
      <c r="M659" s="4">
        <v>16986</v>
      </c>
      <c r="N659" s="4">
        <v>26606</v>
      </c>
      <c r="O659" s="4">
        <v>15</v>
      </c>
      <c r="P659" s="3">
        <v>1801.0581</v>
      </c>
      <c r="Q659"/>
      <c r="R659"/>
      <c r="S659"/>
      <c r="T659"/>
      <c r="U659"/>
      <c r="V659"/>
      <c r="W659"/>
      <c r="X659"/>
    </row>
    <row r="660" spans="1:24">
      <c r="A660" t="s">
        <v>190</v>
      </c>
      <c r="B660" t="s">
        <v>961</v>
      </c>
      <c r="C660" t="s">
        <v>1176</v>
      </c>
      <c r="D660" t="s">
        <v>56</v>
      </c>
      <c r="E660" t="s">
        <v>60</v>
      </c>
      <c r="F660" t="s">
        <v>482</v>
      </c>
      <c r="G660" t="s">
        <v>483</v>
      </c>
      <c r="H660" t="s">
        <v>236</v>
      </c>
      <c r="I660" t="s">
        <v>36</v>
      </c>
      <c r="J660" t="s">
        <v>47</v>
      </c>
      <c r="K660" s="4">
        <v>312206</v>
      </c>
      <c r="L660" s="4">
        <v>841</v>
      </c>
      <c r="M660" s="4">
        <v>35661</v>
      </c>
      <c r="N660" s="4">
        <v>292992</v>
      </c>
      <c r="O660" s="4">
        <v>5</v>
      </c>
      <c r="P660" s="3">
        <v>1550.9383</v>
      </c>
      <c r="Q660"/>
      <c r="R660"/>
      <c r="S660"/>
      <c r="T660"/>
      <c r="U660"/>
      <c r="V660"/>
      <c r="W660"/>
      <c r="X660"/>
    </row>
    <row r="661" spans="1:24">
      <c r="A661" t="s">
        <v>192</v>
      </c>
      <c r="D661" t="s">
        <v>54</v>
      </c>
      <c r="E661" t="s">
        <v>59</v>
      </c>
      <c r="F661" t="s">
        <v>1036</v>
      </c>
      <c r="G661" t="s">
        <v>613</v>
      </c>
      <c r="H661" t="s">
        <v>237</v>
      </c>
      <c r="I661" t="s">
        <v>36</v>
      </c>
      <c r="J661" t="s">
        <v>47</v>
      </c>
      <c r="K661" s="4">
        <v>65380</v>
      </c>
      <c r="L661" s="4">
        <v>208</v>
      </c>
      <c r="M661" s="4">
        <v>30039</v>
      </c>
      <c r="N661" s="4">
        <v>60482</v>
      </c>
      <c r="O661" s="4">
        <v>5</v>
      </c>
      <c r="P661" s="3">
        <v>2905.8842</v>
      </c>
      <c r="Q661"/>
      <c r="R661"/>
      <c r="S661"/>
      <c r="T661"/>
      <c r="U661"/>
      <c r="V661"/>
      <c r="W661"/>
      <c r="X661"/>
    </row>
    <row r="662" spans="1:24">
      <c r="A662" t="s">
        <v>192</v>
      </c>
      <c r="B662" t="s">
        <v>1177</v>
      </c>
      <c r="D662" t="s">
        <v>54</v>
      </c>
      <c r="E662" t="s">
        <v>57</v>
      </c>
      <c r="F662" t="s">
        <v>570</v>
      </c>
      <c r="G662" t="s">
        <v>460</v>
      </c>
      <c r="H662" t="s">
        <v>375</v>
      </c>
      <c r="I662" t="s">
        <v>36</v>
      </c>
      <c r="J662" t="s">
        <v>47</v>
      </c>
      <c r="K662" s="4">
        <v>29393</v>
      </c>
      <c r="L662" s="4">
        <v>70</v>
      </c>
      <c r="M662" s="4">
        <v>3277</v>
      </c>
      <c r="N662" s="4">
        <v>25959</v>
      </c>
      <c r="O662" s="4">
        <v>19</v>
      </c>
      <c r="P662" s="3">
        <v>2120.7577000000001</v>
      </c>
      <c r="Q662"/>
      <c r="R662"/>
      <c r="S662"/>
      <c r="T662"/>
      <c r="U662"/>
      <c r="V662"/>
      <c r="W662"/>
      <c r="X662"/>
    </row>
    <row r="663" spans="1:24">
      <c r="A663" t="s">
        <v>194</v>
      </c>
      <c r="B663" t="s">
        <v>1178</v>
      </c>
      <c r="D663" t="s">
        <v>56</v>
      </c>
      <c r="E663" t="s">
        <v>55</v>
      </c>
      <c r="F663" t="s">
        <v>486</v>
      </c>
      <c r="G663" t="s">
        <v>487</v>
      </c>
      <c r="H663" t="s">
        <v>231</v>
      </c>
      <c r="I663" t="s">
        <v>40</v>
      </c>
      <c r="J663" t="s">
        <v>49</v>
      </c>
      <c r="K663" s="4">
        <v>11269</v>
      </c>
      <c r="L663" s="4">
        <v>63</v>
      </c>
      <c r="M663" s="4">
        <v>4992</v>
      </c>
      <c r="N663" s="4">
        <v>10245</v>
      </c>
      <c r="O663" s="4">
        <v>3</v>
      </c>
      <c r="P663" s="3">
        <v>1576.3892000000001</v>
      </c>
      <c r="Q663"/>
      <c r="R663"/>
      <c r="S663"/>
      <c r="T663"/>
      <c r="U663"/>
      <c r="V663"/>
      <c r="W663"/>
      <c r="X663"/>
    </row>
    <row r="664" spans="1:24">
      <c r="A664" t="s">
        <v>196</v>
      </c>
      <c r="B664" t="s">
        <v>1179</v>
      </c>
      <c r="D664" t="s">
        <v>56</v>
      </c>
      <c r="E664" t="s">
        <v>57</v>
      </c>
      <c r="F664" t="s">
        <v>506</v>
      </c>
      <c r="G664" t="s">
        <v>474</v>
      </c>
      <c r="H664" t="s">
        <v>233</v>
      </c>
      <c r="I664" t="s">
        <v>36</v>
      </c>
      <c r="J664" t="s">
        <v>48</v>
      </c>
      <c r="K664" s="4">
        <v>127090</v>
      </c>
      <c r="L664" s="4">
        <v>299</v>
      </c>
      <c r="M664" s="4">
        <v>30178</v>
      </c>
      <c r="N664" s="4">
        <v>113438</v>
      </c>
      <c r="O664" s="4">
        <v>24</v>
      </c>
      <c r="P664" s="3">
        <v>5808.9112999999998</v>
      </c>
      <c r="Q664"/>
      <c r="R664"/>
      <c r="S664"/>
      <c r="T664"/>
      <c r="U664"/>
      <c r="V664"/>
      <c r="W664"/>
      <c r="X664"/>
    </row>
    <row r="665" spans="1:24">
      <c r="A665" t="s">
        <v>196</v>
      </c>
      <c r="B665" t="s">
        <v>1180</v>
      </c>
      <c r="D665" t="s">
        <v>56</v>
      </c>
      <c r="E665" t="s">
        <v>55</v>
      </c>
      <c r="F665" t="s">
        <v>471</v>
      </c>
      <c r="G665" t="s">
        <v>464</v>
      </c>
      <c r="H665" t="s">
        <v>231</v>
      </c>
      <c r="I665" t="s">
        <v>36</v>
      </c>
      <c r="J665" t="s">
        <v>47</v>
      </c>
      <c r="K665" s="4">
        <v>224877</v>
      </c>
      <c r="L665" s="4">
        <v>805</v>
      </c>
      <c r="M665" s="4">
        <v>121175</v>
      </c>
      <c r="N665" s="4">
        <v>213280</v>
      </c>
      <c r="O665" s="4">
        <v>11</v>
      </c>
      <c r="P665" s="3">
        <v>7360.9930000000004</v>
      </c>
      <c r="Q665"/>
      <c r="R665"/>
      <c r="S665"/>
      <c r="T665"/>
      <c r="U665"/>
      <c r="V665"/>
      <c r="W665"/>
      <c r="X665"/>
    </row>
    <row r="666" spans="1:24">
      <c r="A666" t="s">
        <v>196</v>
      </c>
      <c r="B666" t="s">
        <v>1181</v>
      </c>
      <c r="D666" t="s">
        <v>54</v>
      </c>
      <c r="E666" t="s">
        <v>57</v>
      </c>
      <c r="F666" t="s">
        <v>486</v>
      </c>
      <c r="G666" t="s">
        <v>487</v>
      </c>
      <c r="H666" t="s">
        <v>402</v>
      </c>
      <c r="I666" t="s">
        <v>36</v>
      </c>
      <c r="J666" t="s">
        <v>47</v>
      </c>
      <c r="K666" s="4">
        <v>12161</v>
      </c>
      <c r="L666" s="4">
        <v>20</v>
      </c>
      <c r="M666" s="4">
        <v>6284</v>
      </c>
      <c r="N666" s="4">
        <v>10919</v>
      </c>
      <c r="O666" s="4">
        <v>4</v>
      </c>
      <c r="P666" s="3">
        <v>7273.2659999999996</v>
      </c>
      <c r="Q666"/>
      <c r="R666"/>
      <c r="S666"/>
      <c r="T666"/>
      <c r="U666"/>
      <c r="V666"/>
      <c r="W666"/>
      <c r="X666"/>
    </row>
    <row r="667" spans="1:24">
      <c r="A667" t="s">
        <v>196</v>
      </c>
      <c r="B667" t="s">
        <v>1182</v>
      </c>
      <c r="C667" t="s">
        <v>1183</v>
      </c>
      <c r="D667" t="s">
        <v>54</v>
      </c>
      <c r="E667" t="s">
        <v>59</v>
      </c>
      <c r="F667" t="s">
        <v>482</v>
      </c>
      <c r="G667" t="s">
        <v>483</v>
      </c>
      <c r="H667" t="s">
        <v>211</v>
      </c>
      <c r="I667" t="s">
        <v>42</v>
      </c>
      <c r="J667" t="s">
        <v>47</v>
      </c>
      <c r="K667" s="4">
        <v>1010148</v>
      </c>
      <c r="L667" s="4">
        <v>2874</v>
      </c>
      <c r="M667" s="4">
        <v>699834</v>
      </c>
      <c r="N667" s="4">
        <v>955905</v>
      </c>
      <c r="O667" s="4">
        <v>31</v>
      </c>
      <c r="P667" s="3">
        <v>7788.7016000000003</v>
      </c>
      <c r="Q667"/>
      <c r="R667"/>
      <c r="S667"/>
      <c r="T667"/>
      <c r="U667"/>
      <c r="V667"/>
      <c r="W667"/>
      <c r="X667"/>
    </row>
    <row r="668" spans="1:24">
      <c r="A668" t="s">
        <v>196</v>
      </c>
      <c r="B668" t="s">
        <v>1184</v>
      </c>
      <c r="D668" t="s">
        <v>56</v>
      </c>
      <c r="E668" t="s">
        <v>55</v>
      </c>
      <c r="F668" t="s">
        <v>473</v>
      </c>
      <c r="G668" t="s">
        <v>474</v>
      </c>
      <c r="H668" t="s">
        <v>257</v>
      </c>
      <c r="I668" t="s">
        <v>40</v>
      </c>
      <c r="J668" t="s">
        <v>47</v>
      </c>
      <c r="K668" s="4">
        <v>103665</v>
      </c>
      <c r="L668" s="4">
        <v>270</v>
      </c>
      <c r="M668" s="4">
        <v>77283</v>
      </c>
      <c r="N668" s="4">
        <v>94019</v>
      </c>
      <c r="O668" s="4">
        <v>4</v>
      </c>
      <c r="P668" s="3">
        <v>5284.6855999999998</v>
      </c>
      <c r="Q668"/>
      <c r="R668"/>
      <c r="S668"/>
      <c r="T668"/>
      <c r="U668"/>
      <c r="V668"/>
      <c r="W668"/>
      <c r="X668"/>
    </row>
    <row r="669" spans="1:24">
      <c r="A669" t="s">
        <v>196</v>
      </c>
      <c r="B669" t="s">
        <v>1185</v>
      </c>
      <c r="D669" t="s">
        <v>54</v>
      </c>
      <c r="E669" t="s">
        <v>57</v>
      </c>
      <c r="F669" t="s">
        <v>467</v>
      </c>
      <c r="G669" t="s">
        <v>468</v>
      </c>
      <c r="H669" t="s">
        <v>291</v>
      </c>
      <c r="I669" t="s">
        <v>40</v>
      </c>
      <c r="J669" t="s">
        <v>47</v>
      </c>
      <c r="K669" s="4">
        <v>27032</v>
      </c>
      <c r="L669" s="4">
        <v>110</v>
      </c>
      <c r="M669" s="4">
        <v>21893</v>
      </c>
      <c r="N669" s="4">
        <v>26127</v>
      </c>
      <c r="O669" s="4">
        <v>5</v>
      </c>
      <c r="P669" s="3">
        <v>5292.8968999999997</v>
      </c>
      <c r="Q669"/>
      <c r="R669"/>
      <c r="S669"/>
      <c r="T669"/>
      <c r="U669"/>
      <c r="V669"/>
      <c r="W669"/>
      <c r="X669"/>
    </row>
    <row r="670" spans="1:24">
      <c r="A670" t="s">
        <v>196</v>
      </c>
      <c r="B670" t="s">
        <v>1186</v>
      </c>
      <c r="D670" t="s">
        <v>54</v>
      </c>
      <c r="E670" t="s">
        <v>57</v>
      </c>
      <c r="F670" t="s">
        <v>644</v>
      </c>
      <c r="G670" t="s">
        <v>464</v>
      </c>
      <c r="H670" t="s">
        <v>248</v>
      </c>
      <c r="I670" t="s">
        <v>214</v>
      </c>
      <c r="J670" t="s">
        <v>47</v>
      </c>
      <c r="K670" s="4">
        <v>7530</v>
      </c>
      <c r="L670" s="4">
        <v>20</v>
      </c>
      <c r="M670" s="4">
        <v>5468</v>
      </c>
      <c r="N670" s="4">
        <v>7298</v>
      </c>
      <c r="O670" s="4">
        <v>3</v>
      </c>
      <c r="P670" s="3">
        <v>5038.7141000000001</v>
      </c>
      <c r="Q670"/>
      <c r="R670"/>
      <c r="S670"/>
      <c r="T670"/>
      <c r="U670"/>
      <c r="V670"/>
      <c r="W670"/>
      <c r="X670"/>
    </row>
    <row r="671" spans="1:24">
      <c r="A671" t="s">
        <v>196</v>
      </c>
      <c r="B671" t="s">
        <v>1187</v>
      </c>
      <c r="D671" t="s">
        <v>56</v>
      </c>
      <c r="E671" t="s">
        <v>59</v>
      </c>
      <c r="F671" t="s">
        <v>473</v>
      </c>
      <c r="G671" t="s">
        <v>474</v>
      </c>
      <c r="H671" t="s">
        <v>218</v>
      </c>
      <c r="I671" t="s">
        <v>43</v>
      </c>
      <c r="J671" t="s">
        <v>47</v>
      </c>
      <c r="K671" s="4">
        <v>1575592</v>
      </c>
      <c r="L671" s="4">
        <v>3874</v>
      </c>
      <c r="M671" s="4">
        <v>1155869</v>
      </c>
      <c r="N671" s="4">
        <v>1447900</v>
      </c>
      <c r="O671" s="4">
        <v>88</v>
      </c>
      <c r="P671" s="3">
        <v>7818.6482999999998</v>
      </c>
      <c r="Q671"/>
      <c r="R671"/>
      <c r="S671"/>
      <c r="T671"/>
      <c r="U671"/>
      <c r="V671"/>
      <c r="W671"/>
      <c r="X671"/>
    </row>
    <row r="672" spans="1:24">
      <c r="A672" t="s">
        <v>196</v>
      </c>
      <c r="B672" t="s">
        <v>1188</v>
      </c>
      <c r="D672" t="s">
        <v>58</v>
      </c>
      <c r="E672" t="s">
        <v>60</v>
      </c>
      <c r="F672" t="s">
        <v>482</v>
      </c>
      <c r="G672" t="s">
        <v>483</v>
      </c>
      <c r="H672" t="s">
        <v>264</v>
      </c>
      <c r="I672" t="s">
        <v>36</v>
      </c>
      <c r="J672" t="s">
        <v>47</v>
      </c>
      <c r="K672" s="4">
        <v>58938</v>
      </c>
      <c r="L672" s="4">
        <v>175</v>
      </c>
      <c r="M672" s="4">
        <v>41861</v>
      </c>
      <c r="N672" s="4">
        <v>55929</v>
      </c>
      <c r="O672" s="4">
        <v>9</v>
      </c>
      <c r="P672" s="3">
        <v>4881.1983</v>
      </c>
      <c r="Q672"/>
      <c r="R672"/>
      <c r="S672"/>
      <c r="T672"/>
      <c r="U672"/>
      <c r="V672"/>
      <c r="W672"/>
      <c r="X672"/>
    </row>
    <row r="673" spans="1:24">
      <c r="A673" t="s">
        <v>196</v>
      </c>
      <c r="B673" t="s">
        <v>1189</v>
      </c>
      <c r="D673" t="s">
        <v>56</v>
      </c>
      <c r="E673" t="s">
        <v>57</v>
      </c>
      <c r="F673" t="s">
        <v>551</v>
      </c>
      <c r="G673" t="s">
        <v>487</v>
      </c>
      <c r="H673" t="s">
        <v>211</v>
      </c>
      <c r="I673" t="s">
        <v>36</v>
      </c>
      <c r="J673" t="s">
        <v>47</v>
      </c>
      <c r="K673" s="4">
        <v>14730</v>
      </c>
      <c r="L673" s="4">
        <v>86</v>
      </c>
      <c r="M673" s="4">
        <v>6410</v>
      </c>
      <c r="N673" s="4">
        <v>10860</v>
      </c>
      <c r="O673" s="4">
        <v>6</v>
      </c>
      <c r="P673" s="3">
        <v>5287.5675000000001</v>
      </c>
      <c r="Q673"/>
      <c r="R673"/>
      <c r="S673"/>
      <c r="T673"/>
      <c r="U673"/>
      <c r="V673"/>
      <c r="W673"/>
      <c r="X673"/>
    </row>
    <row r="674" spans="1:24">
      <c r="A674" t="s">
        <v>196</v>
      </c>
      <c r="B674" t="s">
        <v>1190</v>
      </c>
      <c r="D674" t="s">
        <v>54</v>
      </c>
      <c r="E674" t="s">
        <v>59</v>
      </c>
      <c r="F674" t="s">
        <v>467</v>
      </c>
      <c r="G674" t="s">
        <v>468</v>
      </c>
      <c r="H674" t="s">
        <v>346</v>
      </c>
      <c r="I674" t="s">
        <v>36</v>
      </c>
      <c r="J674" t="s">
        <v>47</v>
      </c>
      <c r="K674" s="4">
        <v>12209</v>
      </c>
      <c r="L674" s="4">
        <v>147</v>
      </c>
      <c r="M674" s="4">
        <v>3976</v>
      </c>
      <c r="N674" s="4">
        <v>5219</v>
      </c>
      <c r="O674" s="4">
        <v>4</v>
      </c>
      <c r="P674" s="3">
        <v>3818.9551999999999</v>
      </c>
      <c r="Q674"/>
      <c r="R674"/>
      <c r="S674"/>
      <c r="T674"/>
      <c r="U674"/>
      <c r="V674"/>
      <c r="W674"/>
      <c r="X674"/>
    </row>
    <row r="675" spans="1:24">
      <c r="A675" t="s">
        <v>196</v>
      </c>
      <c r="B675" t="s">
        <v>1191</v>
      </c>
      <c r="D675" t="s">
        <v>56</v>
      </c>
      <c r="E675" t="s">
        <v>60</v>
      </c>
      <c r="F675" t="s">
        <v>467</v>
      </c>
      <c r="G675" t="s">
        <v>468</v>
      </c>
      <c r="H675" t="s">
        <v>244</v>
      </c>
      <c r="I675" t="s">
        <v>36</v>
      </c>
      <c r="J675" t="s">
        <v>48</v>
      </c>
      <c r="K675" s="4">
        <v>27202</v>
      </c>
      <c r="L675" s="4">
        <v>70</v>
      </c>
      <c r="M675" s="4">
        <v>5202</v>
      </c>
      <c r="N675" s="4">
        <v>23474</v>
      </c>
      <c r="O675" s="4">
        <v>11</v>
      </c>
      <c r="P675" s="3">
        <v>4253.9790999999996</v>
      </c>
      <c r="Q675"/>
      <c r="R675"/>
      <c r="S675"/>
      <c r="T675"/>
      <c r="U675"/>
      <c r="V675"/>
      <c r="W675"/>
      <c r="X675"/>
    </row>
    <row r="676" spans="1:24">
      <c r="A676" t="s">
        <v>196</v>
      </c>
      <c r="B676" t="s">
        <v>1192</v>
      </c>
      <c r="D676" t="s">
        <v>56</v>
      </c>
      <c r="E676" t="s">
        <v>57</v>
      </c>
      <c r="F676" t="s">
        <v>467</v>
      </c>
      <c r="G676" t="s">
        <v>468</v>
      </c>
      <c r="H676" t="s">
        <v>217</v>
      </c>
      <c r="I676" t="s">
        <v>445</v>
      </c>
      <c r="J676" t="s">
        <v>49</v>
      </c>
      <c r="K676" s="4">
        <v>42755</v>
      </c>
      <c r="L676" s="4">
        <v>117</v>
      </c>
      <c r="M676" s="4">
        <v>36503</v>
      </c>
      <c r="N676" s="4">
        <v>40051</v>
      </c>
      <c r="O676" s="4">
        <v>12</v>
      </c>
      <c r="P676" s="3">
        <v>6550.3029999999999</v>
      </c>
      <c r="Q676"/>
      <c r="R676"/>
      <c r="S676"/>
      <c r="T676"/>
      <c r="U676"/>
      <c r="V676"/>
      <c r="W676"/>
      <c r="X676"/>
    </row>
    <row r="677" spans="1:24">
      <c r="A677" t="s">
        <v>196</v>
      </c>
      <c r="B677" t="s">
        <v>1193</v>
      </c>
      <c r="D677" t="s">
        <v>54</v>
      </c>
      <c r="E677" t="s">
        <v>55</v>
      </c>
      <c r="F677" t="s">
        <v>467</v>
      </c>
      <c r="G677" t="s">
        <v>468</v>
      </c>
      <c r="H677" t="s">
        <v>371</v>
      </c>
      <c r="I677" t="s">
        <v>36</v>
      </c>
      <c r="J677" t="s">
        <v>47</v>
      </c>
      <c r="K677" s="4">
        <v>42759</v>
      </c>
      <c r="L677" s="4">
        <v>177</v>
      </c>
      <c r="M677" s="4">
        <v>17744</v>
      </c>
      <c r="N677" s="4">
        <v>34812</v>
      </c>
      <c r="O677" s="4">
        <v>12</v>
      </c>
      <c r="P677" s="3">
        <v>6316.4880999999996</v>
      </c>
      <c r="Q677"/>
      <c r="R677"/>
      <c r="S677"/>
      <c r="T677"/>
      <c r="U677"/>
      <c r="V677"/>
      <c r="W677"/>
      <c r="X677"/>
    </row>
    <row r="678" spans="1:24">
      <c r="A678" t="s">
        <v>196</v>
      </c>
      <c r="B678" t="s">
        <v>1194</v>
      </c>
      <c r="D678" t="s">
        <v>54</v>
      </c>
      <c r="E678" t="s">
        <v>57</v>
      </c>
      <c r="F678" t="s">
        <v>556</v>
      </c>
      <c r="G678" t="s">
        <v>464</v>
      </c>
      <c r="H678" t="s">
        <v>433</v>
      </c>
      <c r="I678" t="s">
        <v>42</v>
      </c>
      <c r="J678" t="s">
        <v>47</v>
      </c>
      <c r="K678" s="4">
        <v>27371</v>
      </c>
      <c r="L678" s="4">
        <v>60</v>
      </c>
      <c r="M678" s="4">
        <v>22256</v>
      </c>
      <c r="N678" s="4">
        <v>25986</v>
      </c>
      <c r="O678" s="4">
        <v>5</v>
      </c>
      <c r="P678" s="3">
        <v>4984.4856</v>
      </c>
      <c r="Q678"/>
      <c r="R678"/>
      <c r="S678"/>
      <c r="T678"/>
      <c r="U678"/>
      <c r="V678"/>
      <c r="W678"/>
      <c r="X678"/>
    </row>
    <row r="679" spans="1:24">
      <c r="A679" t="s">
        <v>196</v>
      </c>
      <c r="B679" t="s">
        <v>1195</v>
      </c>
      <c r="D679" t="s">
        <v>56</v>
      </c>
      <c r="E679" t="s">
        <v>55</v>
      </c>
      <c r="F679" t="s">
        <v>519</v>
      </c>
      <c r="G679" t="s">
        <v>460</v>
      </c>
      <c r="H679" t="s">
        <v>254</v>
      </c>
      <c r="I679" t="s">
        <v>36</v>
      </c>
      <c r="J679" t="s">
        <v>49</v>
      </c>
      <c r="K679" s="4">
        <v>45668</v>
      </c>
      <c r="L679" s="4">
        <v>130</v>
      </c>
      <c r="M679" s="4">
        <v>16872</v>
      </c>
      <c r="N679" s="4">
        <v>32085</v>
      </c>
      <c r="O679" s="4">
        <v>9</v>
      </c>
      <c r="P679" s="3">
        <v>3444.2029000000002</v>
      </c>
      <c r="Q679"/>
      <c r="R679"/>
      <c r="S679"/>
      <c r="T679"/>
      <c r="U679"/>
      <c r="V679"/>
      <c r="W679"/>
      <c r="X679"/>
    </row>
    <row r="680" spans="1:24">
      <c r="A680" t="s">
        <v>196</v>
      </c>
      <c r="B680" t="s">
        <v>1196</v>
      </c>
      <c r="D680" t="s">
        <v>54</v>
      </c>
      <c r="E680" t="s">
        <v>57</v>
      </c>
      <c r="F680" t="s">
        <v>480</v>
      </c>
      <c r="G680" t="s">
        <v>460</v>
      </c>
      <c r="H680" t="s">
        <v>356</v>
      </c>
      <c r="I680" t="s">
        <v>36</v>
      </c>
      <c r="J680" t="s">
        <v>47</v>
      </c>
      <c r="K680" s="4">
        <v>9709</v>
      </c>
      <c r="L680" s="4">
        <v>58</v>
      </c>
      <c r="M680" s="4">
        <v>3339</v>
      </c>
      <c r="N680" s="4">
        <v>7891</v>
      </c>
      <c r="O680" s="4">
        <v>3</v>
      </c>
      <c r="P680" s="3">
        <v>6994.0853999999999</v>
      </c>
      <c r="Q680"/>
      <c r="R680"/>
      <c r="S680"/>
      <c r="T680"/>
      <c r="U680"/>
      <c r="V680"/>
      <c r="W680"/>
      <c r="X680"/>
    </row>
    <row r="681" spans="1:24">
      <c r="A681" t="s">
        <v>196</v>
      </c>
      <c r="B681" t="s">
        <v>1197</v>
      </c>
      <c r="D681" t="s">
        <v>58</v>
      </c>
      <c r="E681" t="s">
        <v>57</v>
      </c>
      <c r="F681" t="s">
        <v>480</v>
      </c>
      <c r="G681" t="s">
        <v>460</v>
      </c>
      <c r="H681" t="s">
        <v>273</v>
      </c>
      <c r="I681" t="s">
        <v>42</v>
      </c>
      <c r="J681" t="s">
        <v>47</v>
      </c>
      <c r="K681" s="4">
        <v>19408</v>
      </c>
      <c r="L681" s="4">
        <v>58</v>
      </c>
      <c r="M681" s="4">
        <v>6596</v>
      </c>
      <c r="N681" s="4">
        <v>13880</v>
      </c>
      <c r="O681" s="4">
        <v>2</v>
      </c>
      <c r="P681" s="3">
        <v>5492.8216000000002</v>
      </c>
      <c r="Q681"/>
      <c r="R681"/>
      <c r="S681"/>
      <c r="T681"/>
      <c r="U681"/>
      <c r="V681"/>
      <c r="W681"/>
      <c r="X681"/>
    </row>
    <row r="682" spans="1:24">
      <c r="A682" t="s">
        <v>196</v>
      </c>
      <c r="B682" t="s">
        <v>1198</v>
      </c>
      <c r="D682" t="s">
        <v>54</v>
      </c>
      <c r="E682" t="s">
        <v>60</v>
      </c>
      <c r="F682" t="s">
        <v>480</v>
      </c>
      <c r="G682" t="s">
        <v>460</v>
      </c>
      <c r="H682" t="s">
        <v>217</v>
      </c>
      <c r="I682" t="s">
        <v>43</v>
      </c>
      <c r="J682" t="s">
        <v>47</v>
      </c>
      <c r="K682" s="4">
        <v>113262</v>
      </c>
      <c r="L682" s="4">
        <v>380</v>
      </c>
      <c r="M682" s="4">
        <v>95762</v>
      </c>
      <c r="N682" s="4">
        <v>104612</v>
      </c>
      <c r="O682" s="4">
        <v>4</v>
      </c>
      <c r="P682" s="3">
        <v>7443.4831999999997</v>
      </c>
      <c r="Q682"/>
      <c r="R682"/>
      <c r="S682"/>
      <c r="T682"/>
      <c r="U682"/>
      <c r="V682"/>
      <c r="W682"/>
      <c r="X682"/>
    </row>
    <row r="683" spans="1:24">
      <c r="A683" t="s">
        <v>196</v>
      </c>
      <c r="B683" t="s">
        <v>1199</v>
      </c>
      <c r="D683" t="s">
        <v>54</v>
      </c>
      <c r="E683" t="s">
        <v>60</v>
      </c>
      <c r="F683" t="s">
        <v>497</v>
      </c>
      <c r="G683" t="s">
        <v>460</v>
      </c>
      <c r="H683" t="s">
        <v>215</v>
      </c>
      <c r="I683" t="s">
        <v>36</v>
      </c>
      <c r="J683" t="s">
        <v>47</v>
      </c>
      <c r="K683" s="4">
        <v>571090</v>
      </c>
      <c r="L683" s="4">
        <v>1541</v>
      </c>
      <c r="M683" s="4">
        <v>246243</v>
      </c>
      <c r="N683" s="4">
        <v>532325</v>
      </c>
      <c r="O683" s="4">
        <v>11</v>
      </c>
      <c r="P683" s="3">
        <v>4733.6188000000002</v>
      </c>
      <c r="Q683"/>
      <c r="R683"/>
      <c r="S683"/>
      <c r="T683"/>
      <c r="U683"/>
      <c r="V683"/>
      <c r="W683"/>
      <c r="X683"/>
    </row>
    <row r="684" spans="1:24">
      <c r="A684" t="s">
        <v>196</v>
      </c>
      <c r="B684" t="s">
        <v>1200</v>
      </c>
      <c r="D684" t="s">
        <v>54</v>
      </c>
      <c r="E684" t="s">
        <v>60</v>
      </c>
      <c r="F684" t="s">
        <v>482</v>
      </c>
      <c r="G684" t="s">
        <v>483</v>
      </c>
      <c r="H684" t="s">
        <v>321</v>
      </c>
      <c r="I684" t="s">
        <v>38</v>
      </c>
      <c r="J684" t="s">
        <v>47</v>
      </c>
      <c r="K684" s="4">
        <v>45397</v>
      </c>
      <c r="L684" s="4">
        <v>114</v>
      </c>
      <c r="M684" s="4">
        <v>716</v>
      </c>
      <c r="N684" s="4">
        <v>6867</v>
      </c>
      <c r="O684" s="4">
        <v>15</v>
      </c>
      <c r="P684" s="3">
        <v>4582.4533000000001</v>
      </c>
      <c r="Q684"/>
      <c r="R684"/>
      <c r="S684"/>
      <c r="T684"/>
      <c r="U684"/>
      <c r="V684"/>
      <c r="W684"/>
      <c r="X684"/>
    </row>
    <row r="685" spans="1:24">
      <c r="A685" t="s">
        <v>198</v>
      </c>
      <c r="B685" t="s">
        <v>1201</v>
      </c>
      <c r="D685" t="s">
        <v>56</v>
      </c>
      <c r="E685" t="s">
        <v>57</v>
      </c>
      <c r="F685" t="s">
        <v>473</v>
      </c>
      <c r="G685" t="s">
        <v>474</v>
      </c>
      <c r="H685" t="s">
        <v>213</v>
      </c>
      <c r="I685" t="s">
        <v>43</v>
      </c>
      <c r="J685" t="s">
        <v>47</v>
      </c>
      <c r="K685" s="4">
        <v>144088</v>
      </c>
      <c r="L685" s="4">
        <v>490</v>
      </c>
      <c r="M685" s="4">
        <v>26416</v>
      </c>
      <c r="N685" s="4">
        <v>137369</v>
      </c>
      <c r="O685" s="4">
        <v>7</v>
      </c>
      <c r="P685" s="3">
        <v>1464.0642</v>
      </c>
      <c r="Q685"/>
      <c r="R685"/>
      <c r="S685"/>
      <c r="T685"/>
      <c r="U685"/>
      <c r="V685"/>
      <c r="W685"/>
      <c r="X685"/>
    </row>
    <row r="686" spans="1:24">
      <c r="A686" t="s">
        <v>198</v>
      </c>
      <c r="B686" t="s">
        <v>1202</v>
      </c>
      <c r="D686" t="s">
        <v>56</v>
      </c>
      <c r="E686" t="s">
        <v>57</v>
      </c>
      <c r="F686" t="s">
        <v>506</v>
      </c>
      <c r="G686" t="s">
        <v>474</v>
      </c>
      <c r="H686" t="s">
        <v>217</v>
      </c>
      <c r="I686" t="s">
        <v>36</v>
      </c>
      <c r="J686" t="s">
        <v>47</v>
      </c>
      <c r="K686" s="4">
        <v>284783</v>
      </c>
      <c r="L686" s="4">
        <v>756</v>
      </c>
      <c r="M686" s="4">
        <v>239363</v>
      </c>
      <c r="N686" s="4">
        <v>261467</v>
      </c>
      <c r="O686" s="4">
        <v>9</v>
      </c>
      <c r="P686" s="3">
        <v>1605.5381</v>
      </c>
      <c r="Q686"/>
      <c r="R686"/>
      <c r="S686"/>
      <c r="T686"/>
      <c r="U686"/>
      <c r="V686"/>
      <c r="W686"/>
      <c r="X686"/>
    </row>
    <row r="687" spans="1:24">
      <c r="A687" t="s">
        <v>198</v>
      </c>
      <c r="B687" t="s">
        <v>1203</v>
      </c>
      <c r="D687" t="s">
        <v>58</v>
      </c>
      <c r="E687" t="s">
        <v>57</v>
      </c>
      <c r="F687" t="s">
        <v>551</v>
      </c>
      <c r="G687" t="s">
        <v>487</v>
      </c>
      <c r="H687" t="s">
        <v>236</v>
      </c>
      <c r="I687" t="s">
        <v>212</v>
      </c>
      <c r="J687" t="s">
        <v>47</v>
      </c>
      <c r="K687" s="4">
        <v>130602</v>
      </c>
      <c r="L687" s="4">
        <v>269</v>
      </c>
      <c r="M687" s="4">
        <v>11736</v>
      </c>
      <c r="N687" s="4">
        <v>113735</v>
      </c>
      <c r="O687" s="4">
        <v>4</v>
      </c>
      <c r="P687" s="3">
        <v>1507.8471</v>
      </c>
      <c r="Q687"/>
      <c r="R687"/>
      <c r="S687"/>
      <c r="T687"/>
      <c r="U687"/>
      <c r="V687"/>
      <c r="W687"/>
      <c r="X687"/>
    </row>
    <row r="688" spans="1:24">
      <c r="A688" t="s">
        <v>198</v>
      </c>
      <c r="B688" t="s">
        <v>1204</v>
      </c>
      <c r="D688" t="s">
        <v>56</v>
      </c>
      <c r="E688" t="s">
        <v>60</v>
      </c>
      <c r="F688" t="s">
        <v>506</v>
      </c>
      <c r="G688" t="s">
        <v>474</v>
      </c>
      <c r="H688" t="s">
        <v>293</v>
      </c>
      <c r="I688" t="s">
        <v>36</v>
      </c>
      <c r="J688" t="s">
        <v>47</v>
      </c>
      <c r="K688" s="4">
        <v>14763</v>
      </c>
      <c r="L688" s="4">
        <v>40</v>
      </c>
      <c r="M688" s="4">
        <v>8955</v>
      </c>
      <c r="N688" s="4">
        <v>13829</v>
      </c>
      <c r="O688" s="4">
        <v>2</v>
      </c>
      <c r="P688" s="3">
        <v>1531.9268999999999</v>
      </c>
      <c r="Q688"/>
      <c r="R688"/>
      <c r="S688"/>
      <c r="T688"/>
      <c r="U688"/>
      <c r="V688"/>
      <c r="W688"/>
      <c r="X688"/>
    </row>
    <row r="689" spans="1:24">
      <c r="A689" t="s">
        <v>198</v>
      </c>
      <c r="B689" t="s">
        <v>1205</v>
      </c>
      <c r="D689" t="s">
        <v>54</v>
      </c>
      <c r="E689" t="s">
        <v>55</v>
      </c>
      <c r="F689" t="s">
        <v>473</v>
      </c>
      <c r="G689" t="s">
        <v>474</v>
      </c>
      <c r="H689" t="s">
        <v>211</v>
      </c>
      <c r="I689" t="s">
        <v>40</v>
      </c>
      <c r="J689" t="s">
        <v>47</v>
      </c>
      <c r="K689" s="4">
        <v>50838</v>
      </c>
      <c r="L689" s="4">
        <v>130</v>
      </c>
      <c r="M689" s="4">
        <v>23274</v>
      </c>
      <c r="N689" s="4">
        <v>35934</v>
      </c>
      <c r="O689" s="4">
        <v>11</v>
      </c>
      <c r="P689" s="3">
        <v>1521.3723</v>
      </c>
      <c r="Q689"/>
      <c r="R689"/>
      <c r="S689"/>
      <c r="T689"/>
      <c r="U689"/>
      <c r="V689"/>
      <c r="W689"/>
      <c r="X689"/>
    </row>
    <row r="690" spans="1:24">
      <c r="A690" t="s">
        <v>200</v>
      </c>
      <c r="D690" t="s">
        <v>56</v>
      </c>
      <c r="E690" t="s">
        <v>57</v>
      </c>
      <c r="F690" t="s">
        <v>497</v>
      </c>
      <c r="G690" t="s">
        <v>460</v>
      </c>
      <c r="H690" t="s">
        <v>346</v>
      </c>
      <c r="I690" t="s">
        <v>38</v>
      </c>
      <c r="J690" t="s">
        <v>47</v>
      </c>
      <c r="K690" s="4">
        <v>12319</v>
      </c>
      <c r="L690" s="4">
        <v>40</v>
      </c>
      <c r="M690" s="4">
        <v>7028</v>
      </c>
      <c r="N690" s="4">
        <v>10191</v>
      </c>
      <c r="O690" s="4">
        <v>7</v>
      </c>
      <c r="P690" s="3">
        <v>1668.0160000000001</v>
      </c>
      <c r="Q690"/>
      <c r="R690"/>
      <c r="S690"/>
      <c r="T690"/>
      <c r="U690"/>
      <c r="V690"/>
      <c r="W690"/>
      <c r="X690"/>
    </row>
    <row r="691" spans="1:24">
      <c r="A691" t="s">
        <v>200</v>
      </c>
      <c r="B691" t="s">
        <v>1206</v>
      </c>
      <c r="C691" t="s">
        <v>1207</v>
      </c>
      <c r="D691" t="s">
        <v>54</v>
      </c>
      <c r="E691" t="s">
        <v>55</v>
      </c>
      <c r="F691" t="s">
        <v>497</v>
      </c>
      <c r="G691" t="s">
        <v>460</v>
      </c>
      <c r="H691" t="s">
        <v>373</v>
      </c>
      <c r="I691" t="s">
        <v>36</v>
      </c>
      <c r="J691" t="s">
        <v>47</v>
      </c>
      <c r="K691" s="4">
        <v>16580</v>
      </c>
      <c r="L691" s="4">
        <v>84</v>
      </c>
      <c r="M691" s="4">
        <v>11928</v>
      </c>
      <c r="N691" s="4">
        <v>14527</v>
      </c>
      <c r="O691" s="4">
        <v>6</v>
      </c>
      <c r="P691" s="3">
        <v>1965.7389000000001</v>
      </c>
      <c r="Q691"/>
      <c r="R691"/>
      <c r="S691"/>
      <c r="T691"/>
      <c r="U691"/>
      <c r="V691"/>
      <c r="W691"/>
      <c r="X691"/>
    </row>
    <row r="692" spans="1:24">
      <c r="A692" t="s">
        <v>200</v>
      </c>
      <c r="B692" t="s">
        <v>1208</v>
      </c>
      <c r="D692" t="s">
        <v>56</v>
      </c>
      <c r="E692" t="s">
        <v>59</v>
      </c>
      <c r="F692" t="s">
        <v>467</v>
      </c>
      <c r="G692" t="s">
        <v>468</v>
      </c>
      <c r="H692" t="s">
        <v>233</v>
      </c>
      <c r="I692" t="s">
        <v>36</v>
      </c>
      <c r="J692" t="s">
        <v>48</v>
      </c>
      <c r="K692" s="4">
        <v>27394</v>
      </c>
      <c r="L692" s="4">
        <v>74</v>
      </c>
      <c r="M692" s="4">
        <v>16144</v>
      </c>
      <c r="N692" s="4">
        <v>24752</v>
      </c>
      <c r="O692" s="4">
        <v>78</v>
      </c>
      <c r="P692" s="3">
        <v>7264.5875999999998</v>
      </c>
      <c r="Q692"/>
      <c r="R692"/>
      <c r="S692"/>
      <c r="T692"/>
      <c r="U692"/>
      <c r="V692"/>
      <c r="W692"/>
      <c r="X692"/>
    </row>
    <row r="693" spans="1:24">
      <c r="A693" t="s">
        <v>200</v>
      </c>
      <c r="B693" t="s">
        <v>1208</v>
      </c>
      <c r="C693" t="s">
        <v>1209</v>
      </c>
      <c r="D693" t="s">
        <v>56</v>
      </c>
      <c r="E693" t="s">
        <v>55</v>
      </c>
      <c r="F693" t="s">
        <v>497</v>
      </c>
      <c r="G693" t="s">
        <v>460</v>
      </c>
      <c r="H693" t="s">
        <v>257</v>
      </c>
      <c r="I693" t="s">
        <v>36</v>
      </c>
      <c r="J693" t="s">
        <v>48</v>
      </c>
      <c r="K693" s="4">
        <v>141165</v>
      </c>
      <c r="L693" s="4">
        <v>250</v>
      </c>
      <c r="M693" s="4">
        <v>102776</v>
      </c>
      <c r="N693" s="4">
        <v>128004</v>
      </c>
      <c r="O693" s="4">
        <v>28</v>
      </c>
      <c r="P693" s="3">
        <v>7222.2114000000001</v>
      </c>
      <c r="Q693"/>
      <c r="R693"/>
      <c r="S693"/>
      <c r="T693"/>
      <c r="U693"/>
      <c r="V693"/>
      <c r="W693"/>
      <c r="X693"/>
    </row>
    <row r="694" spans="1:24">
      <c r="A694" t="s">
        <v>200</v>
      </c>
      <c r="B694" t="s">
        <v>1210</v>
      </c>
      <c r="D694" t="s">
        <v>56</v>
      </c>
      <c r="E694" t="s">
        <v>59</v>
      </c>
      <c r="F694" t="s">
        <v>482</v>
      </c>
      <c r="G694" t="s">
        <v>483</v>
      </c>
      <c r="H694" t="s">
        <v>232</v>
      </c>
      <c r="I694" t="s">
        <v>38</v>
      </c>
      <c r="J694" t="s">
        <v>48</v>
      </c>
      <c r="K694" s="4">
        <v>45711</v>
      </c>
      <c r="L694" s="4">
        <v>130</v>
      </c>
      <c r="M694" s="4">
        <v>23052</v>
      </c>
      <c r="N694" s="4">
        <v>42375</v>
      </c>
      <c r="O694" s="4">
        <v>11</v>
      </c>
      <c r="P694" s="3">
        <v>6417.8761999999997</v>
      </c>
      <c r="Q694"/>
      <c r="R694"/>
      <c r="S694"/>
      <c r="T694"/>
      <c r="U694"/>
      <c r="V694"/>
      <c r="W694"/>
      <c r="X694"/>
    </row>
    <row r="695" spans="1:24">
      <c r="A695" t="s">
        <v>200</v>
      </c>
      <c r="B695" t="s">
        <v>606</v>
      </c>
      <c r="D695" t="s">
        <v>54</v>
      </c>
      <c r="E695" t="s">
        <v>57</v>
      </c>
      <c r="F695" t="s">
        <v>467</v>
      </c>
      <c r="G695" t="s">
        <v>468</v>
      </c>
      <c r="H695" t="s">
        <v>369</v>
      </c>
      <c r="I695" t="s">
        <v>36</v>
      </c>
      <c r="J695" t="s">
        <v>47</v>
      </c>
      <c r="K695" s="4">
        <v>45965</v>
      </c>
      <c r="L695" s="4">
        <v>190</v>
      </c>
      <c r="M695" s="4">
        <v>10028</v>
      </c>
      <c r="N695" s="4">
        <v>37295</v>
      </c>
      <c r="O695" s="4">
        <v>1</v>
      </c>
      <c r="P695" s="3">
        <v>4718.8361000000004</v>
      </c>
      <c r="Q695"/>
      <c r="R695"/>
      <c r="S695"/>
      <c r="T695"/>
      <c r="U695"/>
      <c r="V695"/>
      <c r="W695"/>
      <c r="X695"/>
    </row>
    <row r="696" spans="1:24">
      <c r="A696" t="s">
        <v>200</v>
      </c>
      <c r="B696" t="s">
        <v>1211</v>
      </c>
      <c r="D696" t="s">
        <v>58</v>
      </c>
      <c r="E696" t="s">
        <v>55</v>
      </c>
      <c r="F696" t="s">
        <v>473</v>
      </c>
      <c r="G696" t="s">
        <v>474</v>
      </c>
      <c r="H696" t="s">
        <v>309</v>
      </c>
      <c r="I696" t="s">
        <v>40</v>
      </c>
      <c r="J696" t="s">
        <v>47</v>
      </c>
      <c r="K696" s="4">
        <v>10350</v>
      </c>
      <c r="L696" s="4">
        <v>66</v>
      </c>
      <c r="M696" s="4">
        <v>723</v>
      </c>
      <c r="N696" s="4">
        <v>8720</v>
      </c>
      <c r="O696" s="4">
        <v>14</v>
      </c>
      <c r="P696" s="3">
        <v>6774.2025999999996</v>
      </c>
      <c r="Q696"/>
      <c r="R696"/>
      <c r="S696"/>
      <c r="T696"/>
      <c r="U696"/>
      <c r="V696"/>
      <c r="W696"/>
      <c r="X696"/>
    </row>
    <row r="697" spans="1:24">
      <c r="A697" t="s">
        <v>200</v>
      </c>
      <c r="B697" t="s">
        <v>1212</v>
      </c>
      <c r="C697" t="s">
        <v>1213</v>
      </c>
      <c r="D697" t="s">
        <v>54</v>
      </c>
      <c r="E697" t="s">
        <v>57</v>
      </c>
      <c r="F697" t="s">
        <v>467</v>
      </c>
      <c r="G697" t="s">
        <v>468</v>
      </c>
      <c r="H697" t="s">
        <v>213</v>
      </c>
      <c r="I697" t="s">
        <v>38</v>
      </c>
      <c r="J697" t="s">
        <v>47</v>
      </c>
      <c r="K697" s="4">
        <v>87287</v>
      </c>
      <c r="L697" s="4">
        <v>203</v>
      </c>
      <c r="M697" s="4">
        <v>40039</v>
      </c>
      <c r="N697" s="4">
        <v>80040</v>
      </c>
      <c r="O697" s="4">
        <v>18</v>
      </c>
      <c r="P697" s="3">
        <v>1579.3672999999999</v>
      </c>
      <c r="Q697"/>
      <c r="R697"/>
      <c r="S697"/>
      <c r="T697"/>
      <c r="U697"/>
      <c r="V697"/>
      <c r="W697"/>
      <c r="X697"/>
    </row>
    <row r="698" spans="1:24">
      <c r="A698" t="s">
        <v>200</v>
      </c>
      <c r="B698" t="s">
        <v>1214</v>
      </c>
      <c r="D698" t="s">
        <v>58</v>
      </c>
      <c r="E698" t="s">
        <v>57</v>
      </c>
      <c r="F698" t="s">
        <v>497</v>
      </c>
      <c r="G698" t="s">
        <v>460</v>
      </c>
      <c r="H698" t="s">
        <v>273</v>
      </c>
      <c r="I698" t="s">
        <v>40</v>
      </c>
      <c r="J698" t="s">
        <v>47</v>
      </c>
      <c r="K698" s="4">
        <v>46190</v>
      </c>
      <c r="L698" s="4">
        <v>130</v>
      </c>
      <c r="M698" s="4">
        <v>8618</v>
      </c>
      <c r="N698" s="4">
        <v>41618</v>
      </c>
      <c r="O698" s="4">
        <v>1</v>
      </c>
      <c r="P698" s="3">
        <v>5464.1098000000002</v>
      </c>
      <c r="Q698"/>
      <c r="R698"/>
      <c r="S698"/>
      <c r="T698"/>
      <c r="U698"/>
      <c r="V698"/>
      <c r="W698"/>
      <c r="X698"/>
    </row>
    <row r="699" spans="1:24">
      <c r="A699" t="s">
        <v>200</v>
      </c>
      <c r="B699" t="s">
        <v>1215</v>
      </c>
      <c r="D699" t="s">
        <v>56</v>
      </c>
      <c r="E699" t="s">
        <v>59</v>
      </c>
      <c r="F699" t="s">
        <v>473</v>
      </c>
      <c r="G699" t="s">
        <v>474</v>
      </c>
      <c r="H699" t="s">
        <v>213</v>
      </c>
      <c r="I699" t="s">
        <v>42</v>
      </c>
      <c r="J699" t="s">
        <v>49</v>
      </c>
      <c r="K699" s="4">
        <v>161222</v>
      </c>
      <c r="L699" s="4">
        <v>500</v>
      </c>
      <c r="M699" s="4">
        <v>66740</v>
      </c>
      <c r="N699" s="4">
        <v>149743</v>
      </c>
      <c r="O699" s="4">
        <v>19</v>
      </c>
      <c r="P699" s="3">
        <v>5767.7974000000004</v>
      </c>
      <c r="Q699"/>
      <c r="R699"/>
      <c r="S699"/>
      <c r="T699"/>
      <c r="U699"/>
      <c r="V699"/>
      <c r="W699"/>
      <c r="X699"/>
    </row>
    <row r="700" spans="1:24">
      <c r="A700" t="s">
        <v>200</v>
      </c>
      <c r="B700" t="s">
        <v>1216</v>
      </c>
      <c r="C700" t="s">
        <v>1217</v>
      </c>
      <c r="D700" t="s">
        <v>56</v>
      </c>
      <c r="E700" t="s">
        <v>57</v>
      </c>
      <c r="F700" t="s">
        <v>482</v>
      </c>
      <c r="G700" t="s">
        <v>483</v>
      </c>
      <c r="H700" t="s">
        <v>237</v>
      </c>
      <c r="I700" t="s">
        <v>253</v>
      </c>
      <c r="J700" t="s">
        <v>49</v>
      </c>
      <c r="K700" s="4">
        <v>18313</v>
      </c>
      <c r="L700" s="4">
        <v>60</v>
      </c>
      <c r="M700" s="4">
        <v>9481</v>
      </c>
      <c r="N700" s="4">
        <v>16300</v>
      </c>
      <c r="O700" s="4">
        <v>4</v>
      </c>
      <c r="P700" s="3">
        <v>1456.9341999999999</v>
      </c>
      <c r="Q700"/>
      <c r="R700"/>
      <c r="S700"/>
      <c r="T700"/>
      <c r="U700"/>
      <c r="V700"/>
      <c r="W700"/>
      <c r="X700"/>
    </row>
    <row r="701" spans="1:24">
      <c r="A701" t="s">
        <v>200</v>
      </c>
      <c r="B701" t="s">
        <v>1216</v>
      </c>
      <c r="C701" t="s">
        <v>615</v>
      </c>
      <c r="D701" t="s">
        <v>54</v>
      </c>
      <c r="E701" t="s">
        <v>57</v>
      </c>
      <c r="F701" t="s">
        <v>506</v>
      </c>
      <c r="G701" t="s">
        <v>474</v>
      </c>
      <c r="H701" t="s">
        <v>257</v>
      </c>
      <c r="I701" t="s">
        <v>38</v>
      </c>
      <c r="J701" t="s">
        <v>47</v>
      </c>
      <c r="K701" s="4">
        <v>69136</v>
      </c>
      <c r="L701" s="4">
        <v>190</v>
      </c>
      <c r="M701" s="4">
        <v>40571</v>
      </c>
      <c r="N701" s="4">
        <v>63614</v>
      </c>
      <c r="O701" s="4">
        <v>3</v>
      </c>
      <c r="P701" s="3">
        <v>1507.9468999999999</v>
      </c>
      <c r="Q701"/>
      <c r="R701"/>
      <c r="S701"/>
      <c r="T701"/>
      <c r="U701"/>
      <c r="V701"/>
      <c r="W701"/>
      <c r="X701"/>
    </row>
    <row r="702" spans="1:24">
      <c r="A702" t="s">
        <v>200</v>
      </c>
      <c r="B702" t="s">
        <v>1218</v>
      </c>
      <c r="D702" t="s">
        <v>56</v>
      </c>
      <c r="E702" t="s">
        <v>59</v>
      </c>
      <c r="F702" t="s">
        <v>506</v>
      </c>
      <c r="G702" t="s">
        <v>474</v>
      </c>
      <c r="H702" t="s">
        <v>217</v>
      </c>
      <c r="I702" t="s">
        <v>36</v>
      </c>
      <c r="J702" t="s">
        <v>47</v>
      </c>
      <c r="K702" s="4">
        <v>75531</v>
      </c>
      <c r="L702" s="4">
        <v>200</v>
      </c>
      <c r="M702" s="4">
        <v>63816</v>
      </c>
      <c r="N702" s="4">
        <v>70011</v>
      </c>
      <c r="O702" s="4">
        <v>9</v>
      </c>
      <c r="P702" s="3">
        <v>7261.8649999999998</v>
      </c>
      <c r="Q702"/>
      <c r="R702"/>
      <c r="S702"/>
      <c r="T702"/>
      <c r="U702"/>
      <c r="V702"/>
      <c r="W702"/>
      <c r="X702"/>
    </row>
    <row r="703" spans="1:24">
      <c r="A703" t="s">
        <v>200</v>
      </c>
      <c r="B703" t="s">
        <v>986</v>
      </c>
      <c r="D703" t="s">
        <v>56</v>
      </c>
      <c r="E703" t="s">
        <v>59</v>
      </c>
      <c r="F703" t="s">
        <v>467</v>
      </c>
      <c r="G703" t="s">
        <v>468</v>
      </c>
      <c r="H703" t="s">
        <v>231</v>
      </c>
      <c r="I703" t="s">
        <v>36</v>
      </c>
      <c r="J703" t="s">
        <v>49</v>
      </c>
      <c r="K703" s="4">
        <v>48892</v>
      </c>
      <c r="L703" s="4">
        <v>110</v>
      </c>
      <c r="M703" s="4">
        <v>32060</v>
      </c>
      <c r="N703" s="4">
        <v>45251</v>
      </c>
      <c r="O703" s="4">
        <v>9</v>
      </c>
      <c r="P703" s="3">
        <v>1978.6097</v>
      </c>
      <c r="Q703"/>
      <c r="R703"/>
      <c r="S703"/>
      <c r="T703"/>
      <c r="U703"/>
      <c r="V703"/>
      <c r="W703"/>
      <c r="X703"/>
    </row>
    <row r="704" spans="1:24">
      <c r="A704" t="s">
        <v>200</v>
      </c>
      <c r="B704" t="s">
        <v>979</v>
      </c>
      <c r="D704" t="s">
        <v>54</v>
      </c>
      <c r="E704" t="s">
        <v>55</v>
      </c>
      <c r="F704" t="s">
        <v>506</v>
      </c>
      <c r="G704" t="s">
        <v>474</v>
      </c>
      <c r="H704" t="s">
        <v>365</v>
      </c>
      <c r="I704" t="s">
        <v>36</v>
      </c>
      <c r="J704" t="s">
        <v>47</v>
      </c>
      <c r="K704" s="4">
        <v>14890</v>
      </c>
      <c r="L704" s="4">
        <v>60</v>
      </c>
      <c r="M704" s="4">
        <v>6248</v>
      </c>
      <c r="N704" s="4">
        <v>11493</v>
      </c>
      <c r="O704" s="4">
        <v>6</v>
      </c>
      <c r="P704" s="3">
        <v>1982.4165</v>
      </c>
      <c r="Q704"/>
      <c r="R704"/>
      <c r="S704"/>
      <c r="T704"/>
      <c r="U704"/>
      <c r="V704"/>
      <c r="W704"/>
      <c r="X704"/>
    </row>
    <row r="705" spans="1:24">
      <c r="A705" t="s">
        <v>200</v>
      </c>
      <c r="B705" t="s">
        <v>979</v>
      </c>
      <c r="C705" t="s">
        <v>1219</v>
      </c>
      <c r="D705" t="s">
        <v>56</v>
      </c>
      <c r="E705" t="s">
        <v>55</v>
      </c>
      <c r="F705" t="s">
        <v>497</v>
      </c>
      <c r="G705" t="s">
        <v>460</v>
      </c>
      <c r="H705" t="s">
        <v>254</v>
      </c>
      <c r="I705" t="s">
        <v>253</v>
      </c>
      <c r="J705" t="s">
        <v>47</v>
      </c>
      <c r="K705" s="4">
        <v>253577</v>
      </c>
      <c r="L705" s="4">
        <v>890</v>
      </c>
      <c r="M705" s="4">
        <v>66972</v>
      </c>
      <c r="N705" s="4">
        <v>191183</v>
      </c>
      <c r="O705" s="4">
        <v>44</v>
      </c>
      <c r="P705" s="3">
        <v>1493.0744999999999</v>
      </c>
      <c r="Q705"/>
      <c r="R705"/>
      <c r="S705"/>
      <c r="T705"/>
      <c r="U705"/>
      <c r="V705"/>
      <c r="W705"/>
      <c r="X705"/>
    </row>
    <row r="706" spans="1:24">
      <c r="A706" t="s">
        <v>200</v>
      </c>
      <c r="B706" t="s">
        <v>979</v>
      </c>
      <c r="C706" t="s">
        <v>1220</v>
      </c>
      <c r="D706" t="s">
        <v>54</v>
      </c>
      <c r="E706" t="s">
        <v>57</v>
      </c>
      <c r="F706" t="s">
        <v>459</v>
      </c>
      <c r="G706" t="s">
        <v>460</v>
      </c>
      <c r="H706" t="s">
        <v>257</v>
      </c>
      <c r="I706" t="s">
        <v>42</v>
      </c>
      <c r="J706" t="s">
        <v>47</v>
      </c>
      <c r="K706" s="4">
        <v>88819</v>
      </c>
      <c r="L706" s="4">
        <v>200</v>
      </c>
      <c r="M706" s="4">
        <v>65488</v>
      </c>
      <c r="N706" s="4">
        <v>80451</v>
      </c>
      <c r="O706" s="4">
        <v>6</v>
      </c>
      <c r="P706" s="3">
        <v>1442.2280000000001</v>
      </c>
      <c r="Q706"/>
      <c r="R706"/>
      <c r="S706"/>
      <c r="T706"/>
      <c r="U706"/>
      <c r="V706"/>
      <c r="W706"/>
      <c r="X706"/>
    </row>
    <row r="707" spans="1:24">
      <c r="A707" t="s">
        <v>200</v>
      </c>
      <c r="B707" t="s">
        <v>979</v>
      </c>
      <c r="C707" t="s">
        <v>1221</v>
      </c>
      <c r="D707" t="s">
        <v>54</v>
      </c>
      <c r="E707" t="s">
        <v>60</v>
      </c>
      <c r="F707" t="s">
        <v>459</v>
      </c>
      <c r="G707" t="s">
        <v>460</v>
      </c>
      <c r="H707" t="s">
        <v>432</v>
      </c>
      <c r="I707" t="s">
        <v>42</v>
      </c>
      <c r="J707" t="s">
        <v>47</v>
      </c>
      <c r="K707" s="4">
        <v>31243</v>
      </c>
      <c r="L707" s="4">
        <v>100</v>
      </c>
      <c r="M707" s="4">
        <v>16326</v>
      </c>
      <c r="N707" s="4">
        <v>25991</v>
      </c>
      <c r="O707" s="4">
        <v>21</v>
      </c>
      <c r="P707" s="3">
        <v>1452.5906</v>
      </c>
      <c r="Q707"/>
      <c r="R707"/>
      <c r="S707"/>
      <c r="T707"/>
      <c r="U707"/>
      <c r="V707"/>
      <c r="W707"/>
      <c r="X707"/>
    </row>
    <row r="708" spans="1:24">
      <c r="A708" t="s">
        <v>200</v>
      </c>
      <c r="B708" t="s">
        <v>979</v>
      </c>
      <c r="C708" t="s">
        <v>1222</v>
      </c>
      <c r="D708" t="s">
        <v>54</v>
      </c>
      <c r="E708" t="s">
        <v>59</v>
      </c>
      <c r="F708" t="s">
        <v>530</v>
      </c>
      <c r="G708" t="s">
        <v>531</v>
      </c>
      <c r="H708" t="s">
        <v>325</v>
      </c>
      <c r="I708" t="s">
        <v>42</v>
      </c>
      <c r="J708" t="s">
        <v>47</v>
      </c>
      <c r="K708" s="4">
        <v>12354</v>
      </c>
      <c r="L708" s="4">
        <v>10</v>
      </c>
      <c r="M708" s="4">
        <v>8561</v>
      </c>
      <c r="N708" s="4">
        <v>11782</v>
      </c>
      <c r="O708" s="4">
        <v>5</v>
      </c>
      <c r="P708" s="3">
        <v>1808.3079</v>
      </c>
      <c r="Q708"/>
      <c r="R708"/>
      <c r="S708"/>
      <c r="T708"/>
      <c r="U708"/>
      <c r="V708"/>
      <c r="W708"/>
      <c r="X708"/>
    </row>
    <row r="709" spans="1:24">
      <c r="A709" t="s">
        <v>200</v>
      </c>
      <c r="B709" t="s">
        <v>979</v>
      </c>
      <c r="C709" t="s">
        <v>1222</v>
      </c>
      <c r="D709" t="s">
        <v>58</v>
      </c>
      <c r="E709" t="s">
        <v>55</v>
      </c>
      <c r="F709" t="s">
        <v>473</v>
      </c>
      <c r="G709" t="s">
        <v>474</v>
      </c>
      <c r="H709" t="s">
        <v>232</v>
      </c>
      <c r="I709" t="s">
        <v>36</v>
      </c>
      <c r="J709" t="s">
        <v>47</v>
      </c>
      <c r="K709" s="4">
        <v>9730</v>
      </c>
      <c r="L709" s="4">
        <v>45</v>
      </c>
      <c r="M709" s="4">
        <v>2971</v>
      </c>
      <c r="N709" s="4">
        <v>5102</v>
      </c>
      <c r="O709" s="4">
        <v>3</v>
      </c>
      <c r="P709" s="3">
        <v>1778.9378999999999</v>
      </c>
      <c r="Q709"/>
      <c r="R709"/>
      <c r="S709"/>
      <c r="T709"/>
      <c r="U709"/>
      <c r="V709"/>
      <c r="W709"/>
      <c r="X709"/>
    </row>
    <row r="710" spans="1:24">
      <c r="A710" t="s">
        <v>200</v>
      </c>
      <c r="B710" t="s">
        <v>979</v>
      </c>
      <c r="C710" t="s">
        <v>1208</v>
      </c>
      <c r="D710" t="s">
        <v>56</v>
      </c>
      <c r="E710" t="s">
        <v>60</v>
      </c>
      <c r="F710" t="s">
        <v>736</v>
      </c>
      <c r="G710" t="s">
        <v>531</v>
      </c>
      <c r="H710" t="s">
        <v>215</v>
      </c>
      <c r="I710" t="s">
        <v>38</v>
      </c>
      <c r="J710" t="s">
        <v>48</v>
      </c>
      <c r="K710" s="4">
        <v>307888</v>
      </c>
      <c r="L710" s="4">
        <v>863</v>
      </c>
      <c r="M710" s="4">
        <v>134959</v>
      </c>
      <c r="N710" s="4">
        <v>274790</v>
      </c>
      <c r="O710" s="4">
        <v>11</v>
      </c>
      <c r="P710" s="3">
        <v>1559.6439</v>
      </c>
      <c r="Q710"/>
      <c r="R710"/>
      <c r="S710"/>
      <c r="T710"/>
      <c r="U710"/>
      <c r="V710"/>
      <c r="W710"/>
      <c r="X710"/>
    </row>
    <row r="711" spans="1:24">
      <c r="A711" t="s">
        <v>200</v>
      </c>
      <c r="B711" t="s">
        <v>979</v>
      </c>
      <c r="C711" t="s">
        <v>1223</v>
      </c>
      <c r="D711" t="s">
        <v>56</v>
      </c>
      <c r="E711" t="s">
        <v>57</v>
      </c>
      <c r="F711" t="s">
        <v>497</v>
      </c>
      <c r="G711" t="s">
        <v>460</v>
      </c>
      <c r="H711" t="s">
        <v>211</v>
      </c>
      <c r="I711" t="s">
        <v>253</v>
      </c>
      <c r="J711" t="s">
        <v>47</v>
      </c>
      <c r="K711" s="4">
        <v>679098</v>
      </c>
      <c r="L711" s="4">
        <v>1984</v>
      </c>
      <c r="M711" s="4">
        <v>467726</v>
      </c>
      <c r="N711" s="4">
        <v>634589</v>
      </c>
      <c r="O711" s="4">
        <v>9</v>
      </c>
      <c r="P711" s="3">
        <v>1477.4249</v>
      </c>
      <c r="Q711"/>
      <c r="R711"/>
      <c r="S711"/>
      <c r="T711"/>
      <c r="U711"/>
      <c r="V711"/>
      <c r="W711"/>
      <c r="X711"/>
    </row>
    <row r="712" spans="1:24">
      <c r="A712" t="s">
        <v>200</v>
      </c>
      <c r="B712" t="s">
        <v>1224</v>
      </c>
      <c r="C712" t="s">
        <v>1225</v>
      </c>
      <c r="D712" t="s">
        <v>58</v>
      </c>
      <c r="E712" t="s">
        <v>57</v>
      </c>
      <c r="F712" t="s">
        <v>547</v>
      </c>
      <c r="G712" t="s">
        <v>460</v>
      </c>
      <c r="H712" t="s">
        <v>234</v>
      </c>
      <c r="I712" t="s">
        <v>36</v>
      </c>
      <c r="J712" t="s">
        <v>47</v>
      </c>
      <c r="K712" s="4">
        <v>81054</v>
      </c>
      <c r="L712" s="4">
        <v>265</v>
      </c>
      <c r="M712" s="4">
        <v>56762</v>
      </c>
      <c r="N712" s="4">
        <v>76198</v>
      </c>
      <c r="O712" s="4">
        <v>16</v>
      </c>
      <c r="P712" s="3">
        <v>1532.3578</v>
      </c>
      <c r="Q712"/>
      <c r="R712"/>
      <c r="S712"/>
      <c r="T712"/>
      <c r="U712"/>
      <c r="V712"/>
      <c r="W712"/>
      <c r="X712"/>
    </row>
    <row r="713" spans="1:24">
      <c r="A713" t="s">
        <v>200</v>
      </c>
      <c r="B713" t="s">
        <v>1226</v>
      </c>
      <c r="D713" t="s">
        <v>56</v>
      </c>
      <c r="E713" t="s">
        <v>57</v>
      </c>
      <c r="F713" t="s">
        <v>467</v>
      </c>
      <c r="G713" t="s">
        <v>468</v>
      </c>
      <c r="H713" t="s">
        <v>254</v>
      </c>
      <c r="I713" t="s">
        <v>36</v>
      </c>
      <c r="J713" t="s">
        <v>47</v>
      </c>
      <c r="K713" s="4">
        <v>182114</v>
      </c>
      <c r="L713" s="4">
        <v>500</v>
      </c>
      <c r="M713" s="4">
        <v>14477</v>
      </c>
      <c r="N713" s="4">
        <v>139167</v>
      </c>
      <c r="O713" s="4">
        <v>29</v>
      </c>
      <c r="P713" s="3">
        <v>6307.9008000000003</v>
      </c>
      <c r="Q713"/>
      <c r="R713"/>
      <c r="S713"/>
      <c r="T713"/>
      <c r="U713"/>
      <c r="V713"/>
      <c r="W713"/>
      <c r="X713"/>
    </row>
    <row r="714" spans="1:24">
      <c r="A714" t="s">
        <v>200</v>
      </c>
      <c r="B714" t="s">
        <v>1226</v>
      </c>
      <c r="C714" t="s">
        <v>1227</v>
      </c>
      <c r="D714" t="s">
        <v>54</v>
      </c>
      <c r="E714" t="s">
        <v>60</v>
      </c>
      <c r="F714" t="s">
        <v>467</v>
      </c>
      <c r="G714" t="s">
        <v>468</v>
      </c>
      <c r="H714" t="s">
        <v>237</v>
      </c>
      <c r="I714" t="s">
        <v>36</v>
      </c>
      <c r="J714" t="s">
        <v>47</v>
      </c>
      <c r="K714" s="4">
        <v>108559</v>
      </c>
      <c r="L714" s="4">
        <v>212</v>
      </c>
      <c r="M714" s="4">
        <v>79254</v>
      </c>
      <c r="N714" s="4">
        <v>100563</v>
      </c>
      <c r="O714" s="4">
        <v>7</v>
      </c>
      <c r="P714" s="3">
        <v>6850.5765000000001</v>
      </c>
      <c r="Q714"/>
      <c r="R714"/>
      <c r="S714"/>
      <c r="T714"/>
      <c r="U714"/>
      <c r="V714"/>
      <c r="W714"/>
      <c r="X714"/>
    </row>
    <row r="715" spans="1:24">
      <c r="A715" t="s">
        <v>200</v>
      </c>
      <c r="B715" t="s">
        <v>1226</v>
      </c>
      <c r="C715" t="s">
        <v>1228</v>
      </c>
      <c r="D715" t="s">
        <v>56</v>
      </c>
      <c r="E715" t="s">
        <v>55</v>
      </c>
      <c r="F715" t="s">
        <v>473</v>
      </c>
      <c r="G715" t="s">
        <v>474</v>
      </c>
      <c r="H715" t="s">
        <v>211</v>
      </c>
      <c r="I715" t="s">
        <v>40</v>
      </c>
      <c r="J715" t="s">
        <v>47</v>
      </c>
      <c r="K715" s="4">
        <v>1720462</v>
      </c>
      <c r="L715" s="4">
        <v>4865</v>
      </c>
      <c r="M715" s="4">
        <v>940296</v>
      </c>
      <c r="N715" s="4">
        <v>1516537</v>
      </c>
      <c r="O715" s="4">
        <v>20</v>
      </c>
      <c r="P715" s="3">
        <v>5906.4650000000001</v>
      </c>
      <c r="Q715"/>
      <c r="R715"/>
      <c r="S715"/>
      <c r="T715"/>
      <c r="U715"/>
      <c r="V715"/>
      <c r="W715"/>
      <c r="X715"/>
    </row>
    <row r="716" spans="1:24">
      <c r="A716" t="s">
        <v>200</v>
      </c>
      <c r="B716" t="s">
        <v>1229</v>
      </c>
      <c r="D716" t="s">
        <v>56</v>
      </c>
      <c r="E716" t="s">
        <v>59</v>
      </c>
      <c r="F716" t="s">
        <v>482</v>
      </c>
      <c r="G716" t="s">
        <v>483</v>
      </c>
      <c r="H716" t="s">
        <v>213</v>
      </c>
      <c r="I716" t="s">
        <v>36</v>
      </c>
      <c r="J716" t="s">
        <v>47</v>
      </c>
      <c r="K716" s="4">
        <v>325152</v>
      </c>
      <c r="L716" s="4">
        <v>854</v>
      </c>
      <c r="M716" s="4">
        <v>138319</v>
      </c>
      <c r="N716" s="4">
        <v>300133</v>
      </c>
      <c r="O716" s="4">
        <v>55</v>
      </c>
      <c r="P716" s="3">
        <v>7887.6126999999997</v>
      </c>
      <c r="Q716"/>
      <c r="R716"/>
      <c r="S716"/>
      <c r="T716"/>
      <c r="U716"/>
      <c r="V716"/>
      <c r="W716"/>
      <c r="X716"/>
    </row>
    <row r="717" spans="1:24">
      <c r="A717" t="s">
        <v>200</v>
      </c>
      <c r="B717" t="s">
        <v>1229</v>
      </c>
      <c r="C717" t="s">
        <v>1230</v>
      </c>
      <c r="D717" t="s">
        <v>58</v>
      </c>
      <c r="E717" t="s">
        <v>60</v>
      </c>
      <c r="F717" t="s">
        <v>467</v>
      </c>
      <c r="G717" t="s">
        <v>468</v>
      </c>
      <c r="H717" t="s">
        <v>291</v>
      </c>
      <c r="I717" t="s">
        <v>36</v>
      </c>
      <c r="J717" t="s">
        <v>47</v>
      </c>
      <c r="K717" s="4">
        <v>19461</v>
      </c>
      <c r="L717" s="4">
        <v>74</v>
      </c>
      <c r="M717" s="4">
        <v>14647</v>
      </c>
      <c r="N717" s="4">
        <v>18731</v>
      </c>
      <c r="O717" s="4">
        <v>9</v>
      </c>
      <c r="P717" s="3">
        <v>7311.9988000000003</v>
      </c>
      <c r="Q717"/>
      <c r="R717"/>
      <c r="S717"/>
      <c r="T717"/>
      <c r="U717"/>
      <c r="V717"/>
      <c r="W717"/>
      <c r="X717"/>
    </row>
    <row r="718" spans="1:24">
      <c r="A718" t="s">
        <v>200</v>
      </c>
      <c r="B718" t="s">
        <v>1229</v>
      </c>
      <c r="C718" t="s">
        <v>1231</v>
      </c>
      <c r="D718" t="s">
        <v>54</v>
      </c>
      <c r="E718" t="s">
        <v>60</v>
      </c>
      <c r="F718" t="s">
        <v>506</v>
      </c>
      <c r="G718" t="s">
        <v>474</v>
      </c>
      <c r="H718" t="s">
        <v>273</v>
      </c>
      <c r="I718" t="s">
        <v>43</v>
      </c>
      <c r="J718" t="s">
        <v>47</v>
      </c>
      <c r="K718" s="4">
        <v>47360</v>
      </c>
      <c r="L718" s="4">
        <v>126</v>
      </c>
      <c r="M718" s="4">
        <v>8047</v>
      </c>
      <c r="N718" s="4">
        <v>33641</v>
      </c>
      <c r="O718" s="4">
        <v>9</v>
      </c>
      <c r="P718" s="3">
        <v>6502.2749000000003</v>
      </c>
      <c r="Q718"/>
      <c r="R718"/>
      <c r="S718"/>
      <c r="T718"/>
      <c r="U718"/>
      <c r="V718"/>
      <c r="W718"/>
      <c r="X718"/>
    </row>
    <row r="719" spans="1:24">
      <c r="A719" t="s">
        <v>200</v>
      </c>
      <c r="B719" t="s">
        <v>1229</v>
      </c>
      <c r="C719" t="s">
        <v>1232</v>
      </c>
      <c r="D719" t="s">
        <v>56</v>
      </c>
      <c r="E719" t="s">
        <v>55</v>
      </c>
      <c r="F719" t="s">
        <v>467</v>
      </c>
      <c r="G719" t="s">
        <v>468</v>
      </c>
      <c r="H719" t="s">
        <v>300</v>
      </c>
      <c r="I719" t="s">
        <v>43</v>
      </c>
      <c r="J719" t="s">
        <v>47</v>
      </c>
      <c r="K719" s="4">
        <v>12710</v>
      </c>
      <c r="L719" s="4">
        <v>10</v>
      </c>
      <c r="M719" s="4">
        <v>8159</v>
      </c>
      <c r="N719" s="4">
        <v>11984</v>
      </c>
      <c r="O719" s="4">
        <v>11</v>
      </c>
      <c r="P719" s="3">
        <v>7851.3975</v>
      </c>
      <c r="Q719"/>
      <c r="R719"/>
      <c r="S719"/>
      <c r="T719"/>
      <c r="U719"/>
      <c r="V719"/>
      <c r="W719"/>
      <c r="X719"/>
    </row>
    <row r="720" spans="1:24">
      <c r="A720" t="s">
        <v>200</v>
      </c>
      <c r="B720" t="s">
        <v>1229</v>
      </c>
      <c r="C720" t="s">
        <v>1233</v>
      </c>
      <c r="D720" t="s">
        <v>54</v>
      </c>
      <c r="E720" t="s">
        <v>55</v>
      </c>
      <c r="F720" t="s">
        <v>489</v>
      </c>
      <c r="G720" t="s">
        <v>460</v>
      </c>
      <c r="H720" t="s">
        <v>241</v>
      </c>
      <c r="I720" t="s">
        <v>38</v>
      </c>
      <c r="J720" t="s">
        <v>47</v>
      </c>
      <c r="K720" s="4">
        <v>35178</v>
      </c>
      <c r="L720" s="4">
        <v>155</v>
      </c>
      <c r="M720" s="4">
        <v>23374</v>
      </c>
      <c r="N720" s="4">
        <v>33779</v>
      </c>
      <c r="O720" s="4">
        <v>8</v>
      </c>
      <c r="P720" s="3">
        <v>5738.8091000000004</v>
      </c>
      <c r="Q720"/>
      <c r="R720"/>
      <c r="S720"/>
      <c r="T720"/>
      <c r="U720"/>
      <c r="V720"/>
      <c r="W720"/>
      <c r="X720"/>
    </row>
    <row r="721" spans="1:24">
      <c r="A721" t="s">
        <v>200</v>
      </c>
      <c r="B721" t="s">
        <v>1229</v>
      </c>
      <c r="C721" t="s">
        <v>1234</v>
      </c>
      <c r="D721" t="s">
        <v>56</v>
      </c>
      <c r="E721" t="s">
        <v>55</v>
      </c>
      <c r="F721" t="s">
        <v>473</v>
      </c>
      <c r="G721" t="s">
        <v>474</v>
      </c>
      <c r="H721" t="s">
        <v>241</v>
      </c>
      <c r="I721" t="s">
        <v>36</v>
      </c>
      <c r="J721" t="s">
        <v>48</v>
      </c>
      <c r="K721" s="4">
        <v>48211</v>
      </c>
      <c r="L721" s="4">
        <v>160</v>
      </c>
      <c r="M721" s="4">
        <v>30157</v>
      </c>
      <c r="N721" s="4">
        <v>43810</v>
      </c>
      <c r="O721" s="4">
        <v>14</v>
      </c>
      <c r="P721" s="3">
        <v>6708.4633999999996</v>
      </c>
      <c r="Q721"/>
      <c r="R721"/>
      <c r="S721"/>
      <c r="T721"/>
      <c r="U721"/>
      <c r="V721"/>
      <c r="W721"/>
      <c r="X721"/>
    </row>
    <row r="722" spans="1:24">
      <c r="A722" t="s">
        <v>200</v>
      </c>
      <c r="B722" t="s">
        <v>1229</v>
      </c>
      <c r="C722" t="s">
        <v>1235</v>
      </c>
      <c r="D722" t="s">
        <v>54</v>
      </c>
      <c r="E722" t="s">
        <v>59</v>
      </c>
      <c r="F722" t="s">
        <v>473</v>
      </c>
      <c r="G722" t="s">
        <v>474</v>
      </c>
      <c r="H722" t="s">
        <v>236</v>
      </c>
      <c r="I722" t="s">
        <v>36</v>
      </c>
      <c r="J722" t="s">
        <v>47</v>
      </c>
      <c r="K722" s="4">
        <v>318269</v>
      </c>
      <c r="L722" s="4">
        <v>914</v>
      </c>
      <c r="M722" s="4">
        <v>33355</v>
      </c>
      <c r="N722" s="4">
        <v>295405</v>
      </c>
      <c r="O722" s="4">
        <v>44</v>
      </c>
      <c r="P722" s="3">
        <v>7854.732</v>
      </c>
      <c r="Q722"/>
      <c r="R722"/>
      <c r="S722"/>
      <c r="T722"/>
      <c r="U722"/>
      <c r="V722"/>
      <c r="W722"/>
      <c r="X722"/>
    </row>
    <row r="723" spans="1:24">
      <c r="A723" t="s">
        <v>200</v>
      </c>
      <c r="B723" t="s">
        <v>1229</v>
      </c>
      <c r="C723" t="s">
        <v>1236</v>
      </c>
      <c r="D723" t="s">
        <v>54</v>
      </c>
      <c r="E723" t="s">
        <v>60</v>
      </c>
      <c r="F723" t="s">
        <v>467</v>
      </c>
      <c r="G723" t="s">
        <v>468</v>
      </c>
      <c r="H723" t="s">
        <v>237</v>
      </c>
      <c r="I723" t="s">
        <v>43</v>
      </c>
      <c r="J723" t="s">
        <v>47</v>
      </c>
      <c r="K723" s="4">
        <v>106151</v>
      </c>
      <c r="L723" s="4">
        <v>299</v>
      </c>
      <c r="M723" s="4">
        <v>75304</v>
      </c>
      <c r="N723" s="4">
        <v>99311</v>
      </c>
      <c r="O723" s="4">
        <v>9</v>
      </c>
      <c r="P723" s="3">
        <v>6616.8806999999997</v>
      </c>
      <c r="Q723"/>
      <c r="R723"/>
      <c r="S723"/>
      <c r="T723"/>
      <c r="U723"/>
      <c r="V723"/>
      <c r="W723"/>
      <c r="X723"/>
    </row>
    <row r="724" spans="1:24">
      <c r="A724" t="s">
        <v>200</v>
      </c>
      <c r="B724" t="s">
        <v>200</v>
      </c>
      <c r="D724" t="s">
        <v>54</v>
      </c>
      <c r="E724" t="s">
        <v>55</v>
      </c>
      <c r="F724" t="s">
        <v>482</v>
      </c>
      <c r="G724" t="s">
        <v>483</v>
      </c>
      <c r="H724" t="s">
        <v>310</v>
      </c>
      <c r="I724" t="s">
        <v>36</v>
      </c>
      <c r="J724" t="s">
        <v>47</v>
      </c>
      <c r="K724" s="4">
        <v>272509</v>
      </c>
      <c r="L724" s="4">
        <v>736</v>
      </c>
      <c r="M724" s="4">
        <v>89526</v>
      </c>
      <c r="N724" s="4">
        <v>237859</v>
      </c>
      <c r="O724" s="4">
        <v>69</v>
      </c>
      <c r="P724" s="3">
        <v>8168.3471</v>
      </c>
      <c r="Q724"/>
      <c r="R724"/>
      <c r="S724"/>
      <c r="T724"/>
      <c r="U724"/>
      <c r="V724"/>
      <c r="W724"/>
      <c r="X724"/>
    </row>
    <row r="725" spans="1:24">
      <c r="A725" t="s">
        <v>200</v>
      </c>
      <c r="B725" t="s">
        <v>1237</v>
      </c>
      <c r="D725" t="s">
        <v>58</v>
      </c>
      <c r="E725" t="s">
        <v>55</v>
      </c>
      <c r="F725" t="s">
        <v>482</v>
      </c>
      <c r="G725" t="s">
        <v>483</v>
      </c>
      <c r="H725" t="s">
        <v>211</v>
      </c>
      <c r="I725" t="s">
        <v>36</v>
      </c>
      <c r="J725" t="s">
        <v>47</v>
      </c>
      <c r="K725" s="4">
        <v>184622</v>
      </c>
      <c r="L725" s="4">
        <v>180</v>
      </c>
      <c r="M725" s="4">
        <v>98938</v>
      </c>
      <c r="N725" s="4">
        <v>161848</v>
      </c>
      <c r="O725" s="4">
        <v>13</v>
      </c>
      <c r="P725" s="3">
        <v>7149.8161</v>
      </c>
      <c r="Q725"/>
      <c r="R725"/>
      <c r="S725"/>
      <c r="T725"/>
      <c r="U725"/>
      <c r="V725"/>
      <c r="W725"/>
      <c r="X725"/>
    </row>
    <row r="726" spans="1:24">
      <c r="A726" t="s">
        <v>200</v>
      </c>
      <c r="B726" t="s">
        <v>1237</v>
      </c>
      <c r="C726" t="s">
        <v>1238</v>
      </c>
      <c r="D726" t="s">
        <v>54</v>
      </c>
      <c r="E726" t="s">
        <v>57</v>
      </c>
      <c r="F726" t="s">
        <v>635</v>
      </c>
      <c r="G726" t="s">
        <v>531</v>
      </c>
      <c r="H726" t="s">
        <v>330</v>
      </c>
      <c r="I726" t="s">
        <v>42</v>
      </c>
      <c r="J726" t="s">
        <v>47</v>
      </c>
      <c r="K726" s="4">
        <v>189571</v>
      </c>
      <c r="L726" s="4">
        <v>500</v>
      </c>
      <c r="M726" s="4">
        <v>130676</v>
      </c>
      <c r="N726" s="4">
        <v>183688</v>
      </c>
      <c r="O726" s="4">
        <v>39</v>
      </c>
      <c r="P726" s="3">
        <v>6335.9484000000002</v>
      </c>
      <c r="Q726"/>
      <c r="R726"/>
      <c r="S726"/>
      <c r="T726"/>
      <c r="U726"/>
      <c r="V726"/>
      <c r="W726"/>
      <c r="X726"/>
    </row>
    <row r="727" spans="1:24">
      <c r="A727" t="s">
        <v>200</v>
      </c>
      <c r="B727" t="s">
        <v>1239</v>
      </c>
      <c r="D727" t="s">
        <v>54</v>
      </c>
      <c r="E727" t="s">
        <v>55</v>
      </c>
      <c r="F727" t="s">
        <v>506</v>
      </c>
      <c r="G727" t="s">
        <v>474</v>
      </c>
      <c r="H727" t="s">
        <v>254</v>
      </c>
      <c r="I727" t="s">
        <v>36</v>
      </c>
      <c r="J727" t="s">
        <v>47</v>
      </c>
      <c r="K727" s="4">
        <v>212009</v>
      </c>
      <c r="L727" s="4">
        <v>555</v>
      </c>
      <c r="M727" s="4">
        <v>16903</v>
      </c>
      <c r="N727" s="4">
        <v>149653</v>
      </c>
      <c r="O727" s="4">
        <v>15</v>
      </c>
      <c r="P727" s="3">
        <v>3983.6217999999999</v>
      </c>
      <c r="Q727"/>
      <c r="R727"/>
      <c r="S727"/>
      <c r="T727"/>
      <c r="U727"/>
      <c r="V727"/>
      <c r="W727"/>
      <c r="X727"/>
    </row>
    <row r="728" spans="1:24">
      <c r="A728" t="s">
        <v>200</v>
      </c>
      <c r="B728" t="s">
        <v>1240</v>
      </c>
      <c r="C728" t="s">
        <v>1241</v>
      </c>
      <c r="D728" t="s">
        <v>54</v>
      </c>
      <c r="E728" t="s">
        <v>57</v>
      </c>
      <c r="F728" t="s">
        <v>644</v>
      </c>
      <c r="G728" t="s">
        <v>464</v>
      </c>
      <c r="H728" t="s">
        <v>250</v>
      </c>
      <c r="I728" t="s">
        <v>36</v>
      </c>
      <c r="J728" t="s">
        <v>47</v>
      </c>
      <c r="K728" s="4">
        <v>91593</v>
      </c>
      <c r="L728" s="4">
        <v>40</v>
      </c>
      <c r="M728" s="4">
        <v>51004</v>
      </c>
      <c r="N728" s="4">
        <v>82985</v>
      </c>
      <c r="O728" s="4">
        <v>18</v>
      </c>
      <c r="P728" s="3">
        <v>1731.5849000000001</v>
      </c>
      <c r="Q728"/>
      <c r="R728"/>
      <c r="S728"/>
      <c r="T728"/>
      <c r="U728"/>
      <c r="V728"/>
      <c r="W728"/>
      <c r="X728"/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7A0306B2-5453-418B-A60E-052B29BD14FF}"/>
</file>

<file path=customXml/itemProps2.xml><?xml version="1.0" encoding="utf-8"?>
<ds:datastoreItem xmlns:ds="http://schemas.openxmlformats.org/officeDocument/2006/customXml" ds:itemID="{B5A313D4-03E5-4231-BA51-E4F28830EAC0}"/>
</file>

<file path=customXml/itemProps3.xml><?xml version="1.0" encoding="utf-8"?>
<ds:datastoreItem xmlns:ds="http://schemas.openxmlformats.org/officeDocument/2006/customXml" ds:itemID="{7EDC1EEE-E639-40AD-9785-4690968686D9}"/>
</file>

<file path=customXml/itemProps4.xml><?xml version="1.0" encoding="utf-8"?>
<ds:datastoreItem xmlns:ds="http://schemas.openxmlformats.org/officeDocument/2006/customXml" ds:itemID="{F3142D6A-C753-4851-BE0C-F15540921839}"/>
</file>

<file path=customXml/itemProps5.xml><?xml version="1.0" encoding="utf-8"?>
<ds:datastoreItem xmlns:ds="http://schemas.openxmlformats.org/officeDocument/2006/customXml" ds:itemID="{20BF4380-009C-4849-981E-C1F36773F451}"/>
</file>

<file path=customXml/itemProps6.xml><?xml version="1.0" encoding="utf-8"?>
<ds:datastoreItem xmlns:ds="http://schemas.openxmlformats.org/officeDocument/2006/customXml" ds:itemID="{94E27F37-C4AB-4A35-B177-4D2FFC8AE70C}"/>
</file>

<file path=customXml/itemProps7.xml><?xml version="1.0" encoding="utf-8"?>
<ds:datastoreItem xmlns:ds="http://schemas.openxmlformats.org/officeDocument/2006/customXml" ds:itemID="{92647764-27AB-40A8-A60D-C092FDFC982C}"/>
</file>

<file path=customXml/itemProps8.xml><?xml version="1.0" encoding="utf-8"?>
<ds:datastoreItem xmlns:ds="http://schemas.openxmlformats.org/officeDocument/2006/customXml" ds:itemID="{6EF14BFA-76E7-471D-B754-CEDE70DAE7CA}"/>
</file>

<file path=customXml/itemProps9.xml><?xml version="1.0" encoding="utf-8"?>
<ds:datastoreItem xmlns:ds="http://schemas.openxmlformats.org/officeDocument/2006/customXml" ds:itemID="{3BAFC57E-C5E4-4DD4-9738-F3C20CC1D09D}"/>
</file>

<file path=customXml/itemProps10.xml><?xml version="1.0" encoding="utf-8"?>
<ds:datastoreItem xmlns:ds="http://schemas.openxmlformats.org/officeDocument/2006/customXml" ds:itemID="{0B93D3BD-1CF3-48C2-9618-DADEA1B60E01}"/>
</file>

<file path=customXml/itemProps11.xml><?xml version="1.0" encoding="utf-8"?>
<ds:datastoreItem xmlns:ds="http://schemas.openxmlformats.org/officeDocument/2006/customXml" ds:itemID="{3086B2D2-EA3D-43C3-B24A-8D9A84F07F15}"/>
</file>

<file path=customXml/itemProps12.xml><?xml version="1.0" encoding="utf-8"?>
<ds:datastoreItem xmlns:ds="http://schemas.openxmlformats.org/officeDocument/2006/customXml" ds:itemID="{BACA5ED0-9EFA-43C5-BA70-F64B5ADAEC85}"/>
</file>

<file path=customXml/itemProps13.xml><?xml version="1.0" encoding="utf-8"?>
<ds:datastoreItem xmlns:ds="http://schemas.openxmlformats.org/officeDocument/2006/customXml" ds:itemID="{1B40739A-1543-4105-A0E3-78E9B9398B8D}"/>
</file>

<file path=customXml/itemProps14.xml><?xml version="1.0" encoding="utf-8"?>
<ds:datastoreItem xmlns:ds="http://schemas.openxmlformats.org/officeDocument/2006/customXml" ds:itemID="{F843BD07-12B7-4F43-9C6C-B955CF73B8AA}"/>
</file>

<file path=customXml/itemProps15.xml><?xml version="1.0" encoding="utf-8"?>
<ds:datastoreItem xmlns:ds="http://schemas.openxmlformats.org/officeDocument/2006/customXml" ds:itemID="{562A7CD8-82E6-4301-A3A5-71B7FD6B71B6}"/>
</file>

<file path=customXml/itemProps16.xml><?xml version="1.0" encoding="utf-8"?>
<ds:datastoreItem xmlns:ds="http://schemas.openxmlformats.org/officeDocument/2006/customXml" ds:itemID="{44FB750B-35EE-4A9C-9B04-1BAF960BAECB}"/>
</file>

<file path=customXml/itemProps17.xml><?xml version="1.0" encoding="utf-8"?>
<ds:datastoreItem xmlns:ds="http://schemas.openxmlformats.org/officeDocument/2006/customXml" ds:itemID="{954A8147-5B23-457E-A4DB-90719FAA9DC5}"/>
</file>

<file path=customXml/itemProps18.xml><?xml version="1.0" encoding="utf-8"?>
<ds:datastoreItem xmlns:ds="http://schemas.openxmlformats.org/officeDocument/2006/customXml" ds:itemID="{B1483C41-2027-46E5-9DFE-D75306185940}"/>
</file>

<file path=customXml/itemProps19.xml><?xml version="1.0" encoding="utf-8"?>
<ds:datastoreItem xmlns:ds="http://schemas.openxmlformats.org/officeDocument/2006/customXml" ds:itemID="{76725E2D-1EF2-461F-BBA5-EAC9FB3D98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Evgeni Reshetnikov</dc:creator>
  <cp:keywords/>
  <dc:description/>
  <cp:lastModifiedBy/>
  <cp:revision/>
  <dcterms:created xsi:type="dcterms:W3CDTF">2015-06-05T18:17:20Z</dcterms:created>
  <dcterms:modified xsi:type="dcterms:W3CDTF">2026-05-18T18:06:22Z</dcterms:modified>
  <cp:category/>
  <cp:contentStatus/>
</cp:coreProperties>
</file>