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matth\Downloads\"/>
    </mc:Choice>
  </mc:AlternateContent>
  <xr:revisionPtr revIDLastSave="0" documentId="13_ncr:1_{706091BB-4E28-450F-99EE-F92E52968C4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BL_DA_CAPSTONE_DATA" sheetId="2" r:id="rId1"/>
    <sheet name="Pivot Table" sheetId="3" r:id="rId2"/>
  </sheets>
  <definedNames>
    <definedName name="ExternalData_1" localSheetId="0" hidden="1">PBL_DA_CAPSTONE_DATA!$A$1:$S$728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3" i="2" l="1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3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2" i="2"/>
  <c r="Y113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3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2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7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Y235" i="2"/>
  <c r="Y236" i="2"/>
  <c r="Y237" i="2"/>
  <c r="Y238" i="2"/>
  <c r="Y239" i="2"/>
  <c r="Y240" i="2"/>
  <c r="Y241" i="2"/>
  <c r="Y242" i="2"/>
  <c r="Y243" i="2"/>
  <c r="Y244" i="2"/>
  <c r="Y245" i="2"/>
  <c r="Y246" i="2"/>
  <c r="Y247" i="2"/>
  <c r="Y248" i="2"/>
  <c r="Y249" i="2"/>
  <c r="Y250" i="2"/>
  <c r="Y251" i="2"/>
  <c r="Y252" i="2"/>
  <c r="Y253" i="2"/>
  <c r="Y254" i="2"/>
  <c r="Y255" i="2"/>
  <c r="Y256" i="2"/>
  <c r="Y257" i="2"/>
  <c r="Y258" i="2"/>
  <c r="Y259" i="2"/>
  <c r="Y260" i="2"/>
  <c r="Y261" i="2"/>
  <c r="Y262" i="2"/>
  <c r="Y263" i="2"/>
  <c r="Y264" i="2"/>
  <c r="Y265" i="2"/>
  <c r="Y266" i="2"/>
  <c r="Y267" i="2"/>
  <c r="Y268" i="2"/>
  <c r="Y269" i="2"/>
  <c r="Y270" i="2"/>
  <c r="Y271" i="2"/>
  <c r="Y272" i="2"/>
  <c r="Y273" i="2"/>
  <c r="Y274" i="2"/>
  <c r="Y275" i="2"/>
  <c r="Y276" i="2"/>
  <c r="Y277" i="2"/>
  <c r="Y278" i="2"/>
  <c r="Y279" i="2"/>
  <c r="Y280" i="2"/>
  <c r="Y281" i="2"/>
  <c r="Y282" i="2"/>
  <c r="Y283" i="2"/>
  <c r="Y284" i="2"/>
  <c r="Y285" i="2"/>
  <c r="Y286" i="2"/>
  <c r="Y287" i="2"/>
  <c r="Y288" i="2"/>
  <c r="Y289" i="2"/>
  <c r="Y290" i="2"/>
  <c r="Y291" i="2"/>
  <c r="Y292" i="2"/>
  <c r="Y293" i="2"/>
  <c r="Y294" i="2"/>
  <c r="Y295" i="2"/>
  <c r="Y296" i="2"/>
  <c r="Y297" i="2"/>
  <c r="Y298" i="2"/>
  <c r="Y299" i="2"/>
  <c r="Y300" i="2"/>
  <c r="Y301" i="2"/>
  <c r="Y302" i="2"/>
  <c r="Y303" i="2"/>
  <c r="Y304" i="2"/>
  <c r="Y305" i="2"/>
  <c r="Y306" i="2"/>
  <c r="Y307" i="2"/>
  <c r="Y308" i="2"/>
  <c r="Y309" i="2"/>
  <c r="Y310" i="2"/>
  <c r="Y311" i="2"/>
  <c r="Y312" i="2"/>
  <c r="Y313" i="2"/>
  <c r="Y314" i="2"/>
  <c r="Y315" i="2"/>
  <c r="Y316" i="2"/>
  <c r="Y317" i="2"/>
  <c r="Y318" i="2"/>
  <c r="Y319" i="2"/>
  <c r="Y320" i="2"/>
  <c r="Y321" i="2"/>
  <c r="Y322" i="2"/>
  <c r="Y323" i="2"/>
  <c r="Y324" i="2"/>
  <c r="Y325" i="2"/>
  <c r="Y326" i="2"/>
  <c r="Y327" i="2"/>
  <c r="Y328" i="2"/>
  <c r="Y329" i="2"/>
  <c r="Y330" i="2"/>
  <c r="Y331" i="2"/>
  <c r="Y332" i="2"/>
  <c r="Y333" i="2"/>
  <c r="Y334" i="2"/>
  <c r="Y335" i="2"/>
  <c r="Y336" i="2"/>
  <c r="Y337" i="2"/>
  <c r="Y338" i="2"/>
  <c r="Y339" i="2"/>
  <c r="Y340" i="2"/>
  <c r="Y341" i="2"/>
  <c r="Y342" i="2"/>
  <c r="Y343" i="2"/>
  <c r="Y344" i="2"/>
  <c r="Y345" i="2"/>
  <c r="Y346" i="2"/>
  <c r="Y347" i="2"/>
  <c r="Y348" i="2"/>
  <c r="Y349" i="2"/>
  <c r="Y350" i="2"/>
  <c r="Y351" i="2"/>
  <c r="Y352" i="2"/>
  <c r="Y353" i="2"/>
  <c r="Y354" i="2"/>
  <c r="Y355" i="2"/>
  <c r="Y356" i="2"/>
  <c r="Y357" i="2"/>
  <c r="Y358" i="2"/>
  <c r="Y359" i="2"/>
  <c r="Y360" i="2"/>
  <c r="Y361" i="2"/>
  <c r="Y362" i="2"/>
  <c r="Y363" i="2"/>
  <c r="Y364" i="2"/>
  <c r="Y365" i="2"/>
  <c r="Y366" i="2"/>
  <c r="Y367" i="2"/>
  <c r="Y368" i="2"/>
  <c r="Y369" i="2"/>
  <c r="Y370" i="2"/>
  <c r="Y371" i="2"/>
  <c r="Y372" i="2"/>
  <c r="Y373" i="2"/>
  <c r="Y374" i="2"/>
  <c r="Y375" i="2"/>
  <c r="Y376" i="2"/>
  <c r="Y377" i="2"/>
  <c r="Y378" i="2"/>
  <c r="Y379" i="2"/>
  <c r="Y380" i="2"/>
  <c r="Y381" i="2"/>
  <c r="Y382" i="2"/>
  <c r="Y383" i="2"/>
  <c r="Y384" i="2"/>
  <c r="Y385" i="2"/>
  <c r="Y386" i="2"/>
  <c r="Y387" i="2"/>
  <c r="Y388" i="2"/>
  <c r="Y389" i="2"/>
  <c r="Y390" i="2"/>
  <c r="Y391" i="2"/>
  <c r="Y392" i="2"/>
  <c r="Y393" i="2"/>
  <c r="Y394" i="2"/>
  <c r="Y395" i="2"/>
  <c r="Y396" i="2"/>
  <c r="Y397" i="2"/>
  <c r="Y398" i="2"/>
  <c r="Y399" i="2"/>
  <c r="Y400" i="2"/>
  <c r="Y401" i="2"/>
  <c r="Y402" i="2"/>
  <c r="Y403" i="2"/>
  <c r="Y404" i="2"/>
  <c r="Y405" i="2"/>
  <c r="Y406" i="2"/>
  <c r="Y407" i="2"/>
  <c r="Y408" i="2"/>
  <c r="Y409" i="2"/>
  <c r="Y410" i="2"/>
  <c r="Y411" i="2"/>
  <c r="Y412" i="2"/>
  <c r="Y413" i="2"/>
  <c r="Y414" i="2"/>
  <c r="Y415" i="2"/>
  <c r="Y416" i="2"/>
  <c r="Y417" i="2"/>
  <c r="Y418" i="2"/>
  <c r="Y419" i="2"/>
  <c r="Y420" i="2"/>
  <c r="Y421" i="2"/>
  <c r="Y422" i="2"/>
  <c r="Y423" i="2"/>
  <c r="Y424" i="2"/>
  <c r="Y425" i="2"/>
  <c r="Y426" i="2"/>
  <c r="Y427" i="2"/>
  <c r="Y428" i="2"/>
  <c r="Y429" i="2"/>
  <c r="Y430" i="2"/>
  <c r="Y431" i="2"/>
  <c r="Y432" i="2"/>
  <c r="Y433" i="2"/>
  <c r="Y434" i="2"/>
  <c r="Y435" i="2"/>
  <c r="Y436" i="2"/>
  <c r="Y437" i="2"/>
  <c r="Y438" i="2"/>
  <c r="Y439" i="2"/>
  <c r="Y440" i="2"/>
  <c r="Y441" i="2"/>
  <c r="Y442" i="2"/>
  <c r="Y443" i="2"/>
  <c r="Y444" i="2"/>
  <c r="Y445" i="2"/>
  <c r="Y446" i="2"/>
  <c r="Y447" i="2"/>
  <c r="Y448" i="2"/>
  <c r="Y449" i="2"/>
  <c r="Y450" i="2"/>
  <c r="Y451" i="2"/>
  <c r="Y452" i="2"/>
  <c r="Y453" i="2"/>
  <c r="Y454" i="2"/>
  <c r="Y455" i="2"/>
  <c r="Y456" i="2"/>
  <c r="Y457" i="2"/>
  <c r="Y458" i="2"/>
  <c r="Y459" i="2"/>
  <c r="Y460" i="2"/>
  <c r="Y461" i="2"/>
  <c r="Y462" i="2"/>
  <c r="Y463" i="2"/>
  <c r="Y464" i="2"/>
  <c r="Y465" i="2"/>
  <c r="Y466" i="2"/>
  <c r="Y467" i="2"/>
  <c r="Y468" i="2"/>
  <c r="Y469" i="2"/>
  <c r="Y470" i="2"/>
  <c r="Y471" i="2"/>
  <c r="Y472" i="2"/>
  <c r="Y473" i="2"/>
  <c r="Y474" i="2"/>
  <c r="Y475" i="2"/>
  <c r="Y476" i="2"/>
  <c r="Y477" i="2"/>
  <c r="Y478" i="2"/>
  <c r="Y479" i="2"/>
  <c r="Y480" i="2"/>
  <c r="Y481" i="2"/>
  <c r="Y482" i="2"/>
  <c r="Y483" i="2"/>
  <c r="Y484" i="2"/>
  <c r="Y485" i="2"/>
  <c r="Y486" i="2"/>
  <c r="Y487" i="2"/>
  <c r="Y488" i="2"/>
  <c r="Y489" i="2"/>
  <c r="Y490" i="2"/>
  <c r="Y491" i="2"/>
  <c r="Y492" i="2"/>
  <c r="Y493" i="2"/>
  <c r="Y494" i="2"/>
  <c r="Y495" i="2"/>
  <c r="Y496" i="2"/>
  <c r="Y497" i="2"/>
  <c r="Y498" i="2"/>
  <c r="Y499" i="2"/>
  <c r="Y500" i="2"/>
  <c r="Y501" i="2"/>
  <c r="Y502" i="2"/>
  <c r="Y503" i="2"/>
  <c r="Y504" i="2"/>
  <c r="Y505" i="2"/>
  <c r="Y506" i="2"/>
  <c r="Y507" i="2"/>
  <c r="Y508" i="2"/>
  <c r="Y509" i="2"/>
  <c r="Y510" i="2"/>
  <c r="Y511" i="2"/>
  <c r="Y512" i="2"/>
  <c r="Y513" i="2"/>
  <c r="Y514" i="2"/>
  <c r="Y515" i="2"/>
  <c r="Y516" i="2"/>
  <c r="Y517" i="2"/>
  <c r="Y518" i="2"/>
  <c r="Y519" i="2"/>
  <c r="Y520" i="2"/>
  <c r="Y521" i="2"/>
  <c r="Y522" i="2"/>
  <c r="Y523" i="2"/>
  <c r="Y524" i="2"/>
  <c r="Y525" i="2"/>
  <c r="Y526" i="2"/>
  <c r="Y527" i="2"/>
  <c r="Y528" i="2"/>
  <c r="Y529" i="2"/>
  <c r="Y530" i="2"/>
  <c r="Y531" i="2"/>
  <c r="Y532" i="2"/>
  <c r="Y533" i="2"/>
  <c r="Y534" i="2"/>
  <c r="Y535" i="2"/>
  <c r="Y536" i="2"/>
  <c r="Y537" i="2"/>
  <c r="Y538" i="2"/>
  <c r="Y539" i="2"/>
  <c r="Y540" i="2"/>
  <c r="Y541" i="2"/>
  <c r="Y542" i="2"/>
  <c r="Y543" i="2"/>
  <c r="Y544" i="2"/>
  <c r="Y545" i="2"/>
  <c r="Y546" i="2"/>
  <c r="Y547" i="2"/>
  <c r="Y548" i="2"/>
  <c r="Y549" i="2"/>
  <c r="Y550" i="2"/>
  <c r="Y551" i="2"/>
  <c r="Y552" i="2"/>
  <c r="Y553" i="2"/>
  <c r="Y554" i="2"/>
  <c r="Y555" i="2"/>
  <c r="Y556" i="2"/>
  <c r="Y557" i="2"/>
  <c r="Y558" i="2"/>
  <c r="Y559" i="2"/>
  <c r="Y560" i="2"/>
  <c r="Y561" i="2"/>
  <c r="Y562" i="2"/>
  <c r="Y563" i="2"/>
  <c r="Y564" i="2"/>
  <c r="Y565" i="2"/>
  <c r="Y566" i="2"/>
  <c r="Y567" i="2"/>
  <c r="Y568" i="2"/>
  <c r="Y569" i="2"/>
  <c r="Y570" i="2"/>
  <c r="Y571" i="2"/>
  <c r="Y572" i="2"/>
  <c r="Y573" i="2"/>
  <c r="Y574" i="2"/>
  <c r="Y575" i="2"/>
  <c r="Y576" i="2"/>
  <c r="Y577" i="2"/>
  <c r="Y578" i="2"/>
  <c r="Y579" i="2"/>
  <c r="Y580" i="2"/>
  <c r="Y581" i="2"/>
  <c r="Y582" i="2"/>
  <c r="Y583" i="2"/>
  <c r="Y584" i="2"/>
  <c r="Y585" i="2"/>
  <c r="Y586" i="2"/>
  <c r="Y587" i="2"/>
  <c r="Y588" i="2"/>
  <c r="Y589" i="2"/>
  <c r="Y590" i="2"/>
  <c r="Y591" i="2"/>
  <c r="Y592" i="2"/>
  <c r="Y593" i="2"/>
  <c r="Y594" i="2"/>
  <c r="Y595" i="2"/>
  <c r="Y596" i="2"/>
  <c r="Y597" i="2"/>
  <c r="Y598" i="2"/>
  <c r="Y599" i="2"/>
  <c r="Y600" i="2"/>
  <c r="Y601" i="2"/>
  <c r="Y602" i="2"/>
  <c r="Y603" i="2"/>
  <c r="Y604" i="2"/>
  <c r="Y605" i="2"/>
  <c r="Y606" i="2"/>
  <c r="Y607" i="2"/>
  <c r="Y608" i="2"/>
  <c r="Y609" i="2"/>
  <c r="Y610" i="2"/>
  <c r="Y611" i="2"/>
  <c r="Y612" i="2"/>
  <c r="Y613" i="2"/>
  <c r="Y614" i="2"/>
  <c r="Y615" i="2"/>
  <c r="Y616" i="2"/>
  <c r="Y617" i="2"/>
  <c r="Y618" i="2"/>
  <c r="Y619" i="2"/>
  <c r="Y620" i="2"/>
  <c r="Y621" i="2"/>
  <c r="Y622" i="2"/>
  <c r="Y623" i="2"/>
  <c r="Y624" i="2"/>
  <c r="Y625" i="2"/>
  <c r="Y626" i="2"/>
  <c r="Y627" i="2"/>
  <c r="Y628" i="2"/>
  <c r="Y629" i="2"/>
  <c r="Y630" i="2"/>
  <c r="Y631" i="2"/>
  <c r="Y632" i="2"/>
  <c r="Y633" i="2"/>
  <c r="Y634" i="2"/>
  <c r="Y635" i="2"/>
  <c r="Y636" i="2"/>
  <c r="Y637" i="2"/>
  <c r="Y638" i="2"/>
  <c r="Y639" i="2"/>
  <c r="Y640" i="2"/>
  <c r="Y641" i="2"/>
  <c r="Y642" i="2"/>
  <c r="Y643" i="2"/>
  <c r="Y644" i="2"/>
  <c r="Y645" i="2"/>
  <c r="Y646" i="2"/>
  <c r="Y647" i="2"/>
  <c r="Y648" i="2"/>
  <c r="Y649" i="2"/>
  <c r="Y650" i="2"/>
  <c r="Y651" i="2"/>
  <c r="Y652" i="2"/>
  <c r="Y653" i="2"/>
  <c r="Y654" i="2"/>
  <c r="Y655" i="2"/>
  <c r="Y656" i="2"/>
  <c r="Y657" i="2"/>
  <c r="Y658" i="2"/>
  <c r="Y659" i="2"/>
  <c r="Y660" i="2"/>
  <c r="Y661" i="2"/>
  <c r="Y662" i="2"/>
  <c r="Y663" i="2"/>
  <c r="Y664" i="2"/>
  <c r="Y665" i="2"/>
  <c r="Y666" i="2"/>
  <c r="Y667" i="2"/>
  <c r="Y668" i="2"/>
  <c r="Y669" i="2"/>
  <c r="Y670" i="2"/>
  <c r="Y671" i="2"/>
  <c r="Y672" i="2"/>
  <c r="Y673" i="2"/>
  <c r="Y674" i="2"/>
  <c r="Y675" i="2"/>
  <c r="Y676" i="2"/>
  <c r="Y677" i="2"/>
  <c r="Y678" i="2"/>
  <c r="Y679" i="2"/>
  <c r="Y680" i="2"/>
  <c r="Y681" i="2"/>
  <c r="Y682" i="2"/>
  <c r="Y683" i="2"/>
  <c r="Y684" i="2"/>
  <c r="Y685" i="2"/>
  <c r="Y686" i="2"/>
  <c r="Y687" i="2"/>
  <c r="Y688" i="2"/>
  <c r="Y689" i="2"/>
  <c r="Y690" i="2"/>
  <c r="Y691" i="2"/>
  <c r="Y692" i="2"/>
  <c r="Y693" i="2"/>
  <c r="Y694" i="2"/>
  <c r="Y2" i="2"/>
  <c r="X3" i="2"/>
  <c r="X4" i="2"/>
  <c r="X5" i="2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X41" i="2"/>
  <c r="X42" i="2"/>
  <c r="X43" i="2"/>
  <c r="X44" i="2"/>
  <c r="X45" i="2"/>
  <c r="X46" i="2"/>
  <c r="X47" i="2"/>
  <c r="X48" i="2"/>
  <c r="X49" i="2"/>
  <c r="X50" i="2"/>
  <c r="X51" i="2"/>
  <c r="X52" i="2"/>
  <c r="X53" i="2"/>
  <c r="X54" i="2"/>
  <c r="X55" i="2"/>
  <c r="X56" i="2"/>
  <c r="X57" i="2"/>
  <c r="X58" i="2"/>
  <c r="X59" i="2"/>
  <c r="X60" i="2"/>
  <c r="X61" i="2"/>
  <c r="X62" i="2"/>
  <c r="X63" i="2"/>
  <c r="X64" i="2"/>
  <c r="X65" i="2"/>
  <c r="X66" i="2"/>
  <c r="X67" i="2"/>
  <c r="X68" i="2"/>
  <c r="X69" i="2"/>
  <c r="X70" i="2"/>
  <c r="X71" i="2"/>
  <c r="X72" i="2"/>
  <c r="X73" i="2"/>
  <c r="X74" i="2"/>
  <c r="X75" i="2"/>
  <c r="X76" i="2"/>
  <c r="X77" i="2"/>
  <c r="X78" i="2"/>
  <c r="X79" i="2"/>
  <c r="X80" i="2"/>
  <c r="X81" i="2"/>
  <c r="X82" i="2"/>
  <c r="X83" i="2"/>
  <c r="X84" i="2"/>
  <c r="X85" i="2"/>
  <c r="X86" i="2"/>
  <c r="X87" i="2"/>
  <c r="X88" i="2"/>
  <c r="X89" i="2"/>
  <c r="X90" i="2"/>
  <c r="X91" i="2"/>
  <c r="X92" i="2"/>
  <c r="X93" i="2"/>
  <c r="X94" i="2"/>
  <c r="X95" i="2"/>
  <c r="X96" i="2"/>
  <c r="X97" i="2"/>
  <c r="X98" i="2"/>
  <c r="X99" i="2"/>
  <c r="X100" i="2"/>
  <c r="X101" i="2"/>
  <c r="X102" i="2"/>
  <c r="X103" i="2"/>
  <c r="X104" i="2"/>
  <c r="X105" i="2"/>
  <c r="X106" i="2"/>
  <c r="X107" i="2"/>
  <c r="X108" i="2"/>
  <c r="X109" i="2"/>
  <c r="X110" i="2"/>
  <c r="X111" i="2"/>
  <c r="X112" i="2"/>
  <c r="X113" i="2"/>
  <c r="X114" i="2"/>
  <c r="X115" i="2"/>
  <c r="X116" i="2"/>
  <c r="X117" i="2"/>
  <c r="X118" i="2"/>
  <c r="X119" i="2"/>
  <c r="X120" i="2"/>
  <c r="X121" i="2"/>
  <c r="X122" i="2"/>
  <c r="X123" i="2"/>
  <c r="X124" i="2"/>
  <c r="X125" i="2"/>
  <c r="X126" i="2"/>
  <c r="X127" i="2"/>
  <c r="X128" i="2"/>
  <c r="X129" i="2"/>
  <c r="X130" i="2"/>
  <c r="X131" i="2"/>
  <c r="X132" i="2"/>
  <c r="X133" i="2"/>
  <c r="X134" i="2"/>
  <c r="X135" i="2"/>
  <c r="X136" i="2"/>
  <c r="X137" i="2"/>
  <c r="X138" i="2"/>
  <c r="X139" i="2"/>
  <c r="X140" i="2"/>
  <c r="X141" i="2"/>
  <c r="X142" i="2"/>
  <c r="X143" i="2"/>
  <c r="X144" i="2"/>
  <c r="X145" i="2"/>
  <c r="X146" i="2"/>
  <c r="X147" i="2"/>
  <c r="X148" i="2"/>
  <c r="X149" i="2"/>
  <c r="X150" i="2"/>
  <c r="X151" i="2"/>
  <c r="X152" i="2"/>
  <c r="X153" i="2"/>
  <c r="X154" i="2"/>
  <c r="X155" i="2"/>
  <c r="X156" i="2"/>
  <c r="X157" i="2"/>
  <c r="X158" i="2"/>
  <c r="X159" i="2"/>
  <c r="X160" i="2"/>
  <c r="X161" i="2"/>
  <c r="X162" i="2"/>
  <c r="X163" i="2"/>
  <c r="X164" i="2"/>
  <c r="X165" i="2"/>
  <c r="X166" i="2"/>
  <c r="X167" i="2"/>
  <c r="X168" i="2"/>
  <c r="X169" i="2"/>
  <c r="X170" i="2"/>
  <c r="X171" i="2"/>
  <c r="X172" i="2"/>
  <c r="X173" i="2"/>
  <c r="X174" i="2"/>
  <c r="X175" i="2"/>
  <c r="X176" i="2"/>
  <c r="X177" i="2"/>
  <c r="X178" i="2"/>
  <c r="X179" i="2"/>
  <c r="X180" i="2"/>
  <c r="X181" i="2"/>
  <c r="X182" i="2"/>
  <c r="X183" i="2"/>
  <c r="X184" i="2"/>
  <c r="X185" i="2"/>
  <c r="X186" i="2"/>
  <c r="X187" i="2"/>
  <c r="X188" i="2"/>
  <c r="X189" i="2"/>
  <c r="X190" i="2"/>
  <c r="X191" i="2"/>
  <c r="X192" i="2"/>
  <c r="X193" i="2"/>
  <c r="X194" i="2"/>
  <c r="X195" i="2"/>
  <c r="X196" i="2"/>
  <c r="X197" i="2"/>
  <c r="X198" i="2"/>
  <c r="X199" i="2"/>
  <c r="X200" i="2"/>
  <c r="X201" i="2"/>
  <c r="X202" i="2"/>
  <c r="X203" i="2"/>
  <c r="X204" i="2"/>
  <c r="X205" i="2"/>
  <c r="X206" i="2"/>
  <c r="X207" i="2"/>
  <c r="X208" i="2"/>
  <c r="X209" i="2"/>
  <c r="X210" i="2"/>
  <c r="X211" i="2"/>
  <c r="X212" i="2"/>
  <c r="X213" i="2"/>
  <c r="X214" i="2"/>
  <c r="X215" i="2"/>
  <c r="X216" i="2"/>
  <c r="X217" i="2"/>
  <c r="X218" i="2"/>
  <c r="X219" i="2"/>
  <c r="X220" i="2"/>
  <c r="X221" i="2"/>
  <c r="X222" i="2"/>
  <c r="X223" i="2"/>
  <c r="X224" i="2"/>
  <c r="X225" i="2"/>
  <c r="X226" i="2"/>
  <c r="X227" i="2"/>
  <c r="X228" i="2"/>
  <c r="X229" i="2"/>
  <c r="X230" i="2"/>
  <c r="X231" i="2"/>
  <c r="X232" i="2"/>
  <c r="X233" i="2"/>
  <c r="X234" i="2"/>
  <c r="X235" i="2"/>
  <c r="X236" i="2"/>
  <c r="X237" i="2"/>
  <c r="X238" i="2"/>
  <c r="X239" i="2"/>
  <c r="X240" i="2"/>
  <c r="X241" i="2"/>
  <c r="X242" i="2"/>
  <c r="X243" i="2"/>
  <c r="X244" i="2"/>
  <c r="X245" i="2"/>
  <c r="X246" i="2"/>
  <c r="X247" i="2"/>
  <c r="X248" i="2"/>
  <c r="X249" i="2"/>
  <c r="X250" i="2"/>
  <c r="X251" i="2"/>
  <c r="X252" i="2"/>
  <c r="X253" i="2"/>
  <c r="X254" i="2"/>
  <c r="X255" i="2"/>
  <c r="X256" i="2"/>
  <c r="X257" i="2"/>
  <c r="X258" i="2"/>
  <c r="X259" i="2"/>
  <c r="X260" i="2"/>
  <c r="X261" i="2"/>
  <c r="X262" i="2"/>
  <c r="X263" i="2"/>
  <c r="X264" i="2"/>
  <c r="X265" i="2"/>
  <c r="X266" i="2"/>
  <c r="X267" i="2"/>
  <c r="X268" i="2"/>
  <c r="X269" i="2"/>
  <c r="X270" i="2"/>
  <c r="X271" i="2"/>
  <c r="X272" i="2"/>
  <c r="X273" i="2"/>
  <c r="X274" i="2"/>
  <c r="X275" i="2"/>
  <c r="X276" i="2"/>
  <c r="X277" i="2"/>
  <c r="X278" i="2"/>
  <c r="X279" i="2"/>
  <c r="X280" i="2"/>
  <c r="X281" i="2"/>
  <c r="X282" i="2"/>
  <c r="X283" i="2"/>
  <c r="X284" i="2"/>
  <c r="X285" i="2"/>
  <c r="X286" i="2"/>
  <c r="X287" i="2"/>
  <c r="X288" i="2"/>
  <c r="X289" i="2"/>
  <c r="X290" i="2"/>
  <c r="X291" i="2"/>
  <c r="X292" i="2"/>
  <c r="X293" i="2"/>
  <c r="X294" i="2"/>
  <c r="X295" i="2"/>
  <c r="X296" i="2"/>
  <c r="X297" i="2"/>
  <c r="X298" i="2"/>
  <c r="X299" i="2"/>
  <c r="X300" i="2"/>
  <c r="X301" i="2"/>
  <c r="X302" i="2"/>
  <c r="X303" i="2"/>
  <c r="X304" i="2"/>
  <c r="X305" i="2"/>
  <c r="X306" i="2"/>
  <c r="X307" i="2"/>
  <c r="X308" i="2"/>
  <c r="X309" i="2"/>
  <c r="X310" i="2"/>
  <c r="X311" i="2"/>
  <c r="X312" i="2"/>
  <c r="X313" i="2"/>
  <c r="X314" i="2"/>
  <c r="X315" i="2"/>
  <c r="X316" i="2"/>
  <c r="X317" i="2"/>
  <c r="X318" i="2"/>
  <c r="X319" i="2"/>
  <c r="X320" i="2"/>
  <c r="X321" i="2"/>
  <c r="X322" i="2"/>
  <c r="X323" i="2"/>
  <c r="X324" i="2"/>
  <c r="X325" i="2"/>
  <c r="X326" i="2"/>
  <c r="X327" i="2"/>
  <c r="X328" i="2"/>
  <c r="X329" i="2"/>
  <c r="X330" i="2"/>
  <c r="X331" i="2"/>
  <c r="X332" i="2"/>
  <c r="X333" i="2"/>
  <c r="X334" i="2"/>
  <c r="X335" i="2"/>
  <c r="X336" i="2"/>
  <c r="X337" i="2"/>
  <c r="X338" i="2"/>
  <c r="X339" i="2"/>
  <c r="X340" i="2"/>
  <c r="X341" i="2"/>
  <c r="X342" i="2"/>
  <c r="X343" i="2"/>
  <c r="X344" i="2"/>
  <c r="X345" i="2"/>
  <c r="X346" i="2"/>
  <c r="X347" i="2"/>
  <c r="X348" i="2"/>
  <c r="X349" i="2"/>
  <c r="X350" i="2"/>
  <c r="X351" i="2"/>
  <c r="X352" i="2"/>
  <c r="X353" i="2"/>
  <c r="X354" i="2"/>
  <c r="X355" i="2"/>
  <c r="X356" i="2"/>
  <c r="X357" i="2"/>
  <c r="X358" i="2"/>
  <c r="X359" i="2"/>
  <c r="X360" i="2"/>
  <c r="X361" i="2"/>
  <c r="X362" i="2"/>
  <c r="X363" i="2"/>
  <c r="X364" i="2"/>
  <c r="X365" i="2"/>
  <c r="X366" i="2"/>
  <c r="X367" i="2"/>
  <c r="X368" i="2"/>
  <c r="X369" i="2"/>
  <c r="X370" i="2"/>
  <c r="X371" i="2"/>
  <c r="X372" i="2"/>
  <c r="X373" i="2"/>
  <c r="X374" i="2"/>
  <c r="X375" i="2"/>
  <c r="X376" i="2"/>
  <c r="X377" i="2"/>
  <c r="X378" i="2"/>
  <c r="X379" i="2"/>
  <c r="X380" i="2"/>
  <c r="X381" i="2"/>
  <c r="X382" i="2"/>
  <c r="X383" i="2"/>
  <c r="X384" i="2"/>
  <c r="X385" i="2"/>
  <c r="X386" i="2"/>
  <c r="X387" i="2"/>
  <c r="X388" i="2"/>
  <c r="X389" i="2"/>
  <c r="X390" i="2"/>
  <c r="X391" i="2"/>
  <c r="X392" i="2"/>
  <c r="X393" i="2"/>
  <c r="X394" i="2"/>
  <c r="X395" i="2"/>
  <c r="X396" i="2"/>
  <c r="X397" i="2"/>
  <c r="X398" i="2"/>
  <c r="X399" i="2"/>
  <c r="X400" i="2"/>
  <c r="X401" i="2"/>
  <c r="X402" i="2"/>
  <c r="X403" i="2"/>
  <c r="X404" i="2"/>
  <c r="X405" i="2"/>
  <c r="X406" i="2"/>
  <c r="X407" i="2"/>
  <c r="X408" i="2"/>
  <c r="X409" i="2"/>
  <c r="X410" i="2"/>
  <c r="X411" i="2"/>
  <c r="X412" i="2"/>
  <c r="X413" i="2"/>
  <c r="X414" i="2"/>
  <c r="X415" i="2"/>
  <c r="X416" i="2"/>
  <c r="X417" i="2"/>
  <c r="X418" i="2"/>
  <c r="X419" i="2"/>
  <c r="X420" i="2"/>
  <c r="X421" i="2"/>
  <c r="X422" i="2"/>
  <c r="X423" i="2"/>
  <c r="X424" i="2"/>
  <c r="X425" i="2"/>
  <c r="X426" i="2"/>
  <c r="X427" i="2"/>
  <c r="X428" i="2"/>
  <c r="X429" i="2"/>
  <c r="X430" i="2"/>
  <c r="X431" i="2"/>
  <c r="X432" i="2"/>
  <c r="X433" i="2"/>
  <c r="X434" i="2"/>
  <c r="X435" i="2"/>
  <c r="X436" i="2"/>
  <c r="X437" i="2"/>
  <c r="X438" i="2"/>
  <c r="X439" i="2"/>
  <c r="X440" i="2"/>
  <c r="X441" i="2"/>
  <c r="X442" i="2"/>
  <c r="X443" i="2"/>
  <c r="X444" i="2"/>
  <c r="X445" i="2"/>
  <c r="X446" i="2"/>
  <c r="X447" i="2"/>
  <c r="X448" i="2"/>
  <c r="X449" i="2"/>
  <c r="X450" i="2"/>
  <c r="X451" i="2"/>
  <c r="X452" i="2"/>
  <c r="X453" i="2"/>
  <c r="X454" i="2"/>
  <c r="X455" i="2"/>
  <c r="X456" i="2"/>
  <c r="X457" i="2"/>
  <c r="X458" i="2"/>
  <c r="X459" i="2"/>
  <c r="X460" i="2"/>
  <c r="X461" i="2"/>
  <c r="X462" i="2"/>
  <c r="X463" i="2"/>
  <c r="X464" i="2"/>
  <c r="X465" i="2"/>
  <c r="X466" i="2"/>
  <c r="X467" i="2"/>
  <c r="X468" i="2"/>
  <c r="X469" i="2"/>
  <c r="X470" i="2"/>
  <c r="X471" i="2"/>
  <c r="X472" i="2"/>
  <c r="X473" i="2"/>
  <c r="X474" i="2"/>
  <c r="X475" i="2"/>
  <c r="X476" i="2"/>
  <c r="X477" i="2"/>
  <c r="X478" i="2"/>
  <c r="X479" i="2"/>
  <c r="X480" i="2"/>
  <c r="X481" i="2"/>
  <c r="X482" i="2"/>
  <c r="X483" i="2"/>
  <c r="X484" i="2"/>
  <c r="X485" i="2"/>
  <c r="X486" i="2"/>
  <c r="X487" i="2"/>
  <c r="X488" i="2"/>
  <c r="X489" i="2"/>
  <c r="X490" i="2"/>
  <c r="X491" i="2"/>
  <c r="X492" i="2"/>
  <c r="X493" i="2"/>
  <c r="X494" i="2"/>
  <c r="X495" i="2"/>
  <c r="X496" i="2"/>
  <c r="X497" i="2"/>
  <c r="X498" i="2"/>
  <c r="X499" i="2"/>
  <c r="X500" i="2"/>
  <c r="X501" i="2"/>
  <c r="X502" i="2"/>
  <c r="X503" i="2"/>
  <c r="X504" i="2"/>
  <c r="X505" i="2"/>
  <c r="X506" i="2"/>
  <c r="X507" i="2"/>
  <c r="X508" i="2"/>
  <c r="X509" i="2"/>
  <c r="X510" i="2"/>
  <c r="X511" i="2"/>
  <c r="X512" i="2"/>
  <c r="X513" i="2"/>
  <c r="X514" i="2"/>
  <c r="X515" i="2"/>
  <c r="X516" i="2"/>
  <c r="X517" i="2"/>
  <c r="X518" i="2"/>
  <c r="X519" i="2"/>
  <c r="X520" i="2"/>
  <c r="X521" i="2"/>
  <c r="X522" i="2"/>
  <c r="X523" i="2"/>
  <c r="X524" i="2"/>
  <c r="X525" i="2"/>
  <c r="X526" i="2"/>
  <c r="X527" i="2"/>
  <c r="X528" i="2"/>
  <c r="X529" i="2"/>
  <c r="X530" i="2"/>
  <c r="X531" i="2"/>
  <c r="X532" i="2"/>
  <c r="X533" i="2"/>
  <c r="X534" i="2"/>
  <c r="X535" i="2"/>
  <c r="X536" i="2"/>
  <c r="X537" i="2"/>
  <c r="X538" i="2"/>
  <c r="X539" i="2"/>
  <c r="X540" i="2"/>
  <c r="X541" i="2"/>
  <c r="X542" i="2"/>
  <c r="X543" i="2"/>
  <c r="X544" i="2"/>
  <c r="X545" i="2"/>
  <c r="X546" i="2"/>
  <c r="X547" i="2"/>
  <c r="X548" i="2"/>
  <c r="X549" i="2"/>
  <c r="X550" i="2"/>
  <c r="X551" i="2"/>
  <c r="X552" i="2"/>
  <c r="X553" i="2"/>
  <c r="X554" i="2"/>
  <c r="X555" i="2"/>
  <c r="X556" i="2"/>
  <c r="X557" i="2"/>
  <c r="X558" i="2"/>
  <c r="X559" i="2"/>
  <c r="X560" i="2"/>
  <c r="X561" i="2"/>
  <c r="X562" i="2"/>
  <c r="X563" i="2"/>
  <c r="X564" i="2"/>
  <c r="X565" i="2"/>
  <c r="X566" i="2"/>
  <c r="X567" i="2"/>
  <c r="X568" i="2"/>
  <c r="X569" i="2"/>
  <c r="X570" i="2"/>
  <c r="X571" i="2"/>
  <c r="X572" i="2"/>
  <c r="X573" i="2"/>
  <c r="X574" i="2"/>
  <c r="X575" i="2"/>
  <c r="X576" i="2"/>
  <c r="X577" i="2"/>
  <c r="X578" i="2"/>
  <c r="X579" i="2"/>
  <c r="X580" i="2"/>
  <c r="X581" i="2"/>
  <c r="X582" i="2"/>
  <c r="X583" i="2"/>
  <c r="X584" i="2"/>
  <c r="X585" i="2"/>
  <c r="X586" i="2"/>
  <c r="X587" i="2"/>
  <c r="X588" i="2"/>
  <c r="X589" i="2"/>
  <c r="X590" i="2"/>
  <c r="X591" i="2"/>
  <c r="X592" i="2"/>
  <c r="X593" i="2"/>
  <c r="X594" i="2"/>
  <c r="X595" i="2"/>
  <c r="X596" i="2"/>
  <c r="X597" i="2"/>
  <c r="X598" i="2"/>
  <c r="X599" i="2"/>
  <c r="X600" i="2"/>
  <c r="X601" i="2"/>
  <c r="X602" i="2"/>
  <c r="X603" i="2"/>
  <c r="X604" i="2"/>
  <c r="X605" i="2"/>
  <c r="X606" i="2"/>
  <c r="X607" i="2"/>
  <c r="X608" i="2"/>
  <c r="X609" i="2"/>
  <c r="X610" i="2"/>
  <c r="X611" i="2"/>
  <c r="X612" i="2"/>
  <c r="X613" i="2"/>
  <c r="X614" i="2"/>
  <c r="X615" i="2"/>
  <c r="X616" i="2"/>
  <c r="X617" i="2"/>
  <c r="X618" i="2"/>
  <c r="X619" i="2"/>
  <c r="X620" i="2"/>
  <c r="X621" i="2"/>
  <c r="X622" i="2"/>
  <c r="X623" i="2"/>
  <c r="X624" i="2"/>
  <c r="X625" i="2"/>
  <c r="X626" i="2"/>
  <c r="X627" i="2"/>
  <c r="X628" i="2"/>
  <c r="X629" i="2"/>
  <c r="X630" i="2"/>
  <c r="X631" i="2"/>
  <c r="X632" i="2"/>
  <c r="X633" i="2"/>
  <c r="X634" i="2"/>
  <c r="X635" i="2"/>
  <c r="X636" i="2"/>
  <c r="X637" i="2"/>
  <c r="X638" i="2"/>
  <c r="X639" i="2"/>
  <c r="X640" i="2"/>
  <c r="X641" i="2"/>
  <c r="X642" i="2"/>
  <c r="X643" i="2"/>
  <c r="X644" i="2"/>
  <c r="X645" i="2"/>
  <c r="X646" i="2"/>
  <c r="X647" i="2"/>
  <c r="X648" i="2"/>
  <c r="X649" i="2"/>
  <c r="X650" i="2"/>
  <c r="X651" i="2"/>
  <c r="X652" i="2"/>
  <c r="X653" i="2"/>
  <c r="X654" i="2"/>
  <c r="X655" i="2"/>
  <c r="X656" i="2"/>
  <c r="X657" i="2"/>
  <c r="X658" i="2"/>
  <c r="X659" i="2"/>
  <c r="X660" i="2"/>
  <c r="X661" i="2"/>
  <c r="X662" i="2"/>
  <c r="X663" i="2"/>
  <c r="X664" i="2"/>
  <c r="X665" i="2"/>
  <c r="X666" i="2"/>
  <c r="X667" i="2"/>
  <c r="X668" i="2"/>
  <c r="X669" i="2"/>
  <c r="X670" i="2"/>
  <c r="X671" i="2"/>
  <c r="X672" i="2"/>
  <c r="X673" i="2"/>
  <c r="X674" i="2"/>
  <c r="X675" i="2"/>
  <c r="X676" i="2"/>
  <c r="X677" i="2"/>
  <c r="X678" i="2"/>
  <c r="X679" i="2"/>
  <c r="X680" i="2"/>
  <c r="X681" i="2"/>
  <c r="X682" i="2"/>
  <c r="X683" i="2"/>
  <c r="X684" i="2"/>
  <c r="X685" i="2"/>
  <c r="X686" i="2"/>
  <c r="X687" i="2"/>
  <c r="X688" i="2"/>
  <c r="X689" i="2"/>
  <c r="X690" i="2"/>
  <c r="X691" i="2"/>
  <c r="X692" i="2"/>
  <c r="X693" i="2"/>
  <c r="X694" i="2"/>
  <c r="X695" i="2"/>
  <c r="X696" i="2"/>
  <c r="X697" i="2"/>
  <c r="X698" i="2"/>
  <c r="X699" i="2"/>
  <c r="X700" i="2"/>
  <c r="X701" i="2"/>
  <c r="X702" i="2"/>
  <c r="X703" i="2"/>
  <c r="X704" i="2"/>
  <c r="X705" i="2"/>
  <c r="X706" i="2"/>
  <c r="X707" i="2"/>
  <c r="X708" i="2"/>
  <c r="X709" i="2"/>
  <c r="X710" i="2"/>
  <c r="X711" i="2"/>
  <c r="X712" i="2"/>
  <c r="X713" i="2"/>
  <c r="X714" i="2"/>
  <c r="X715" i="2"/>
  <c r="X716" i="2"/>
  <c r="X717" i="2"/>
  <c r="X718" i="2"/>
  <c r="X719" i="2"/>
  <c r="X720" i="2"/>
  <c r="X721" i="2"/>
  <c r="X722" i="2"/>
  <c r="X723" i="2"/>
  <c r="X724" i="2"/>
  <c r="X725" i="2"/>
  <c r="X726" i="2"/>
  <c r="X727" i="2"/>
  <c r="X728" i="2"/>
  <c r="X2" i="2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38" i="2"/>
  <c r="W39" i="2"/>
  <c r="W40" i="2"/>
  <c r="W41" i="2"/>
  <c r="W42" i="2"/>
  <c r="W43" i="2"/>
  <c r="W44" i="2"/>
  <c r="W45" i="2"/>
  <c r="W46" i="2"/>
  <c r="W47" i="2"/>
  <c r="W48" i="2"/>
  <c r="W49" i="2"/>
  <c r="W50" i="2"/>
  <c r="W51" i="2"/>
  <c r="W52" i="2"/>
  <c r="W53" i="2"/>
  <c r="W54" i="2"/>
  <c r="W55" i="2"/>
  <c r="W56" i="2"/>
  <c r="W57" i="2"/>
  <c r="W58" i="2"/>
  <c r="W59" i="2"/>
  <c r="W60" i="2"/>
  <c r="W61" i="2"/>
  <c r="W62" i="2"/>
  <c r="W63" i="2"/>
  <c r="W64" i="2"/>
  <c r="W65" i="2"/>
  <c r="W66" i="2"/>
  <c r="W67" i="2"/>
  <c r="W68" i="2"/>
  <c r="W69" i="2"/>
  <c r="W70" i="2"/>
  <c r="W71" i="2"/>
  <c r="W72" i="2"/>
  <c r="W73" i="2"/>
  <c r="W74" i="2"/>
  <c r="W75" i="2"/>
  <c r="W76" i="2"/>
  <c r="W77" i="2"/>
  <c r="W78" i="2"/>
  <c r="W79" i="2"/>
  <c r="W80" i="2"/>
  <c r="W81" i="2"/>
  <c r="W82" i="2"/>
  <c r="W83" i="2"/>
  <c r="W84" i="2"/>
  <c r="W85" i="2"/>
  <c r="W86" i="2"/>
  <c r="W87" i="2"/>
  <c r="W88" i="2"/>
  <c r="W89" i="2"/>
  <c r="W90" i="2"/>
  <c r="W91" i="2"/>
  <c r="W92" i="2"/>
  <c r="W93" i="2"/>
  <c r="W94" i="2"/>
  <c r="W95" i="2"/>
  <c r="W96" i="2"/>
  <c r="W97" i="2"/>
  <c r="W98" i="2"/>
  <c r="W99" i="2"/>
  <c r="W100" i="2"/>
  <c r="W101" i="2"/>
  <c r="W102" i="2"/>
  <c r="W103" i="2"/>
  <c r="W104" i="2"/>
  <c r="W105" i="2"/>
  <c r="W106" i="2"/>
  <c r="W107" i="2"/>
  <c r="W108" i="2"/>
  <c r="W109" i="2"/>
  <c r="W110" i="2"/>
  <c r="W111" i="2"/>
  <c r="W112" i="2"/>
  <c r="W113" i="2"/>
  <c r="W114" i="2"/>
  <c r="W115" i="2"/>
  <c r="W116" i="2"/>
  <c r="W117" i="2"/>
  <c r="W118" i="2"/>
  <c r="W119" i="2"/>
  <c r="W120" i="2"/>
  <c r="W121" i="2"/>
  <c r="W122" i="2"/>
  <c r="W123" i="2"/>
  <c r="W124" i="2"/>
  <c r="W125" i="2"/>
  <c r="W126" i="2"/>
  <c r="W127" i="2"/>
  <c r="W128" i="2"/>
  <c r="W129" i="2"/>
  <c r="W130" i="2"/>
  <c r="W131" i="2"/>
  <c r="W132" i="2"/>
  <c r="W133" i="2"/>
  <c r="W134" i="2"/>
  <c r="W135" i="2"/>
  <c r="W136" i="2"/>
  <c r="W137" i="2"/>
  <c r="W138" i="2"/>
  <c r="W139" i="2"/>
  <c r="W140" i="2"/>
  <c r="W141" i="2"/>
  <c r="W142" i="2"/>
  <c r="W143" i="2"/>
  <c r="W144" i="2"/>
  <c r="W145" i="2"/>
  <c r="W146" i="2"/>
  <c r="W147" i="2"/>
  <c r="W148" i="2"/>
  <c r="W149" i="2"/>
  <c r="W150" i="2"/>
  <c r="W151" i="2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W169" i="2"/>
  <c r="W170" i="2"/>
  <c r="W171" i="2"/>
  <c r="W172" i="2"/>
  <c r="W173" i="2"/>
  <c r="W174" i="2"/>
  <c r="W175" i="2"/>
  <c r="W176" i="2"/>
  <c r="W177" i="2"/>
  <c r="W178" i="2"/>
  <c r="W179" i="2"/>
  <c r="W180" i="2"/>
  <c r="W181" i="2"/>
  <c r="W182" i="2"/>
  <c r="W183" i="2"/>
  <c r="W184" i="2"/>
  <c r="W185" i="2"/>
  <c r="W186" i="2"/>
  <c r="W187" i="2"/>
  <c r="W188" i="2"/>
  <c r="W189" i="2"/>
  <c r="W190" i="2"/>
  <c r="W191" i="2"/>
  <c r="W192" i="2"/>
  <c r="W193" i="2"/>
  <c r="W194" i="2"/>
  <c r="W195" i="2"/>
  <c r="W196" i="2"/>
  <c r="W197" i="2"/>
  <c r="W198" i="2"/>
  <c r="W199" i="2"/>
  <c r="W200" i="2"/>
  <c r="W201" i="2"/>
  <c r="W202" i="2"/>
  <c r="W203" i="2"/>
  <c r="W204" i="2"/>
  <c r="W205" i="2"/>
  <c r="W206" i="2"/>
  <c r="W207" i="2"/>
  <c r="W208" i="2"/>
  <c r="W209" i="2"/>
  <c r="W210" i="2"/>
  <c r="W211" i="2"/>
  <c r="W212" i="2"/>
  <c r="W213" i="2"/>
  <c r="W214" i="2"/>
  <c r="W215" i="2"/>
  <c r="W216" i="2"/>
  <c r="W217" i="2"/>
  <c r="W218" i="2"/>
  <c r="W219" i="2"/>
  <c r="W220" i="2"/>
  <c r="W221" i="2"/>
  <c r="W222" i="2"/>
  <c r="W223" i="2"/>
  <c r="W224" i="2"/>
  <c r="W225" i="2"/>
  <c r="W226" i="2"/>
  <c r="W227" i="2"/>
  <c r="W228" i="2"/>
  <c r="W229" i="2"/>
  <c r="W230" i="2"/>
  <c r="W231" i="2"/>
  <c r="W232" i="2"/>
  <c r="W233" i="2"/>
  <c r="W234" i="2"/>
  <c r="W235" i="2"/>
  <c r="W236" i="2"/>
  <c r="W237" i="2"/>
  <c r="W238" i="2"/>
  <c r="W239" i="2"/>
  <c r="W240" i="2"/>
  <c r="W241" i="2"/>
  <c r="W242" i="2"/>
  <c r="W243" i="2"/>
  <c r="W244" i="2"/>
  <c r="W245" i="2"/>
  <c r="W246" i="2"/>
  <c r="W247" i="2"/>
  <c r="W248" i="2"/>
  <c r="W249" i="2"/>
  <c r="W250" i="2"/>
  <c r="W251" i="2"/>
  <c r="W252" i="2"/>
  <c r="W253" i="2"/>
  <c r="W254" i="2"/>
  <c r="W255" i="2"/>
  <c r="W256" i="2"/>
  <c r="W257" i="2"/>
  <c r="W258" i="2"/>
  <c r="W259" i="2"/>
  <c r="W260" i="2"/>
  <c r="W261" i="2"/>
  <c r="W262" i="2"/>
  <c r="W263" i="2"/>
  <c r="W264" i="2"/>
  <c r="W265" i="2"/>
  <c r="W266" i="2"/>
  <c r="W267" i="2"/>
  <c r="W268" i="2"/>
  <c r="W269" i="2"/>
  <c r="W270" i="2"/>
  <c r="W271" i="2"/>
  <c r="W272" i="2"/>
  <c r="W273" i="2"/>
  <c r="W274" i="2"/>
  <c r="W275" i="2"/>
  <c r="W276" i="2"/>
  <c r="W277" i="2"/>
  <c r="W278" i="2"/>
  <c r="W279" i="2"/>
  <c r="W280" i="2"/>
  <c r="W281" i="2"/>
  <c r="W282" i="2"/>
  <c r="W283" i="2"/>
  <c r="W284" i="2"/>
  <c r="W285" i="2"/>
  <c r="W286" i="2"/>
  <c r="W287" i="2"/>
  <c r="W288" i="2"/>
  <c r="W289" i="2"/>
  <c r="W290" i="2"/>
  <c r="W291" i="2"/>
  <c r="W292" i="2"/>
  <c r="W293" i="2"/>
  <c r="W294" i="2"/>
  <c r="W295" i="2"/>
  <c r="W296" i="2"/>
  <c r="W297" i="2"/>
  <c r="W298" i="2"/>
  <c r="W299" i="2"/>
  <c r="W300" i="2"/>
  <c r="W301" i="2"/>
  <c r="W302" i="2"/>
  <c r="W303" i="2"/>
  <c r="W304" i="2"/>
  <c r="W305" i="2"/>
  <c r="W306" i="2"/>
  <c r="W307" i="2"/>
  <c r="W308" i="2"/>
  <c r="W309" i="2"/>
  <c r="W310" i="2"/>
  <c r="W311" i="2"/>
  <c r="W312" i="2"/>
  <c r="W313" i="2"/>
  <c r="W314" i="2"/>
  <c r="W315" i="2"/>
  <c r="W316" i="2"/>
  <c r="W317" i="2"/>
  <c r="W318" i="2"/>
  <c r="W319" i="2"/>
  <c r="W320" i="2"/>
  <c r="W321" i="2"/>
  <c r="W322" i="2"/>
  <c r="W323" i="2"/>
  <c r="W324" i="2"/>
  <c r="W325" i="2"/>
  <c r="W326" i="2"/>
  <c r="W327" i="2"/>
  <c r="W328" i="2"/>
  <c r="W329" i="2"/>
  <c r="W330" i="2"/>
  <c r="W331" i="2"/>
  <c r="W332" i="2"/>
  <c r="W333" i="2"/>
  <c r="W334" i="2"/>
  <c r="W335" i="2"/>
  <c r="W336" i="2"/>
  <c r="W337" i="2"/>
  <c r="W338" i="2"/>
  <c r="W339" i="2"/>
  <c r="W340" i="2"/>
  <c r="W341" i="2"/>
  <c r="W342" i="2"/>
  <c r="W343" i="2"/>
  <c r="W344" i="2"/>
  <c r="W345" i="2"/>
  <c r="W346" i="2"/>
  <c r="W347" i="2"/>
  <c r="W348" i="2"/>
  <c r="W349" i="2"/>
  <c r="W350" i="2"/>
  <c r="W351" i="2"/>
  <c r="W352" i="2"/>
  <c r="W353" i="2"/>
  <c r="W354" i="2"/>
  <c r="W355" i="2"/>
  <c r="W356" i="2"/>
  <c r="W357" i="2"/>
  <c r="W358" i="2"/>
  <c r="W359" i="2"/>
  <c r="W360" i="2"/>
  <c r="W361" i="2"/>
  <c r="W362" i="2"/>
  <c r="W363" i="2"/>
  <c r="W364" i="2"/>
  <c r="W365" i="2"/>
  <c r="W366" i="2"/>
  <c r="W367" i="2"/>
  <c r="W368" i="2"/>
  <c r="W369" i="2"/>
  <c r="W370" i="2"/>
  <c r="W371" i="2"/>
  <c r="W372" i="2"/>
  <c r="W373" i="2"/>
  <c r="W374" i="2"/>
  <c r="W375" i="2"/>
  <c r="W376" i="2"/>
  <c r="W377" i="2"/>
  <c r="W378" i="2"/>
  <c r="W379" i="2"/>
  <c r="W380" i="2"/>
  <c r="W381" i="2"/>
  <c r="W382" i="2"/>
  <c r="W383" i="2"/>
  <c r="W384" i="2"/>
  <c r="W385" i="2"/>
  <c r="W386" i="2"/>
  <c r="W387" i="2"/>
  <c r="W388" i="2"/>
  <c r="W389" i="2"/>
  <c r="W390" i="2"/>
  <c r="W391" i="2"/>
  <c r="W392" i="2"/>
  <c r="W393" i="2"/>
  <c r="W394" i="2"/>
  <c r="W395" i="2"/>
  <c r="W396" i="2"/>
  <c r="W397" i="2"/>
  <c r="W398" i="2"/>
  <c r="W399" i="2"/>
  <c r="W400" i="2"/>
  <c r="W401" i="2"/>
  <c r="W402" i="2"/>
  <c r="W403" i="2"/>
  <c r="W404" i="2"/>
  <c r="W405" i="2"/>
  <c r="W406" i="2"/>
  <c r="W407" i="2"/>
  <c r="W408" i="2"/>
  <c r="W409" i="2"/>
  <c r="W410" i="2"/>
  <c r="W411" i="2"/>
  <c r="W412" i="2"/>
  <c r="W413" i="2"/>
  <c r="W414" i="2"/>
  <c r="W415" i="2"/>
  <c r="W416" i="2"/>
  <c r="W417" i="2"/>
  <c r="W418" i="2"/>
  <c r="W419" i="2"/>
  <c r="W420" i="2"/>
  <c r="W421" i="2"/>
  <c r="W422" i="2"/>
  <c r="W423" i="2"/>
  <c r="W424" i="2"/>
  <c r="W425" i="2"/>
  <c r="W426" i="2"/>
  <c r="W427" i="2"/>
  <c r="W428" i="2"/>
  <c r="W429" i="2"/>
  <c r="W430" i="2"/>
  <c r="W431" i="2"/>
  <c r="W432" i="2"/>
  <c r="W433" i="2"/>
  <c r="W434" i="2"/>
  <c r="W435" i="2"/>
  <c r="W436" i="2"/>
  <c r="W437" i="2"/>
  <c r="W438" i="2"/>
  <c r="W439" i="2"/>
  <c r="W440" i="2"/>
  <c r="W441" i="2"/>
  <c r="W442" i="2"/>
  <c r="W443" i="2"/>
  <c r="W444" i="2"/>
  <c r="W445" i="2"/>
  <c r="W446" i="2"/>
  <c r="W447" i="2"/>
  <c r="W448" i="2"/>
  <c r="W449" i="2"/>
  <c r="W450" i="2"/>
  <c r="W451" i="2"/>
  <c r="W452" i="2"/>
  <c r="W453" i="2"/>
  <c r="W454" i="2"/>
  <c r="W455" i="2"/>
  <c r="W456" i="2"/>
  <c r="W457" i="2"/>
  <c r="W458" i="2"/>
  <c r="W459" i="2"/>
  <c r="W460" i="2"/>
  <c r="W461" i="2"/>
  <c r="W462" i="2"/>
  <c r="W463" i="2"/>
  <c r="W464" i="2"/>
  <c r="W465" i="2"/>
  <c r="W466" i="2"/>
  <c r="W467" i="2"/>
  <c r="W468" i="2"/>
  <c r="W469" i="2"/>
  <c r="W470" i="2"/>
  <c r="W471" i="2"/>
  <c r="W472" i="2"/>
  <c r="W473" i="2"/>
  <c r="W474" i="2"/>
  <c r="W475" i="2"/>
  <c r="W476" i="2"/>
  <c r="W477" i="2"/>
  <c r="W478" i="2"/>
  <c r="W479" i="2"/>
  <c r="W480" i="2"/>
  <c r="W481" i="2"/>
  <c r="W482" i="2"/>
  <c r="W483" i="2"/>
  <c r="W484" i="2"/>
  <c r="W485" i="2"/>
  <c r="W486" i="2"/>
  <c r="W487" i="2"/>
  <c r="W488" i="2"/>
  <c r="W489" i="2"/>
  <c r="W490" i="2"/>
  <c r="W491" i="2"/>
  <c r="W492" i="2"/>
  <c r="W493" i="2"/>
  <c r="W494" i="2"/>
  <c r="W495" i="2"/>
  <c r="W496" i="2"/>
  <c r="W497" i="2"/>
  <c r="W498" i="2"/>
  <c r="W499" i="2"/>
  <c r="W500" i="2"/>
  <c r="W501" i="2"/>
  <c r="W502" i="2"/>
  <c r="W503" i="2"/>
  <c r="W504" i="2"/>
  <c r="W505" i="2"/>
  <c r="W506" i="2"/>
  <c r="W507" i="2"/>
  <c r="W508" i="2"/>
  <c r="W509" i="2"/>
  <c r="W510" i="2"/>
  <c r="W511" i="2"/>
  <c r="W512" i="2"/>
  <c r="W513" i="2"/>
  <c r="W514" i="2"/>
  <c r="W515" i="2"/>
  <c r="W516" i="2"/>
  <c r="W517" i="2"/>
  <c r="W518" i="2"/>
  <c r="W519" i="2"/>
  <c r="W520" i="2"/>
  <c r="W521" i="2"/>
  <c r="W522" i="2"/>
  <c r="W523" i="2"/>
  <c r="W524" i="2"/>
  <c r="W525" i="2"/>
  <c r="W526" i="2"/>
  <c r="W527" i="2"/>
  <c r="W528" i="2"/>
  <c r="W529" i="2"/>
  <c r="W530" i="2"/>
  <c r="W531" i="2"/>
  <c r="W532" i="2"/>
  <c r="W533" i="2"/>
  <c r="W534" i="2"/>
  <c r="W535" i="2"/>
  <c r="W536" i="2"/>
  <c r="W537" i="2"/>
  <c r="W538" i="2"/>
  <c r="W539" i="2"/>
  <c r="W540" i="2"/>
  <c r="W541" i="2"/>
  <c r="W542" i="2"/>
  <c r="W543" i="2"/>
  <c r="W544" i="2"/>
  <c r="W545" i="2"/>
  <c r="W546" i="2"/>
  <c r="W547" i="2"/>
  <c r="W548" i="2"/>
  <c r="W549" i="2"/>
  <c r="W550" i="2"/>
  <c r="W551" i="2"/>
  <c r="W552" i="2"/>
  <c r="W553" i="2"/>
  <c r="W554" i="2"/>
  <c r="W555" i="2"/>
  <c r="W556" i="2"/>
  <c r="W557" i="2"/>
  <c r="W558" i="2"/>
  <c r="W559" i="2"/>
  <c r="W560" i="2"/>
  <c r="W561" i="2"/>
  <c r="W562" i="2"/>
  <c r="W563" i="2"/>
  <c r="W564" i="2"/>
  <c r="W565" i="2"/>
  <c r="W566" i="2"/>
  <c r="W567" i="2"/>
  <c r="W568" i="2"/>
  <c r="W569" i="2"/>
  <c r="W570" i="2"/>
  <c r="W571" i="2"/>
  <c r="W572" i="2"/>
  <c r="W573" i="2"/>
  <c r="W574" i="2"/>
  <c r="W575" i="2"/>
  <c r="W576" i="2"/>
  <c r="W577" i="2"/>
  <c r="W578" i="2"/>
  <c r="W579" i="2"/>
  <c r="W580" i="2"/>
  <c r="W581" i="2"/>
  <c r="W582" i="2"/>
  <c r="W583" i="2"/>
  <c r="W584" i="2"/>
  <c r="W585" i="2"/>
  <c r="W586" i="2"/>
  <c r="W587" i="2"/>
  <c r="W588" i="2"/>
  <c r="W589" i="2"/>
  <c r="W590" i="2"/>
  <c r="W591" i="2"/>
  <c r="W592" i="2"/>
  <c r="W593" i="2"/>
  <c r="W594" i="2"/>
  <c r="W595" i="2"/>
  <c r="W596" i="2"/>
  <c r="W597" i="2"/>
  <c r="W598" i="2"/>
  <c r="W599" i="2"/>
  <c r="W600" i="2"/>
  <c r="W601" i="2"/>
  <c r="W602" i="2"/>
  <c r="W603" i="2"/>
  <c r="W604" i="2"/>
  <c r="W605" i="2"/>
  <c r="W606" i="2"/>
  <c r="W607" i="2"/>
  <c r="W608" i="2"/>
  <c r="W609" i="2"/>
  <c r="W610" i="2"/>
  <c r="W611" i="2"/>
  <c r="W612" i="2"/>
  <c r="W613" i="2"/>
  <c r="W614" i="2"/>
  <c r="W615" i="2"/>
  <c r="W616" i="2"/>
  <c r="W617" i="2"/>
  <c r="W618" i="2"/>
  <c r="W619" i="2"/>
  <c r="W620" i="2"/>
  <c r="W621" i="2"/>
  <c r="W622" i="2"/>
  <c r="W623" i="2"/>
  <c r="W624" i="2"/>
  <c r="W625" i="2"/>
  <c r="W626" i="2"/>
  <c r="W627" i="2"/>
  <c r="W628" i="2"/>
  <c r="W629" i="2"/>
  <c r="W630" i="2"/>
  <c r="W631" i="2"/>
  <c r="W632" i="2"/>
  <c r="W633" i="2"/>
  <c r="W634" i="2"/>
  <c r="W635" i="2"/>
  <c r="W636" i="2"/>
  <c r="W637" i="2"/>
  <c r="W638" i="2"/>
  <c r="W639" i="2"/>
  <c r="W640" i="2"/>
  <c r="W641" i="2"/>
  <c r="W642" i="2"/>
  <c r="W643" i="2"/>
  <c r="W644" i="2"/>
  <c r="W645" i="2"/>
  <c r="W646" i="2"/>
  <c r="W647" i="2"/>
  <c r="W648" i="2"/>
  <c r="W649" i="2"/>
  <c r="W650" i="2"/>
  <c r="W651" i="2"/>
  <c r="W652" i="2"/>
  <c r="W653" i="2"/>
  <c r="W654" i="2"/>
  <c r="W655" i="2"/>
  <c r="W656" i="2"/>
  <c r="W657" i="2"/>
  <c r="W658" i="2"/>
  <c r="W659" i="2"/>
  <c r="W660" i="2"/>
  <c r="W661" i="2"/>
  <c r="W662" i="2"/>
  <c r="W663" i="2"/>
  <c r="W664" i="2"/>
  <c r="W665" i="2"/>
  <c r="W666" i="2"/>
  <c r="W667" i="2"/>
  <c r="W668" i="2"/>
  <c r="W669" i="2"/>
  <c r="W670" i="2"/>
  <c r="W671" i="2"/>
  <c r="W672" i="2"/>
  <c r="W673" i="2"/>
  <c r="W674" i="2"/>
  <c r="W675" i="2"/>
  <c r="W676" i="2"/>
  <c r="W677" i="2"/>
  <c r="W678" i="2"/>
  <c r="W679" i="2"/>
  <c r="W680" i="2"/>
  <c r="W681" i="2"/>
  <c r="W682" i="2"/>
  <c r="W683" i="2"/>
  <c r="W684" i="2"/>
  <c r="W685" i="2"/>
  <c r="W686" i="2"/>
  <c r="W687" i="2"/>
  <c r="W688" i="2"/>
  <c r="W689" i="2"/>
  <c r="W690" i="2"/>
  <c r="W691" i="2"/>
  <c r="W692" i="2"/>
  <c r="W693" i="2"/>
  <c r="W694" i="2"/>
  <c r="W695" i="2"/>
  <c r="W696" i="2"/>
  <c r="W697" i="2"/>
  <c r="W698" i="2"/>
  <c r="W699" i="2"/>
  <c r="W700" i="2"/>
  <c r="W701" i="2"/>
  <c r="W702" i="2"/>
  <c r="W703" i="2"/>
  <c r="W704" i="2"/>
  <c r="W705" i="2"/>
  <c r="W706" i="2"/>
  <c r="W707" i="2"/>
  <c r="W708" i="2"/>
  <c r="W709" i="2"/>
  <c r="W710" i="2"/>
  <c r="W711" i="2"/>
  <c r="W712" i="2"/>
  <c r="W713" i="2"/>
  <c r="W714" i="2"/>
  <c r="W715" i="2"/>
  <c r="W716" i="2"/>
  <c r="W717" i="2"/>
  <c r="W718" i="2"/>
  <c r="W719" i="2"/>
  <c r="W720" i="2"/>
  <c r="W721" i="2"/>
  <c r="W722" i="2"/>
  <c r="W723" i="2"/>
  <c r="W724" i="2"/>
  <c r="W725" i="2"/>
  <c r="W726" i="2"/>
  <c r="W727" i="2"/>
  <c r="W728" i="2"/>
  <c r="W2" i="2"/>
  <c r="V2" i="2"/>
  <c r="V3" i="2"/>
  <c r="V4" i="2"/>
  <c r="V5" i="2"/>
  <c r="V6" i="2"/>
  <c r="V7" i="2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37" i="2"/>
  <c r="V38" i="2"/>
  <c r="V39" i="2"/>
  <c r="V40" i="2"/>
  <c r="V41" i="2"/>
  <c r="V42" i="2"/>
  <c r="V43" i="2"/>
  <c r="V44" i="2"/>
  <c r="V45" i="2"/>
  <c r="V46" i="2"/>
  <c r="V47" i="2"/>
  <c r="V48" i="2"/>
  <c r="V49" i="2"/>
  <c r="V50" i="2"/>
  <c r="V51" i="2"/>
  <c r="V52" i="2"/>
  <c r="V53" i="2"/>
  <c r="V54" i="2"/>
  <c r="V55" i="2"/>
  <c r="V56" i="2"/>
  <c r="V57" i="2"/>
  <c r="V58" i="2"/>
  <c r="V59" i="2"/>
  <c r="V60" i="2"/>
  <c r="V61" i="2"/>
  <c r="V62" i="2"/>
  <c r="V63" i="2"/>
  <c r="V64" i="2"/>
  <c r="V65" i="2"/>
  <c r="V66" i="2"/>
  <c r="V67" i="2"/>
  <c r="V68" i="2"/>
  <c r="V69" i="2"/>
  <c r="V70" i="2"/>
  <c r="V71" i="2"/>
  <c r="V72" i="2"/>
  <c r="V73" i="2"/>
  <c r="V74" i="2"/>
  <c r="V75" i="2"/>
  <c r="V76" i="2"/>
  <c r="V77" i="2"/>
  <c r="V78" i="2"/>
  <c r="V79" i="2"/>
  <c r="V80" i="2"/>
  <c r="V81" i="2"/>
  <c r="V82" i="2"/>
  <c r="V83" i="2"/>
  <c r="V84" i="2"/>
  <c r="V85" i="2"/>
  <c r="V86" i="2"/>
  <c r="V87" i="2"/>
  <c r="V88" i="2"/>
  <c r="V89" i="2"/>
  <c r="V90" i="2"/>
  <c r="V91" i="2"/>
  <c r="V92" i="2"/>
  <c r="V93" i="2"/>
  <c r="V94" i="2"/>
  <c r="V95" i="2"/>
  <c r="V96" i="2"/>
  <c r="V97" i="2"/>
  <c r="V98" i="2"/>
  <c r="V99" i="2"/>
  <c r="V100" i="2"/>
  <c r="V101" i="2"/>
  <c r="V102" i="2"/>
  <c r="V103" i="2"/>
  <c r="V104" i="2"/>
  <c r="V105" i="2"/>
  <c r="V106" i="2"/>
  <c r="V107" i="2"/>
  <c r="V108" i="2"/>
  <c r="V109" i="2"/>
  <c r="V110" i="2"/>
  <c r="V111" i="2"/>
  <c r="V112" i="2"/>
  <c r="V113" i="2"/>
  <c r="V114" i="2"/>
  <c r="V115" i="2"/>
  <c r="V116" i="2"/>
  <c r="V117" i="2"/>
  <c r="V118" i="2"/>
  <c r="V119" i="2"/>
  <c r="V120" i="2"/>
  <c r="V121" i="2"/>
  <c r="V122" i="2"/>
  <c r="V123" i="2"/>
  <c r="V124" i="2"/>
  <c r="V125" i="2"/>
  <c r="V126" i="2"/>
  <c r="V127" i="2"/>
  <c r="V128" i="2"/>
  <c r="V129" i="2"/>
  <c r="V130" i="2"/>
  <c r="V131" i="2"/>
  <c r="V132" i="2"/>
  <c r="V133" i="2"/>
  <c r="V134" i="2"/>
  <c r="V135" i="2"/>
  <c r="V136" i="2"/>
  <c r="V137" i="2"/>
  <c r="V138" i="2"/>
  <c r="V139" i="2"/>
  <c r="V140" i="2"/>
  <c r="V141" i="2"/>
  <c r="V142" i="2"/>
  <c r="V143" i="2"/>
  <c r="V144" i="2"/>
  <c r="V145" i="2"/>
  <c r="V146" i="2"/>
  <c r="V147" i="2"/>
  <c r="V148" i="2"/>
  <c r="V149" i="2"/>
  <c r="V150" i="2"/>
  <c r="V151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V169" i="2"/>
  <c r="V170" i="2"/>
  <c r="V171" i="2"/>
  <c r="V172" i="2"/>
  <c r="V173" i="2"/>
  <c r="V174" i="2"/>
  <c r="V175" i="2"/>
  <c r="V176" i="2"/>
  <c r="V177" i="2"/>
  <c r="V178" i="2"/>
  <c r="V179" i="2"/>
  <c r="V180" i="2"/>
  <c r="V181" i="2"/>
  <c r="V182" i="2"/>
  <c r="V183" i="2"/>
  <c r="V184" i="2"/>
  <c r="V185" i="2"/>
  <c r="V186" i="2"/>
  <c r="V187" i="2"/>
  <c r="V188" i="2"/>
  <c r="V189" i="2"/>
  <c r="V190" i="2"/>
  <c r="V191" i="2"/>
  <c r="V192" i="2"/>
  <c r="V193" i="2"/>
  <c r="V194" i="2"/>
  <c r="V195" i="2"/>
  <c r="V196" i="2"/>
  <c r="V197" i="2"/>
  <c r="V198" i="2"/>
  <c r="V199" i="2"/>
  <c r="V200" i="2"/>
  <c r="V201" i="2"/>
  <c r="V202" i="2"/>
  <c r="V203" i="2"/>
  <c r="V204" i="2"/>
  <c r="V205" i="2"/>
  <c r="V206" i="2"/>
  <c r="V207" i="2"/>
  <c r="V208" i="2"/>
  <c r="V209" i="2"/>
  <c r="V210" i="2"/>
  <c r="V211" i="2"/>
  <c r="V212" i="2"/>
  <c r="V213" i="2"/>
  <c r="V214" i="2"/>
  <c r="V215" i="2"/>
  <c r="V216" i="2"/>
  <c r="V217" i="2"/>
  <c r="V218" i="2"/>
  <c r="V219" i="2"/>
  <c r="V220" i="2"/>
  <c r="V221" i="2"/>
  <c r="V222" i="2"/>
  <c r="V223" i="2"/>
  <c r="V224" i="2"/>
  <c r="V225" i="2"/>
  <c r="V226" i="2"/>
  <c r="V227" i="2"/>
  <c r="V228" i="2"/>
  <c r="V229" i="2"/>
  <c r="V230" i="2"/>
  <c r="V231" i="2"/>
  <c r="V232" i="2"/>
  <c r="V233" i="2"/>
  <c r="V234" i="2"/>
  <c r="V235" i="2"/>
  <c r="V236" i="2"/>
  <c r="V237" i="2"/>
  <c r="V238" i="2"/>
  <c r="V239" i="2"/>
  <c r="V240" i="2"/>
  <c r="V241" i="2"/>
  <c r="V242" i="2"/>
  <c r="V243" i="2"/>
  <c r="V244" i="2"/>
  <c r="V245" i="2"/>
  <c r="V246" i="2"/>
  <c r="V247" i="2"/>
  <c r="V248" i="2"/>
  <c r="V249" i="2"/>
  <c r="V250" i="2"/>
  <c r="V251" i="2"/>
  <c r="V252" i="2"/>
  <c r="V253" i="2"/>
  <c r="V254" i="2"/>
  <c r="V255" i="2"/>
  <c r="V256" i="2"/>
  <c r="V257" i="2"/>
  <c r="V258" i="2"/>
  <c r="V259" i="2"/>
  <c r="V260" i="2"/>
  <c r="V261" i="2"/>
  <c r="V262" i="2"/>
  <c r="V263" i="2"/>
  <c r="V264" i="2"/>
  <c r="V265" i="2"/>
  <c r="V266" i="2"/>
  <c r="V267" i="2"/>
  <c r="V268" i="2"/>
  <c r="V269" i="2"/>
  <c r="V270" i="2"/>
  <c r="V271" i="2"/>
  <c r="V272" i="2"/>
  <c r="V273" i="2"/>
  <c r="V274" i="2"/>
  <c r="V275" i="2"/>
  <c r="V276" i="2"/>
  <c r="V277" i="2"/>
  <c r="V278" i="2"/>
  <c r="V279" i="2"/>
  <c r="V280" i="2"/>
  <c r="V281" i="2"/>
  <c r="V282" i="2"/>
  <c r="V283" i="2"/>
  <c r="V284" i="2"/>
  <c r="V285" i="2"/>
  <c r="V286" i="2"/>
  <c r="V287" i="2"/>
  <c r="V288" i="2"/>
  <c r="V289" i="2"/>
  <c r="V290" i="2"/>
  <c r="V291" i="2"/>
  <c r="V292" i="2"/>
  <c r="V293" i="2"/>
  <c r="V294" i="2"/>
  <c r="V295" i="2"/>
  <c r="V296" i="2"/>
  <c r="V297" i="2"/>
  <c r="V298" i="2"/>
  <c r="V299" i="2"/>
  <c r="V300" i="2"/>
  <c r="V301" i="2"/>
  <c r="V302" i="2"/>
  <c r="V303" i="2"/>
  <c r="V304" i="2"/>
  <c r="V305" i="2"/>
  <c r="V306" i="2"/>
  <c r="V307" i="2"/>
  <c r="V308" i="2"/>
  <c r="V309" i="2"/>
  <c r="V310" i="2"/>
  <c r="V311" i="2"/>
  <c r="V312" i="2"/>
  <c r="V313" i="2"/>
  <c r="V314" i="2"/>
  <c r="V315" i="2"/>
  <c r="V316" i="2"/>
  <c r="V317" i="2"/>
  <c r="V318" i="2"/>
  <c r="V319" i="2"/>
  <c r="V320" i="2"/>
  <c r="V321" i="2"/>
  <c r="V322" i="2"/>
  <c r="V323" i="2"/>
  <c r="V324" i="2"/>
  <c r="V325" i="2"/>
  <c r="V326" i="2"/>
  <c r="V327" i="2"/>
  <c r="V328" i="2"/>
  <c r="V329" i="2"/>
  <c r="V330" i="2"/>
  <c r="V331" i="2"/>
  <c r="V332" i="2"/>
  <c r="V333" i="2"/>
  <c r="V334" i="2"/>
  <c r="V335" i="2"/>
  <c r="V336" i="2"/>
  <c r="V337" i="2"/>
  <c r="V338" i="2"/>
  <c r="V339" i="2"/>
  <c r="V340" i="2"/>
  <c r="V341" i="2"/>
  <c r="V342" i="2"/>
  <c r="V343" i="2"/>
  <c r="V344" i="2"/>
  <c r="V345" i="2"/>
  <c r="V346" i="2"/>
  <c r="V347" i="2"/>
  <c r="V348" i="2"/>
  <c r="V349" i="2"/>
  <c r="V350" i="2"/>
  <c r="V351" i="2"/>
  <c r="V352" i="2"/>
  <c r="V353" i="2"/>
  <c r="V354" i="2"/>
  <c r="V355" i="2"/>
  <c r="V356" i="2"/>
  <c r="V357" i="2"/>
  <c r="V358" i="2"/>
  <c r="V359" i="2"/>
  <c r="V360" i="2"/>
  <c r="V361" i="2"/>
  <c r="V362" i="2"/>
  <c r="V363" i="2"/>
  <c r="V364" i="2"/>
  <c r="V365" i="2"/>
  <c r="V366" i="2"/>
  <c r="V367" i="2"/>
  <c r="V368" i="2"/>
  <c r="V369" i="2"/>
  <c r="V370" i="2"/>
  <c r="V371" i="2"/>
  <c r="V372" i="2"/>
  <c r="V373" i="2"/>
  <c r="V374" i="2"/>
  <c r="V375" i="2"/>
  <c r="V376" i="2"/>
  <c r="V377" i="2"/>
  <c r="V378" i="2"/>
  <c r="V379" i="2"/>
  <c r="V380" i="2"/>
  <c r="V381" i="2"/>
  <c r="V382" i="2"/>
  <c r="V383" i="2"/>
  <c r="V384" i="2"/>
  <c r="V385" i="2"/>
  <c r="V386" i="2"/>
  <c r="V387" i="2"/>
  <c r="V388" i="2"/>
  <c r="V389" i="2"/>
  <c r="V390" i="2"/>
  <c r="V391" i="2"/>
  <c r="V392" i="2"/>
  <c r="V393" i="2"/>
  <c r="V394" i="2"/>
  <c r="V395" i="2"/>
  <c r="V396" i="2"/>
  <c r="V397" i="2"/>
  <c r="V398" i="2"/>
  <c r="V399" i="2"/>
  <c r="V400" i="2"/>
  <c r="V401" i="2"/>
  <c r="V402" i="2"/>
  <c r="V403" i="2"/>
  <c r="V404" i="2"/>
  <c r="V405" i="2"/>
  <c r="V406" i="2"/>
  <c r="V407" i="2"/>
  <c r="V408" i="2"/>
  <c r="V409" i="2"/>
  <c r="V410" i="2"/>
  <c r="V411" i="2"/>
  <c r="V412" i="2"/>
  <c r="V413" i="2"/>
  <c r="V414" i="2"/>
  <c r="V415" i="2"/>
  <c r="V416" i="2"/>
  <c r="V417" i="2"/>
  <c r="V418" i="2"/>
  <c r="V419" i="2"/>
  <c r="V420" i="2"/>
  <c r="V421" i="2"/>
  <c r="V422" i="2"/>
  <c r="V423" i="2"/>
  <c r="V424" i="2"/>
  <c r="V425" i="2"/>
  <c r="V426" i="2"/>
  <c r="V427" i="2"/>
  <c r="V428" i="2"/>
  <c r="V429" i="2"/>
  <c r="V430" i="2"/>
  <c r="V431" i="2"/>
  <c r="V432" i="2"/>
  <c r="V433" i="2"/>
  <c r="V434" i="2"/>
  <c r="V435" i="2"/>
  <c r="V436" i="2"/>
  <c r="V437" i="2"/>
  <c r="V438" i="2"/>
  <c r="V439" i="2"/>
  <c r="V440" i="2"/>
  <c r="V441" i="2"/>
  <c r="V442" i="2"/>
  <c r="V443" i="2"/>
  <c r="V444" i="2"/>
  <c r="V445" i="2"/>
  <c r="V446" i="2"/>
  <c r="V447" i="2"/>
  <c r="V448" i="2"/>
  <c r="V449" i="2"/>
  <c r="V450" i="2"/>
  <c r="V451" i="2"/>
  <c r="V452" i="2"/>
  <c r="V453" i="2"/>
  <c r="V454" i="2"/>
  <c r="V455" i="2"/>
  <c r="V456" i="2"/>
  <c r="V457" i="2"/>
  <c r="V458" i="2"/>
  <c r="V459" i="2"/>
  <c r="V460" i="2"/>
  <c r="V461" i="2"/>
  <c r="V462" i="2"/>
  <c r="V463" i="2"/>
  <c r="V464" i="2"/>
  <c r="V465" i="2"/>
  <c r="V466" i="2"/>
  <c r="V467" i="2"/>
  <c r="V468" i="2"/>
  <c r="V469" i="2"/>
  <c r="V470" i="2"/>
  <c r="V471" i="2"/>
  <c r="V472" i="2"/>
  <c r="V473" i="2"/>
  <c r="V474" i="2"/>
  <c r="V475" i="2"/>
  <c r="V476" i="2"/>
  <c r="V477" i="2"/>
  <c r="V478" i="2"/>
  <c r="V479" i="2"/>
  <c r="V480" i="2"/>
  <c r="V481" i="2"/>
  <c r="V482" i="2"/>
  <c r="V483" i="2"/>
  <c r="V484" i="2"/>
  <c r="V485" i="2"/>
  <c r="V486" i="2"/>
  <c r="V487" i="2"/>
  <c r="V488" i="2"/>
  <c r="V489" i="2"/>
  <c r="V490" i="2"/>
  <c r="V491" i="2"/>
  <c r="V492" i="2"/>
  <c r="V493" i="2"/>
  <c r="V494" i="2"/>
  <c r="V495" i="2"/>
  <c r="V496" i="2"/>
  <c r="V497" i="2"/>
  <c r="V498" i="2"/>
  <c r="V499" i="2"/>
  <c r="V500" i="2"/>
  <c r="V501" i="2"/>
  <c r="V502" i="2"/>
  <c r="V503" i="2"/>
  <c r="V504" i="2"/>
  <c r="V505" i="2"/>
  <c r="V506" i="2"/>
  <c r="V507" i="2"/>
  <c r="V508" i="2"/>
  <c r="V509" i="2"/>
  <c r="V510" i="2"/>
  <c r="V511" i="2"/>
  <c r="V512" i="2"/>
  <c r="V513" i="2"/>
  <c r="V514" i="2"/>
  <c r="V515" i="2"/>
  <c r="V516" i="2"/>
  <c r="V517" i="2"/>
  <c r="V518" i="2"/>
  <c r="V519" i="2"/>
  <c r="V520" i="2"/>
  <c r="V521" i="2"/>
  <c r="V522" i="2"/>
  <c r="V523" i="2"/>
  <c r="V524" i="2"/>
  <c r="V525" i="2"/>
  <c r="V526" i="2"/>
  <c r="V527" i="2"/>
  <c r="V528" i="2"/>
  <c r="V529" i="2"/>
  <c r="V530" i="2"/>
  <c r="V531" i="2"/>
  <c r="V532" i="2"/>
  <c r="V533" i="2"/>
  <c r="V534" i="2"/>
  <c r="V535" i="2"/>
  <c r="V536" i="2"/>
  <c r="V537" i="2"/>
  <c r="V538" i="2"/>
  <c r="V539" i="2"/>
  <c r="V540" i="2"/>
  <c r="V541" i="2"/>
  <c r="V542" i="2"/>
  <c r="V543" i="2"/>
  <c r="V544" i="2"/>
  <c r="V545" i="2"/>
  <c r="V546" i="2"/>
  <c r="V547" i="2"/>
  <c r="V548" i="2"/>
  <c r="V549" i="2"/>
  <c r="V550" i="2"/>
  <c r="V551" i="2"/>
  <c r="V552" i="2"/>
  <c r="V553" i="2"/>
  <c r="V554" i="2"/>
  <c r="V555" i="2"/>
  <c r="V556" i="2"/>
  <c r="V557" i="2"/>
  <c r="V558" i="2"/>
  <c r="V559" i="2"/>
  <c r="V560" i="2"/>
  <c r="V561" i="2"/>
  <c r="V562" i="2"/>
  <c r="V563" i="2"/>
  <c r="V564" i="2"/>
  <c r="V565" i="2"/>
  <c r="V566" i="2"/>
  <c r="V567" i="2"/>
  <c r="V568" i="2"/>
  <c r="V569" i="2"/>
  <c r="V570" i="2"/>
  <c r="V571" i="2"/>
  <c r="V572" i="2"/>
  <c r="V573" i="2"/>
  <c r="V574" i="2"/>
  <c r="V575" i="2"/>
  <c r="V576" i="2"/>
  <c r="V577" i="2"/>
  <c r="V578" i="2"/>
  <c r="V579" i="2"/>
  <c r="V580" i="2"/>
  <c r="V581" i="2"/>
  <c r="V582" i="2"/>
  <c r="V583" i="2"/>
  <c r="V584" i="2"/>
  <c r="V585" i="2"/>
  <c r="V586" i="2"/>
  <c r="V587" i="2"/>
  <c r="V588" i="2"/>
  <c r="V589" i="2"/>
  <c r="V590" i="2"/>
  <c r="V591" i="2"/>
  <c r="V592" i="2"/>
  <c r="V593" i="2"/>
  <c r="V594" i="2"/>
  <c r="V595" i="2"/>
  <c r="V596" i="2"/>
  <c r="V597" i="2"/>
  <c r="V598" i="2"/>
  <c r="V599" i="2"/>
  <c r="V600" i="2"/>
  <c r="V601" i="2"/>
  <c r="V602" i="2"/>
  <c r="V603" i="2"/>
  <c r="V604" i="2"/>
  <c r="V605" i="2"/>
  <c r="V606" i="2"/>
  <c r="V607" i="2"/>
  <c r="V608" i="2"/>
  <c r="V609" i="2"/>
  <c r="V610" i="2"/>
  <c r="V611" i="2"/>
  <c r="V612" i="2"/>
  <c r="V613" i="2"/>
  <c r="V614" i="2"/>
  <c r="V615" i="2"/>
  <c r="V616" i="2"/>
  <c r="V617" i="2"/>
  <c r="V618" i="2"/>
  <c r="V619" i="2"/>
  <c r="V620" i="2"/>
  <c r="V621" i="2"/>
  <c r="V622" i="2"/>
  <c r="V623" i="2"/>
  <c r="V624" i="2"/>
  <c r="V625" i="2"/>
  <c r="V626" i="2"/>
  <c r="V627" i="2"/>
  <c r="V628" i="2"/>
  <c r="V629" i="2"/>
  <c r="V630" i="2"/>
  <c r="V631" i="2"/>
  <c r="V632" i="2"/>
  <c r="V633" i="2"/>
  <c r="V634" i="2"/>
  <c r="V635" i="2"/>
  <c r="V636" i="2"/>
  <c r="V637" i="2"/>
  <c r="V638" i="2"/>
  <c r="V639" i="2"/>
  <c r="V640" i="2"/>
  <c r="V641" i="2"/>
  <c r="V642" i="2"/>
  <c r="V643" i="2"/>
  <c r="V644" i="2"/>
  <c r="V645" i="2"/>
  <c r="V646" i="2"/>
  <c r="V647" i="2"/>
  <c r="V648" i="2"/>
  <c r="V649" i="2"/>
  <c r="V650" i="2"/>
  <c r="V651" i="2"/>
  <c r="V652" i="2"/>
  <c r="V653" i="2"/>
  <c r="V654" i="2"/>
  <c r="V655" i="2"/>
  <c r="V656" i="2"/>
  <c r="V657" i="2"/>
  <c r="V658" i="2"/>
  <c r="V659" i="2"/>
  <c r="V660" i="2"/>
  <c r="V661" i="2"/>
  <c r="V662" i="2"/>
  <c r="V663" i="2"/>
  <c r="V664" i="2"/>
  <c r="V665" i="2"/>
  <c r="V666" i="2"/>
  <c r="V667" i="2"/>
  <c r="V668" i="2"/>
  <c r="V669" i="2"/>
  <c r="V670" i="2"/>
  <c r="V671" i="2"/>
  <c r="V672" i="2"/>
  <c r="V673" i="2"/>
  <c r="V674" i="2"/>
  <c r="V675" i="2"/>
  <c r="V676" i="2"/>
  <c r="V677" i="2"/>
  <c r="V678" i="2"/>
  <c r="V679" i="2"/>
  <c r="V680" i="2"/>
  <c r="V681" i="2"/>
  <c r="V682" i="2"/>
  <c r="V683" i="2"/>
  <c r="V684" i="2"/>
  <c r="V685" i="2"/>
  <c r="V686" i="2"/>
  <c r="V687" i="2"/>
  <c r="V688" i="2"/>
  <c r="V689" i="2"/>
  <c r="V690" i="2"/>
  <c r="V691" i="2"/>
  <c r="V692" i="2"/>
  <c r="V693" i="2"/>
  <c r="V694" i="2"/>
  <c r="V695" i="2"/>
  <c r="V696" i="2"/>
  <c r="V697" i="2"/>
  <c r="V698" i="2"/>
  <c r="V699" i="2"/>
  <c r="V700" i="2"/>
  <c r="V701" i="2"/>
  <c r="V702" i="2"/>
  <c r="V703" i="2"/>
  <c r="V704" i="2"/>
  <c r="V705" i="2"/>
  <c r="V706" i="2"/>
  <c r="V707" i="2"/>
  <c r="V708" i="2"/>
  <c r="V709" i="2"/>
  <c r="V710" i="2"/>
  <c r="V711" i="2"/>
  <c r="V712" i="2"/>
  <c r="V713" i="2"/>
  <c r="V714" i="2"/>
  <c r="V715" i="2"/>
  <c r="V716" i="2"/>
  <c r="V717" i="2"/>
  <c r="V718" i="2"/>
  <c r="V719" i="2"/>
  <c r="V720" i="2"/>
  <c r="V721" i="2"/>
  <c r="V722" i="2"/>
  <c r="V723" i="2"/>
  <c r="V724" i="2"/>
  <c r="V725" i="2"/>
  <c r="V726" i="2"/>
  <c r="V727" i="2"/>
  <c r="V728" i="2"/>
  <c r="T5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4" i="2"/>
  <c r="T2" i="2"/>
  <c r="T3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B41BECF-A58D-49EE-B19B-0895F5CE9B85}" keepAlive="1" name="Query - PBL_DA_CAPSTONE_DATA" description="Connection to the 'PBL_DA_CAPSTONE_DATA' query in the workbook." type="5" refreshedVersion="8" background="1" saveData="1">
    <dbPr connection="Provider=Microsoft.Mashup.OleDb.1;Data Source=$Workbook$;Location=PBL_DA_CAPSTONE_DATA;Extended Properties=&quot;&quot;" command="SELECT * FROM [PBL_DA_CAPSTONE_DATA]"/>
  </connection>
</connections>
</file>

<file path=xl/sharedStrings.xml><?xml version="1.0" encoding="utf-8"?>
<sst xmlns="http://schemas.openxmlformats.org/spreadsheetml/2006/main" count="7495" uniqueCount="1182">
  <si>
    <t>Creative Size</t>
  </si>
  <si>
    <t>Creative Messaging</t>
  </si>
  <si>
    <t>App/URL</t>
  </si>
  <si>
    <t>Exchange</t>
  </si>
  <si>
    <t>Device Make</t>
  </si>
  <si>
    <t>Impressions</t>
  </si>
  <si>
    <t>Clicks</t>
  </si>
  <si>
    <t>Viewable Impressions</t>
  </si>
  <si>
    <t>Measurable Impressions</t>
  </si>
  <si>
    <t>Total Conversions</t>
  </si>
  <si>
    <t>Gross Cost</t>
  </si>
  <si>
    <t>Arts and Entertainment</t>
  </si>
  <si>
    <t>Events and Listings</t>
  </si>
  <si>
    <t>Expos and Conventions</t>
  </si>
  <si>
    <t>300x250</t>
  </si>
  <si>
    <t>Subscribe Today - 10% Discount</t>
  </si>
  <si>
    <t>zillow.com</t>
  </si>
  <si>
    <t>Google Ad Manager</t>
  </si>
  <si>
    <t>Apple PC</t>
  </si>
  <si>
    <t>320x50</t>
  </si>
  <si>
    <t>nbcchicago.com</t>
  </si>
  <si>
    <t>Smartphone</t>
  </si>
  <si>
    <t>TV and Video</t>
  </si>
  <si>
    <t>300x50</t>
  </si>
  <si>
    <t>msn.com</t>
  </si>
  <si>
    <t>BidSwitch</t>
  </si>
  <si>
    <t>10% Discount - Ends 6/1</t>
  </si>
  <si>
    <t>activebeat.com</t>
  </si>
  <si>
    <t>Magnite DV+</t>
  </si>
  <si>
    <t>Windows PC</t>
  </si>
  <si>
    <t>Celebrities and Entertainment News</t>
  </si>
  <si>
    <t>icy-veins.com</t>
  </si>
  <si>
    <t>Music and Audio</t>
  </si>
  <si>
    <t>Sign up Today - 10% Off</t>
  </si>
  <si>
    <t>chicagotribune.com</t>
  </si>
  <si>
    <t>Movies</t>
  </si>
  <si>
    <t>funnyand.com</t>
  </si>
  <si>
    <t>Comics and Animation</t>
  </si>
  <si>
    <t>fox59.com</t>
  </si>
  <si>
    <t>Live Sporting Events</t>
  </si>
  <si>
    <t>my.yahoo.com</t>
  </si>
  <si>
    <t>Food and Beverage Events</t>
  </si>
  <si>
    <t>mail.aol.com</t>
  </si>
  <si>
    <t>Film Festivals</t>
  </si>
  <si>
    <t>Sign up Now - 10% Off</t>
  </si>
  <si>
    <t>ebay.com</t>
  </si>
  <si>
    <t>Concerts and Music Festivals</t>
  </si>
  <si>
    <t>usssa.com</t>
  </si>
  <si>
    <t>Event Ticket Sales</t>
  </si>
  <si>
    <t>wikihow.com</t>
  </si>
  <si>
    <t>Automotive</t>
  </si>
  <si>
    <t>Services</t>
  </si>
  <si>
    <t>Primary Vehicle</t>
  </si>
  <si>
    <t>Owned or Leased</t>
  </si>
  <si>
    <t>Company Car</t>
  </si>
  <si>
    <t>onechicagocenter.com</t>
  </si>
  <si>
    <t>New or Used</t>
  </si>
  <si>
    <t>Pre-owned</t>
  </si>
  <si>
    <t>billboard.com</t>
  </si>
  <si>
    <t>New</t>
  </si>
  <si>
    <t>dinneratthezoo.com</t>
  </si>
  <si>
    <t>Auto Loyalists and Defectors</t>
  </si>
  <si>
    <t>Auto Make Defectors</t>
  </si>
  <si>
    <t>si.com</t>
  </si>
  <si>
    <t>TripleLift</t>
  </si>
  <si>
    <t>Auto Car Purchase Next Year</t>
  </si>
  <si>
    <t>Yes</t>
  </si>
  <si>
    <t>whatismyipaddress.com</t>
  </si>
  <si>
    <t>Index Exchange</t>
  </si>
  <si>
    <t>Auto Buyers</t>
  </si>
  <si>
    <t>Car Make</t>
  </si>
  <si>
    <t>Hyundai</t>
  </si>
  <si>
    <t>daily-choices.com</t>
  </si>
  <si>
    <t>OpenX</t>
  </si>
  <si>
    <t>Opel</t>
  </si>
  <si>
    <t>finance.yahoo.com</t>
  </si>
  <si>
    <t>Category</t>
  </si>
  <si>
    <t>Motorcycle</t>
  </si>
  <si>
    <t>fandom.com</t>
  </si>
  <si>
    <t>Xandr - Monetize SSP (AppNexus)</t>
  </si>
  <si>
    <t>Audi Q</t>
  </si>
  <si>
    <t>accuweather.com</t>
  </si>
  <si>
    <t>Subaru</t>
  </si>
  <si>
    <t>signupgenius.com</t>
  </si>
  <si>
    <t>Mercedes</t>
  </si>
  <si>
    <t>realtor.com</t>
  </si>
  <si>
    <t>Type</t>
  </si>
  <si>
    <t>Luxury</t>
  </si>
  <si>
    <t>al.com</t>
  </si>
  <si>
    <t>PubMatic</t>
  </si>
  <si>
    <t>Jeep</t>
  </si>
  <si>
    <t>weather.com</t>
  </si>
  <si>
    <t>Smart RTB+ (Smartadserver)</t>
  </si>
  <si>
    <t>Dodge</t>
  </si>
  <si>
    <t>historycollection.com</t>
  </si>
  <si>
    <t>BMW</t>
  </si>
  <si>
    <t>firstcoastnews.com</t>
  </si>
  <si>
    <t>Toyota</t>
  </si>
  <si>
    <t>cnn.com</t>
  </si>
  <si>
    <t>Ford</t>
  </si>
  <si>
    <t>foxnews.com</t>
  </si>
  <si>
    <t>Peugeot</t>
  </si>
  <si>
    <t>usatoday.com</t>
  </si>
  <si>
    <t>Truck</t>
  </si>
  <si>
    <t>Volkswagen</t>
  </si>
  <si>
    <t>androidauthority.com</t>
  </si>
  <si>
    <t>Van</t>
  </si>
  <si>
    <t>tasteofhome.com</t>
  </si>
  <si>
    <t>Repair &amp; Oil Change</t>
  </si>
  <si>
    <t>Intend</t>
  </si>
  <si>
    <t>therighthairstyles.com</t>
  </si>
  <si>
    <t>Shopping</t>
  </si>
  <si>
    <t>Consumer Electronics</t>
  </si>
  <si>
    <t>Computers, Laptops</t>
  </si>
  <si>
    <t>cargurus.com</t>
  </si>
  <si>
    <t>Yahoo Exchange</t>
  </si>
  <si>
    <t>Pets</t>
  </si>
  <si>
    <t>yahoo.com</t>
  </si>
  <si>
    <t>Photography</t>
  </si>
  <si>
    <t>Home Improvement</t>
  </si>
  <si>
    <t>wordunscrambler.me</t>
  </si>
  <si>
    <t>Televisions/TVs</t>
  </si>
  <si>
    <t>Wireless Providers</t>
  </si>
  <si>
    <t>milb.com</t>
  </si>
  <si>
    <t>Tablets</t>
  </si>
  <si>
    <t>finviz.com</t>
  </si>
  <si>
    <t>Decision Maker for Auto Purchase</t>
  </si>
  <si>
    <t>I shared equally in the decision</t>
  </si>
  <si>
    <t>I was the sole decision-maker</t>
  </si>
  <si>
    <t>CPG» Grocery</t>
  </si>
  <si>
    <t>dailybee.com</t>
  </si>
  <si>
    <t>Auto Parts Stores</t>
  </si>
  <si>
    <t>insider.com</t>
  </si>
  <si>
    <t>Sports and Outdoors</t>
  </si>
  <si>
    <t>findagrave.com</t>
  </si>
  <si>
    <t>Pet Food</t>
  </si>
  <si>
    <t>Dog</t>
  </si>
  <si>
    <t>yourdailysportfix.com</t>
  </si>
  <si>
    <t>Restaurants</t>
  </si>
  <si>
    <t>Financial Intent</t>
  </si>
  <si>
    <t>Insurance</t>
  </si>
  <si>
    <t>Auto</t>
  </si>
  <si>
    <t>Banking</t>
  </si>
  <si>
    <t>mydailymagazine.com</t>
  </si>
  <si>
    <t>Loans and Credit</t>
  </si>
  <si>
    <t>Yieldmo</t>
  </si>
  <si>
    <t>Home and Garden</t>
  </si>
  <si>
    <t>Drug Stores</t>
  </si>
  <si>
    <t>Walgreens</t>
  </si>
  <si>
    <t>Video Game Consoles</t>
  </si>
  <si>
    <t>factinate.com</t>
  </si>
  <si>
    <t>Cameras and Photography Equip</t>
  </si>
  <si>
    <t>gameofglam.com</t>
  </si>
  <si>
    <t>investopedia.com</t>
  </si>
  <si>
    <t>CPG» Cosmetics</t>
  </si>
  <si>
    <t>Entertainment</t>
  </si>
  <si>
    <t>mapquest.com</t>
  </si>
  <si>
    <t>Mazda</t>
  </si>
  <si>
    <t>iflscience.com</t>
  </si>
  <si>
    <t>Office Supplies</t>
  </si>
  <si>
    <t>kbb.com</t>
  </si>
  <si>
    <t>CPG» Home Care</t>
  </si>
  <si>
    <t>CVS</t>
  </si>
  <si>
    <t>drugs.com</t>
  </si>
  <si>
    <t>Nissan</t>
  </si>
  <si>
    <t>britannica.com</t>
  </si>
  <si>
    <t>Fashion</t>
  </si>
  <si>
    <t>outlook.live.com</t>
  </si>
  <si>
    <t>SUV</t>
  </si>
  <si>
    <t>homeaddict.io</t>
  </si>
  <si>
    <t>Sport Cars</t>
  </si>
  <si>
    <t>people.com</t>
  </si>
  <si>
    <t>Travel</t>
  </si>
  <si>
    <t>Accommodation</t>
  </si>
  <si>
    <t>Hotels</t>
  </si>
  <si>
    <t>dailymail.co.uk/news</t>
  </si>
  <si>
    <t>Budget Travel</t>
  </si>
  <si>
    <t>yachtworld.com</t>
  </si>
  <si>
    <t>Luxury Travel</t>
  </si>
  <si>
    <t>seedsgames.com</t>
  </si>
  <si>
    <t>Graduation Trip</t>
  </si>
  <si>
    <t>sallysbakingaddiction.com</t>
  </si>
  <si>
    <t>Future Travel</t>
  </si>
  <si>
    <t>Flights</t>
  </si>
  <si>
    <t>nypost.com</t>
  </si>
  <si>
    <t>Business Travel</t>
  </si>
  <si>
    <t>gamerant.com</t>
  </si>
  <si>
    <t>Cruises</t>
  </si>
  <si>
    <t>doctoreport.com</t>
  </si>
  <si>
    <t>Vehicle Ownership</t>
  </si>
  <si>
    <t>yes</t>
  </si>
  <si>
    <t>mail.yahoo.com</t>
  </si>
  <si>
    <t>Vauxhall</t>
  </si>
  <si>
    <t>Brand</t>
  </si>
  <si>
    <t>uscellular.com</t>
  </si>
  <si>
    <t>Caravan</t>
  </si>
  <si>
    <t>ranker.com</t>
  </si>
  <si>
    <t>Sedan</t>
  </si>
  <si>
    <t>Crossover</t>
  </si>
  <si>
    <t>Honda</t>
  </si>
  <si>
    <t>npr.org</t>
  </si>
  <si>
    <t>Brands</t>
  </si>
  <si>
    <t>Vauxhall-Opel</t>
  </si>
  <si>
    <t>wsmv.com</t>
  </si>
  <si>
    <t>Lexus</t>
  </si>
  <si>
    <t>sportpirate.com</t>
  </si>
  <si>
    <t>Buick</t>
  </si>
  <si>
    <t>Aston Martin</t>
  </si>
  <si>
    <t>Acura</t>
  </si>
  <si>
    <t>mlb.com</t>
  </si>
  <si>
    <t>SEAT</t>
  </si>
  <si>
    <t>Mercedes-Benz</t>
  </si>
  <si>
    <t>Rolls-Royce</t>
  </si>
  <si>
    <t>boattrader.com</t>
  </si>
  <si>
    <t>Ferrari</t>
  </si>
  <si>
    <t>biblegateway.com</t>
  </si>
  <si>
    <t>microsoftcasualgames.com</t>
  </si>
  <si>
    <t>Maybach</t>
  </si>
  <si>
    <t>insidethemagic.net</t>
  </si>
  <si>
    <t>autotrader.com</t>
  </si>
  <si>
    <t>Porsche</t>
  </si>
  <si>
    <t>GM-Daewoo</t>
  </si>
  <si>
    <t>Maserati</t>
  </si>
  <si>
    <t>cbsnews.com</t>
  </si>
  <si>
    <t>Vehicle Parts and Accessories</t>
  </si>
  <si>
    <t>pandora.com</t>
  </si>
  <si>
    <t>Electric and Plug-In Vehicles</t>
  </si>
  <si>
    <t>Vehicle Shopping</t>
  </si>
  <si>
    <t>Fuel Economy and Gas Prices</t>
  </si>
  <si>
    <t>nbcnews.com</t>
  </si>
  <si>
    <t>todaysnyc.com</t>
  </si>
  <si>
    <t>Pontiac</t>
  </si>
  <si>
    <t>sports.yahoo.com</t>
  </si>
  <si>
    <t>Citroen</t>
  </si>
  <si>
    <t>reuters.com</t>
  </si>
  <si>
    <t>Mini</t>
  </si>
  <si>
    <t>Cadillac</t>
  </si>
  <si>
    <t>eenadu.net</t>
  </si>
  <si>
    <t>Kia</t>
  </si>
  <si>
    <t>Saab</t>
  </si>
  <si>
    <t>geeksforgeeks.org</t>
  </si>
  <si>
    <t>Mitsubishi</t>
  </si>
  <si>
    <t>Boats and Watercraft</t>
  </si>
  <si>
    <t>fandomwire.com</t>
  </si>
  <si>
    <t>Volvo</t>
  </si>
  <si>
    <t>chocolatecoveredkatie.com</t>
  </si>
  <si>
    <t>thefinancechatter.com</t>
  </si>
  <si>
    <t>Bugatti</t>
  </si>
  <si>
    <t>mobileposse.com</t>
  </si>
  <si>
    <t>forbes.com</t>
  </si>
  <si>
    <t>Isuzu</t>
  </si>
  <si>
    <t>Jaguar</t>
  </si>
  <si>
    <t>LandRover</t>
  </si>
  <si>
    <t>Fiat</t>
  </si>
  <si>
    <t>thekrazycouponlady.com</t>
  </si>
  <si>
    <t>Hybrid and Alternative Vehicles</t>
  </si>
  <si>
    <t>hindustantimes.com</t>
  </si>
  <si>
    <t>B2B</t>
  </si>
  <si>
    <t>Decision Maker Responsibilities</t>
  </si>
  <si>
    <t>Employee Benefits</t>
  </si>
  <si>
    <t>classmates.com</t>
  </si>
  <si>
    <t>Occupation</t>
  </si>
  <si>
    <t>SupplyChainManager</t>
  </si>
  <si>
    <t>my.earthlink.net</t>
  </si>
  <si>
    <t>Office Supplies or Equipment</t>
  </si>
  <si>
    <t>Computer Hardware</t>
  </si>
  <si>
    <t>Sovrn</t>
  </si>
  <si>
    <t>Advertising Services</t>
  </si>
  <si>
    <t>dmv.org</t>
  </si>
  <si>
    <t>Real Estate Services</t>
  </si>
  <si>
    <t>Financial Services</t>
  </si>
  <si>
    <t>androidpolice.com</t>
  </si>
  <si>
    <t>Taboola</t>
  </si>
  <si>
    <t>Internet Services</t>
  </si>
  <si>
    <t>Sales</t>
  </si>
  <si>
    <t>Purchasing Vehicles or Automobile Services</t>
  </si>
  <si>
    <t>HR or Personnel Services</t>
  </si>
  <si>
    <t>Security Services</t>
  </si>
  <si>
    <t>slickdeals.net</t>
  </si>
  <si>
    <t>Marketing or Market Research</t>
  </si>
  <si>
    <t>fortune.com</t>
  </si>
  <si>
    <t>thesaurus.com</t>
  </si>
  <si>
    <t>Broker</t>
  </si>
  <si>
    <t>tastesbetterfromscratch.com</t>
  </si>
  <si>
    <t>PropertyManager</t>
  </si>
  <si>
    <t>Office Services or Moving</t>
  </si>
  <si>
    <t>Company Liability or Insurance</t>
  </si>
  <si>
    <t>citationmachine.net</t>
  </si>
  <si>
    <t>Purchasing Utilities</t>
  </si>
  <si>
    <t>Accounting or Tax Services</t>
  </si>
  <si>
    <t>doodle.com</t>
  </si>
  <si>
    <t>OfficeManager</t>
  </si>
  <si>
    <t>dafont.com</t>
  </si>
  <si>
    <t>MechanicalEngineer</t>
  </si>
  <si>
    <t>bbc.com</t>
  </si>
  <si>
    <t>Computer Software</t>
  </si>
  <si>
    <t>Architect</t>
  </si>
  <si>
    <t>SystemsAnalyst</t>
  </si>
  <si>
    <t>espn.com</t>
  </si>
  <si>
    <t>Purchase DM</t>
  </si>
  <si>
    <t>Musician</t>
  </si>
  <si>
    <t>ajc.com</t>
  </si>
  <si>
    <t>ElectricalEngineer</t>
  </si>
  <si>
    <t>miamiherald.com</t>
  </si>
  <si>
    <t>Entrepreneur</t>
  </si>
  <si>
    <t>taboolanews.com</t>
  </si>
  <si>
    <t>ComputerProgrammer</t>
  </si>
  <si>
    <t>Teacher</t>
  </si>
  <si>
    <t>phys.org</t>
  </si>
  <si>
    <t>GumGum</t>
  </si>
  <si>
    <t>Student</t>
  </si>
  <si>
    <t>Television providers</t>
  </si>
  <si>
    <t>services</t>
  </si>
  <si>
    <t>streetinsider.com</t>
  </si>
  <si>
    <t>Beauty and Fitness</t>
  </si>
  <si>
    <t>Fitness</t>
  </si>
  <si>
    <t>Gyms and Health Clubs</t>
  </si>
  <si>
    <t>rollingstone.com</t>
  </si>
  <si>
    <t>Cosmetology and Beauty Professionals</t>
  </si>
  <si>
    <t>dotesports.com</t>
  </si>
  <si>
    <t>Fitness Equipment and Accessories</t>
  </si>
  <si>
    <t>travelerdreams.com</t>
  </si>
  <si>
    <t>Home Exercise</t>
  </si>
  <si>
    <t>Fashion and Style</t>
  </si>
  <si>
    <t>Fashion Designers and Collections</t>
  </si>
  <si>
    <t>Fitness Instruction and Personal Training</t>
  </si>
  <si>
    <t>Bodybuilding</t>
  </si>
  <si>
    <t>Fashion Modeling</t>
  </si>
  <si>
    <t>Hair Care</t>
  </si>
  <si>
    <t>Body Art</t>
  </si>
  <si>
    <t>Weight Loss</t>
  </si>
  <si>
    <t>Spas and Beauty Services</t>
  </si>
  <si>
    <t>Massage Therapy</t>
  </si>
  <si>
    <t>Beauty Pageants</t>
  </si>
  <si>
    <t>Face and Body Care</t>
  </si>
  <si>
    <t>Unwanted Body and Facial Hair Removal</t>
  </si>
  <si>
    <t>Make-Up and Cosmetics</t>
  </si>
  <si>
    <t>zdnet.com</t>
  </si>
  <si>
    <t>Hygiene and Toiletries</t>
  </si>
  <si>
    <t>the-sun.com</t>
  </si>
  <si>
    <t>Yoga and Pilates</t>
  </si>
  <si>
    <t>Skin and Nail Care</t>
  </si>
  <si>
    <t>apnews.com</t>
  </si>
  <si>
    <t>Brand Propensities</t>
  </si>
  <si>
    <t>Kids Products</t>
  </si>
  <si>
    <t>Disney Buyer Propensity</t>
  </si>
  <si>
    <t>Media and Entertainment</t>
  </si>
  <si>
    <t>Regal Cinemas Buyer Propensity</t>
  </si>
  <si>
    <t>pokerstars.net Buyer Propensity</t>
  </si>
  <si>
    <t>yellowpages.com</t>
  </si>
  <si>
    <t>Electronics</t>
  </si>
  <si>
    <t>RadioShack Buyer Propensity</t>
  </si>
  <si>
    <t>Crutchfield Buyer Propensity</t>
  </si>
  <si>
    <t>signin.ebay.com</t>
  </si>
  <si>
    <t>Telecom and Service Providers</t>
  </si>
  <si>
    <t>Page Plus Cellular Buyer Propensity</t>
  </si>
  <si>
    <t>merriam-webster.com</t>
  </si>
  <si>
    <t>wwe.com Buyer Propensity</t>
  </si>
  <si>
    <t>allrecipes.com</t>
  </si>
  <si>
    <t>Booking.com Buyer Propensity</t>
  </si>
  <si>
    <t>Restaurants and Dining</t>
  </si>
  <si>
    <t>Seamless Buyer Propensity</t>
  </si>
  <si>
    <t>Apparel</t>
  </si>
  <si>
    <t>Lady Foot Locker Buyer Propensity</t>
  </si>
  <si>
    <t>Sony Network Entertainment International Buyer Propensity</t>
  </si>
  <si>
    <t>Hotel Tonight Buyer Propensity</t>
  </si>
  <si>
    <t>The Men's Wearhouse Buyer Propensity</t>
  </si>
  <si>
    <t>Steam Community Buyer Propensity</t>
  </si>
  <si>
    <t>MGM Resorts International Buyer Propensity</t>
  </si>
  <si>
    <t>w3schools.com</t>
  </si>
  <si>
    <t>American Airlines Buyer Propensity</t>
  </si>
  <si>
    <t>PulsePoint</t>
  </si>
  <si>
    <t>Home and Household Goods</t>
  </si>
  <si>
    <t>Pottery Barn Kids Buyer Propensity</t>
  </si>
  <si>
    <t>investmentguru.com</t>
  </si>
  <si>
    <t>Tirerack.com Buyer Propensity</t>
  </si>
  <si>
    <t>Shoebuy.com Buyer Propensity</t>
  </si>
  <si>
    <t>Bare Necessities Buyer Propensity</t>
  </si>
  <si>
    <t>Health</t>
  </si>
  <si>
    <t>Beauty and Cosmetics</t>
  </si>
  <si>
    <t>SkinCareRx Buyer Propensity</t>
  </si>
  <si>
    <t>Food and Drug</t>
  </si>
  <si>
    <t>Postmates Buyer Propensity</t>
  </si>
  <si>
    <t>TOMS Buyer Propensity</t>
  </si>
  <si>
    <t>Ford Credit Buyer Propensity</t>
  </si>
  <si>
    <t>Mary Kay Buyer Propensity</t>
  </si>
  <si>
    <t>Bare Escentuals Buyer Propensity</t>
  </si>
  <si>
    <t>dailymail.co.uk/tvshowbiz</t>
  </si>
  <si>
    <t>JCPenney Buyer Propensity</t>
  </si>
  <si>
    <t>greatschools.org</t>
  </si>
  <si>
    <t>ULTA Buyer Propensity</t>
  </si>
  <si>
    <t>Sandals Resorts Buyer Propensity</t>
  </si>
  <si>
    <t>Big Box Dollar Tree Buyer Propensity</t>
  </si>
  <si>
    <t>Big Box Dollar General Buyer Propensity</t>
  </si>
  <si>
    <t>Beachbody Buyer Propensity</t>
  </si>
  <si>
    <t>Choice Hotels Buyer Propensity</t>
  </si>
  <si>
    <t>Buying Channel Preference</t>
  </si>
  <si>
    <t>Online</t>
  </si>
  <si>
    <t>Composite Segment</t>
  </si>
  <si>
    <t>Women Born to Shop</t>
  </si>
  <si>
    <t>Connected Impulse-Shopper Audience</t>
  </si>
  <si>
    <t>boxrox.com</t>
  </si>
  <si>
    <t>Demographics</t>
  </si>
  <si>
    <t>Family</t>
  </si>
  <si>
    <t>Male Head of Household</t>
  </si>
  <si>
    <t>Household Income $50k+</t>
  </si>
  <si>
    <t>Preferred Language</t>
  </si>
  <si>
    <t>Non-Hispanic</t>
  </si>
  <si>
    <t>Age</t>
  </si>
  <si>
    <t>65+</t>
  </si>
  <si>
    <t>Households with 3 Adults</t>
  </si>
  <si>
    <t>Households with 2 Adults</t>
  </si>
  <si>
    <t>Female Head of Household</t>
  </si>
  <si>
    <t>att.yahoo.com</t>
  </si>
  <si>
    <t>Specialty Age Range</t>
  </si>
  <si>
    <t>21+</t>
  </si>
  <si>
    <t>55-64</t>
  </si>
  <si>
    <t>Individual</t>
  </si>
  <si>
    <t>houseplans.net</t>
  </si>
  <si>
    <t>Demos</t>
  </si>
  <si>
    <t>Education</t>
  </si>
  <si>
    <t>Lowest Education Achievement</t>
  </si>
  <si>
    <t>essentiallysports.com</t>
  </si>
  <si>
    <t>Finance</t>
  </si>
  <si>
    <t>Rent Value</t>
  </si>
  <si>
    <t>Lowest Rent Value</t>
  </si>
  <si>
    <t>High Education Achievement</t>
  </si>
  <si>
    <t>Highest Rent Value</t>
  </si>
  <si>
    <t>omnicalculator.com</t>
  </si>
  <si>
    <t>Device Ownership</t>
  </si>
  <si>
    <t>medicalnewstoday.com</t>
  </si>
  <si>
    <t>Smartphones</t>
  </si>
  <si>
    <t>iOS (Apple)</t>
  </si>
  <si>
    <t>ZTE</t>
  </si>
  <si>
    <t>Vivo</t>
  </si>
  <si>
    <t>jdpower.com</t>
  </si>
  <si>
    <t>iPhone X</t>
  </si>
  <si>
    <t>Huawei</t>
  </si>
  <si>
    <t>iPhone 11</t>
  </si>
  <si>
    <t>Entertainment and Pastimes</t>
  </si>
  <si>
    <t>Investing</t>
  </si>
  <si>
    <t>Commodities and Futures Trading</t>
  </si>
  <si>
    <t>nbcmiami.com</t>
  </si>
  <si>
    <t>Brokerages and Day Trading</t>
  </si>
  <si>
    <t>newsmemory.com</t>
  </si>
  <si>
    <t>Grants, Scholarships and Financial Aid</t>
  </si>
  <si>
    <t>Government Grants</t>
  </si>
  <si>
    <t>Financial Planning and Management</t>
  </si>
  <si>
    <t>Inheritance and Estate Planning</t>
  </si>
  <si>
    <t>investing.com</t>
  </si>
  <si>
    <t>Life Insurance</t>
  </si>
  <si>
    <t>Health Insurance</t>
  </si>
  <si>
    <t>myfitnesspal.com</t>
  </si>
  <si>
    <t>Retirement and Pension</t>
  </si>
  <si>
    <t>Asset and Portfolio Management</t>
  </si>
  <si>
    <t>culturess.com</t>
  </si>
  <si>
    <t>Home Insurance</t>
  </si>
  <si>
    <t>Travel Insurance</t>
  </si>
  <si>
    <t>Study Grants and Scholarships</t>
  </si>
  <si>
    <t>Derivatives</t>
  </si>
  <si>
    <t>ATMs and Branch Locations</t>
  </si>
  <si>
    <t>dailyhodl.com</t>
  </si>
  <si>
    <t>Stocks and Bonds</t>
  </si>
  <si>
    <t>Credit and Lending</t>
  </si>
  <si>
    <t>Loans</t>
  </si>
  <si>
    <t>Savings Accounts</t>
  </si>
  <si>
    <t>Accounting and Auditing</t>
  </si>
  <si>
    <t>Bookkeeping</t>
  </si>
  <si>
    <t>Money Transfer and Wire Services</t>
  </si>
  <si>
    <t>Debit and Checking Services</t>
  </si>
  <si>
    <t>thegamer.com</t>
  </si>
  <si>
    <t>Credit Cards</t>
  </si>
  <si>
    <t>Tax Preparation and Planning</t>
  </si>
  <si>
    <t>Estimated Disposable Income</t>
  </si>
  <si>
    <t>Likely Bank Account and Services</t>
  </si>
  <si>
    <t>Saving Account</t>
  </si>
  <si>
    <t>Personal or Join (Financial)</t>
  </si>
  <si>
    <t>Likely Attitude and Behavior</t>
  </si>
  <si>
    <t>Completely Disagree</t>
  </si>
  <si>
    <t>When I Find A Financial Product/Service I Like I Typically Recommend It To People I Know (Financial)</t>
  </si>
  <si>
    <t>webmd.com</t>
  </si>
  <si>
    <t>Likely In Market Timing</t>
  </si>
  <si>
    <t>Not At All Likely to Purchase</t>
  </si>
  <si>
    <t>Second House/Residence In The Next Year (Financial)</t>
  </si>
  <si>
    <t>maxroll.gg</t>
  </si>
  <si>
    <t>Bank Selection</t>
  </si>
  <si>
    <t>Customer Service Very Important (Financial)</t>
  </si>
  <si>
    <t>carscoops.com</t>
  </si>
  <si>
    <t>Likely Credit Card</t>
  </si>
  <si>
    <t>Behavior</t>
  </si>
  <si>
    <t>Used for Personal Purposes</t>
  </si>
  <si>
    <t>Method of Payment</t>
  </si>
  <si>
    <t>Other</t>
  </si>
  <si>
    <t>Card in Own Name</t>
  </si>
  <si>
    <t>Any major Credit/Debit Card (Financial)</t>
  </si>
  <si>
    <t>Credit Card Type</t>
  </si>
  <si>
    <t>Credit Card Holder - Unknown Type</t>
  </si>
  <si>
    <t>Estimated Discretionary Spending (Financial)</t>
  </si>
  <si>
    <t>biblestudytools.com</t>
  </si>
  <si>
    <t>First Home/Residence In The Next Year (Financial)</t>
  </si>
  <si>
    <t>Estimated Discretionary Spending</t>
  </si>
  <si>
    <t>Digital Payments</t>
  </si>
  <si>
    <t>Chase Pay</t>
  </si>
  <si>
    <t>Financially in Charge</t>
  </si>
  <si>
    <t>Performance Score: Top 50%</t>
  </si>
  <si>
    <t>Performance Score: Top 25%</t>
  </si>
  <si>
    <t>Food</t>
  </si>
  <si>
    <t>Restaurant</t>
  </si>
  <si>
    <t>Red Lobster</t>
  </si>
  <si>
    <t>Style</t>
  </si>
  <si>
    <t>Desserts</t>
  </si>
  <si>
    <t>dictionary.com</t>
  </si>
  <si>
    <t>Buffalo Wild Wings</t>
  </si>
  <si>
    <t>evite.com</t>
  </si>
  <si>
    <t>Outback Steakhouse</t>
  </si>
  <si>
    <t>buzzfeed.com</t>
  </si>
  <si>
    <t>Chilis</t>
  </si>
  <si>
    <t>Krispy Kreme</t>
  </si>
  <si>
    <t>usnews.com</t>
  </si>
  <si>
    <t>Five Guys</t>
  </si>
  <si>
    <t>Moes Southwest Grill</t>
  </si>
  <si>
    <t>Beverages</t>
  </si>
  <si>
    <t>Beer</t>
  </si>
  <si>
    <t>Coffee and Tea</t>
  </si>
  <si>
    <t>Juice</t>
  </si>
  <si>
    <t>Soft Drinks</t>
  </si>
  <si>
    <t>lotterypost.com</t>
  </si>
  <si>
    <t>Bottled Water</t>
  </si>
  <si>
    <t>Food and Grocery Delivery</t>
  </si>
  <si>
    <t>Food and Grocery Retailers</t>
  </si>
  <si>
    <t>Fast Food</t>
  </si>
  <si>
    <t>macrumors.com</t>
  </si>
  <si>
    <t>Cooking and Recipes</t>
  </si>
  <si>
    <t>Fine Dining</t>
  </si>
  <si>
    <t>Dining Guides</t>
  </si>
  <si>
    <t>Gamers</t>
  </si>
  <si>
    <t>Users</t>
  </si>
  <si>
    <t>Games</t>
  </si>
  <si>
    <t>Educational Games</t>
  </si>
  <si>
    <t>Computer and Video Games</t>
  </si>
  <si>
    <t>Card Games</t>
  </si>
  <si>
    <t>Family-Oriented Games and Activities</t>
  </si>
  <si>
    <t>Arcade and Coin-Op Games</t>
  </si>
  <si>
    <t>Green Consumer Audience</t>
  </si>
  <si>
    <t>Health and Fitness</t>
  </si>
  <si>
    <t>Interest</t>
  </si>
  <si>
    <t>Exercise</t>
  </si>
  <si>
    <t>Health and Wellbeing</t>
  </si>
  <si>
    <t>Hobbies and Leisure</t>
  </si>
  <si>
    <t>Outdoors</t>
  </si>
  <si>
    <t>Fishing</t>
  </si>
  <si>
    <t>Special Occasions</t>
  </si>
  <si>
    <t>Holidays and Seasonal Events</t>
  </si>
  <si>
    <t>Equestrian</t>
  </si>
  <si>
    <t>Party Planning</t>
  </si>
  <si>
    <t>mayoclinic.org</t>
  </si>
  <si>
    <t>Crafts</t>
  </si>
  <si>
    <t>news.yahoo.com</t>
  </si>
  <si>
    <t>Contests, Awards and Prizes</t>
  </si>
  <si>
    <t>Clubs and Organizations</t>
  </si>
  <si>
    <t>Hiking and Camping</t>
  </si>
  <si>
    <t>Water Activities</t>
  </si>
  <si>
    <t>Home</t>
  </si>
  <si>
    <t>Property Type</t>
  </si>
  <si>
    <t>Single</t>
  </si>
  <si>
    <t>Dwelling Type</t>
  </si>
  <si>
    <t>Single-Family</t>
  </si>
  <si>
    <t>Home Renovation</t>
  </si>
  <si>
    <t>Home Renovators</t>
  </si>
  <si>
    <t>thesaltymarshmallow.com</t>
  </si>
  <si>
    <t>Homemaking and Interior Decor</t>
  </si>
  <si>
    <t>Home Furnishings</t>
  </si>
  <si>
    <t>Home Appliances</t>
  </si>
  <si>
    <t>Yard and Patio</t>
  </si>
  <si>
    <t>Bed and Bath</t>
  </si>
  <si>
    <t>Kitchen and Dining</t>
  </si>
  <si>
    <t>poshland.com</t>
  </si>
  <si>
    <t>Home and Garden Interests</t>
  </si>
  <si>
    <t>Cooking</t>
  </si>
  <si>
    <t>Food Enthusiasts</t>
  </si>
  <si>
    <t>House and Garden Merchandise Buyers</t>
  </si>
  <si>
    <t>Home Improvement Grouping</t>
  </si>
  <si>
    <t>Computers</t>
  </si>
  <si>
    <t>General</t>
  </si>
  <si>
    <t>ew.com</t>
  </si>
  <si>
    <t>Interest Propensities</t>
  </si>
  <si>
    <t>Humana</t>
  </si>
  <si>
    <t>Kargo</t>
  </si>
  <si>
    <t>Activities and Interests</t>
  </si>
  <si>
    <t>Buying and Selling Homes</t>
  </si>
  <si>
    <t>Real Estate</t>
  </si>
  <si>
    <t>International News</t>
  </si>
  <si>
    <t>bridesblush.com</t>
  </si>
  <si>
    <t>Aetna Group</t>
  </si>
  <si>
    <t>foxbusiness.com</t>
  </si>
  <si>
    <t>College Life</t>
  </si>
  <si>
    <t>Financial Aid</t>
  </si>
  <si>
    <t>New York Life</t>
  </si>
  <si>
    <t>nytimes.com</t>
  </si>
  <si>
    <t>Lincoln Heritage</t>
  </si>
  <si>
    <t>Northwestern Mutual</t>
  </si>
  <si>
    <t>National News</t>
  </si>
  <si>
    <t>MassMutual</t>
  </si>
  <si>
    <t>B2B Job Search</t>
  </si>
  <si>
    <t>Unitedhealth Group</t>
  </si>
  <si>
    <t>Music</t>
  </si>
  <si>
    <t>Hip Hop and Rap</t>
  </si>
  <si>
    <t>TV and Movies</t>
  </si>
  <si>
    <t>Sports TV</t>
  </si>
  <si>
    <t>Country</t>
  </si>
  <si>
    <t>aol.com</t>
  </si>
  <si>
    <t>Social</t>
  </si>
  <si>
    <t>Premium User Generated Content</t>
  </si>
  <si>
    <t>Quick Service Restaurants</t>
  </si>
  <si>
    <t>Food and Drink</t>
  </si>
  <si>
    <t>American Cuisine</t>
  </si>
  <si>
    <t>Big Box Retail</t>
  </si>
  <si>
    <t>Celebrities</t>
  </si>
  <si>
    <t>Celebrity Fan Gossip</t>
  </si>
  <si>
    <t>Oil &amp; Gas</t>
  </si>
  <si>
    <t>QuickTrip</t>
  </si>
  <si>
    <t>Transamerica</t>
  </si>
  <si>
    <t>Drama</t>
  </si>
  <si>
    <t>Network TV</t>
  </si>
  <si>
    <t>Reality</t>
  </si>
  <si>
    <t>Game Shows</t>
  </si>
  <si>
    <t>nbcsports.com</t>
  </si>
  <si>
    <t>Local News</t>
  </si>
  <si>
    <t>Classic Rock</t>
  </si>
  <si>
    <t>screenrant.com</t>
  </si>
  <si>
    <t>Ecommerce</t>
  </si>
  <si>
    <t>wsj.com</t>
  </si>
  <si>
    <t>Internet and Telecom</t>
  </si>
  <si>
    <t>Web Portals</t>
  </si>
  <si>
    <t>Web Apps and Online Tools</t>
  </si>
  <si>
    <t>Web Services</t>
  </si>
  <si>
    <t>Mobile and Wireless</t>
  </si>
  <si>
    <t>Search Engines</t>
  </si>
  <si>
    <t>Email and Messaging</t>
  </si>
  <si>
    <t>dexerto.com</t>
  </si>
  <si>
    <t>Jobs and Education</t>
  </si>
  <si>
    <t>Jobs</t>
  </si>
  <si>
    <t>Law and Government</t>
  </si>
  <si>
    <t>Government</t>
  </si>
  <si>
    <t>Public Safety</t>
  </si>
  <si>
    <t>Legal</t>
  </si>
  <si>
    <t>washingtonpost.com</t>
  </si>
  <si>
    <t>Military</t>
  </si>
  <si>
    <t>cars.com</t>
  </si>
  <si>
    <t>Life Event</t>
  </si>
  <si>
    <t>University Graduation</t>
  </si>
  <si>
    <t>Bride</t>
  </si>
  <si>
    <t>businessinsider.com</t>
  </si>
  <si>
    <t>College Applications</t>
  </si>
  <si>
    <t>College Graduation</t>
  </si>
  <si>
    <t>Movers</t>
  </si>
  <si>
    <t>Job Search</t>
  </si>
  <si>
    <t>Engagement</t>
  </si>
  <si>
    <t>New Parent</t>
  </si>
  <si>
    <t>Wedding Planning</t>
  </si>
  <si>
    <t>Home Buying</t>
  </si>
  <si>
    <t>topclassactions.com</t>
  </si>
  <si>
    <t>Lotame</t>
  </si>
  <si>
    <t>Social Media</t>
  </si>
  <si>
    <t>Personal Finance</t>
  </si>
  <si>
    <t>Estate Planning</t>
  </si>
  <si>
    <t>Style, Fashion &amp; Clothing</t>
  </si>
  <si>
    <t>Clothing Shoppers</t>
  </si>
  <si>
    <t>International Travel</t>
  </si>
  <si>
    <t>eonline.com</t>
  </si>
  <si>
    <t>Children's Clothing Shoppers</t>
  </si>
  <si>
    <t>lensvid.com</t>
  </si>
  <si>
    <t>Online Shoppers</t>
  </si>
  <si>
    <t>sciencealert.com</t>
  </si>
  <si>
    <t>Women's Clothing Shoppers</t>
  </si>
  <si>
    <t>rvtrader.com</t>
  </si>
  <si>
    <t>Men's Clothing Shoppers</t>
  </si>
  <si>
    <t>zone.msn.com</t>
  </si>
  <si>
    <t>Offline CPG Purchasers</t>
  </si>
  <si>
    <t>Product Segment</t>
  </si>
  <si>
    <t>Home Supplies</t>
  </si>
  <si>
    <t>Technology</t>
  </si>
  <si>
    <t>Mobile Phones</t>
  </si>
  <si>
    <t>m.timesofindia.com</t>
  </si>
  <si>
    <t>Electronics &amp; Gadgets</t>
  </si>
  <si>
    <t>Summer Travel</t>
  </si>
  <si>
    <t>Winter Holiday Travel</t>
  </si>
  <si>
    <t>Stocks</t>
  </si>
  <si>
    <t>repairlinkshop.com</t>
  </si>
  <si>
    <t>Thanksgiving Travel</t>
  </si>
  <si>
    <t>Made In America Audience</t>
  </si>
  <si>
    <t>upworthy.com</t>
  </si>
  <si>
    <t>Mail Order Buyer</t>
  </si>
  <si>
    <t>Media Source</t>
  </si>
  <si>
    <t>healthyrecipesblogs.com</t>
  </si>
  <si>
    <t>LBDigital</t>
  </si>
  <si>
    <t>Open For Business B2B</t>
  </si>
  <si>
    <t>tomsguide.com</t>
  </si>
  <si>
    <t>News and Current Events</t>
  </si>
  <si>
    <t>Sports and Recreational Activities</t>
  </si>
  <si>
    <t>Interest (Affinity)</t>
  </si>
  <si>
    <t>Olympics</t>
  </si>
  <si>
    <t>Team Sports</t>
  </si>
  <si>
    <t>Baseball</t>
  </si>
  <si>
    <t>Online News Websites</t>
  </si>
  <si>
    <t>newsharper.com</t>
  </si>
  <si>
    <t>Audio and Video Streaming</t>
  </si>
  <si>
    <t>Streaming Video</t>
  </si>
  <si>
    <t>Enthusiasts</t>
  </si>
  <si>
    <t>wsvn.com</t>
  </si>
  <si>
    <t>Individual Sports</t>
  </si>
  <si>
    <t>Streaming Audio</t>
  </si>
  <si>
    <t>cnbc.com</t>
  </si>
  <si>
    <t>nba.com</t>
  </si>
  <si>
    <t>wunderground.com</t>
  </si>
  <si>
    <t>merriam-webster.com/dictionary</t>
  </si>
  <si>
    <t>cheapoair.com</t>
  </si>
  <si>
    <t>Combat Sports</t>
  </si>
  <si>
    <t>Television (TV)</t>
  </si>
  <si>
    <t>Viewership</t>
  </si>
  <si>
    <t>womenshealthmag.com</t>
  </si>
  <si>
    <t>semana.com</t>
  </si>
  <si>
    <t>Gaming</t>
  </si>
  <si>
    <t>In-Market</t>
  </si>
  <si>
    <t>moneyppl.com</t>
  </si>
  <si>
    <t>Streaming Services</t>
  </si>
  <si>
    <t>Video Games</t>
  </si>
  <si>
    <t>bleacherbreaker.com</t>
  </si>
  <si>
    <t>Consumer Entertainment Technology</t>
  </si>
  <si>
    <t>editorsnation.com</t>
  </si>
  <si>
    <t>Connected TV and Over-the-Top (CTV and OTT)</t>
  </si>
  <si>
    <t>Streaming Television and Film Viewership</t>
  </si>
  <si>
    <t>Events and Attractions</t>
  </si>
  <si>
    <t>motor-junkie.com</t>
  </si>
  <si>
    <t>Motorsports</t>
  </si>
  <si>
    <t>Mobile Audience</t>
  </si>
  <si>
    <t>Lifestyle</t>
  </si>
  <si>
    <t>Arts Enthusiasts</t>
  </si>
  <si>
    <t>Multibuyer Behaviors</t>
  </si>
  <si>
    <t>Paid with Credit Card</t>
  </si>
  <si>
    <t>baseball.fantasysports.yahoo.com</t>
  </si>
  <si>
    <t>Pastimes Multibuyer</t>
  </si>
  <si>
    <t>rent.com</t>
  </si>
  <si>
    <t>Club</t>
  </si>
  <si>
    <t>Continuity Buyers</t>
  </si>
  <si>
    <t>News</t>
  </si>
  <si>
    <t>Newspapers</t>
  </si>
  <si>
    <t>calculator.net</t>
  </si>
  <si>
    <t>Politics</t>
  </si>
  <si>
    <t>Technology News</t>
  </si>
  <si>
    <t>femanin.com</t>
  </si>
  <si>
    <t>Business News</t>
  </si>
  <si>
    <t>Weather</t>
  </si>
  <si>
    <t>Sports News</t>
  </si>
  <si>
    <t>OnAudience</t>
  </si>
  <si>
    <t>Baby &amp; Toddler</t>
  </si>
  <si>
    <t>Sporting Goods</t>
  </si>
  <si>
    <t>cbssports.com</t>
  </si>
  <si>
    <t>Software</t>
  </si>
  <si>
    <t>Video Game Software</t>
  </si>
  <si>
    <t>Animals &amp; Pet</t>
  </si>
  <si>
    <t>a-z-animals.com</t>
  </si>
  <si>
    <t>Intent</t>
  </si>
  <si>
    <t>politico.com</t>
  </si>
  <si>
    <t>News &amp; Magazines</t>
  </si>
  <si>
    <t>clutchpoints.com</t>
  </si>
  <si>
    <t>Vehicle Parts &amp; Accessories</t>
  </si>
  <si>
    <t>gamespot.com</t>
  </si>
  <si>
    <t>Arts &amp; Entertainment</t>
  </si>
  <si>
    <t>Life Stage</t>
  </si>
  <si>
    <t>Science</t>
  </si>
  <si>
    <t>Weather Forecast</t>
  </si>
  <si>
    <t>Television</t>
  </si>
  <si>
    <t>Fine Art</t>
  </si>
  <si>
    <t>Sports</t>
  </si>
  <si>
    <t>Food &amp; Drink</t>
  </si>
  <si>
    <t>Luxurious Brands</t>
  </si>
  <si>
    <t>greedyfinance.com</t>
  </si>
  <si>
    <t>Technology &amp; Computing</t>
  </si>
  <si>
    <t>Careers</t>
  </si>
  <si>
    <t>Social life</t>
  </si>
  <si>
    <t>Business</t>
  </si>
  <si>
    <t>Shopping Mall Buyers</t>
  </si>
  <si>
    <t>Sharethrough</t>
  </si>
  <si>
    <t>soaps.sheknows.com</t>
  </si>
  <si>
    <t>Email</t>
  </si>
  <si>
    <t>sporcle.com</t>
  </si>
  <si>
    <t>Society</t>
  </si>
  <si>
    <t>thehulltruth.com</t>
  </si>
  <si>
    <t>Hobbies &amp; Interests</t>
  </si>
  <si>
    <t>Art</t>
  </si>
  <si>
    <t>timeanddate.com</t>
  </si>
  <si>
    <t>Economy</t>
  </si>
  <si>
    <t>redfin.com</t>
  </si>
  <si>
    <t>Toys &amp; Games</t>
  </si>
  <si>
    <t>Baby Toys</t>
  </si>
  <si>
    <t>Music Lovers</t>
  </si>
  <si>
    <t>Internet Technology</t>
  </si>
  <si>
    <t>ign.com</t>
  </si>
  <si>
    <t>Online Communities</t>
  </si>
  <si>
    <t>File Sharing and Hosting</t>
  </si>
  <si>
    <t>Social Networks</t>
  </si>
  <si>
    <t>flightaware.com</t>
  </si>
  <si>
    <t>Blogging Resources and Services</t>
  </si>
  <si>
    <t>Dating and Personals</t>
  </si>
  <si>
    <t>Photo and Video Sharing</t>
  </si>
  <si>
    <t>Online Goodies</t>
  </si>
  <si>
    <t>People and Society</t>
  </si>
  <si>
    <t>Seniors and Retirement</t>
  </si>
  <si>
    <t>healthline.com</t>
  </si>
  <si>
    <t>Family and Relationships</t>
  </si>
  <si>
    <t>Parents</t>
  </si>
  <si>
    <t>Millennials</t>
  </si>
  <si>
    <t>Moms</t>
  </si>
  <si>
    <t>Premium Entertainment and Pastimes</t>
  </si>
  <si>
    <t>Premium Magazine Enthusiasts</t>
  </si>
  <si>
    <t>Premium Gender</t>
  </si>
  <si>
    <t>Males</t>
  </si>
  <si>
    <t>behindthevoiceactors.com</t>
  </si>
  <si>
    <t>Price-Driven Traditionalist Audience</t>
  </si>
  <si>
    <t>Purchase Behaviors</t>
  </si>
  <si>
    <t>Q2 Environmentally Concerned Shoppers</t>
  </si>
  <si>
    <t>Q2 Spring Cleaners</t>
  </si>
  <si>
    <t>Purchase-Based</t>
  </si>
  <si>
    <t>scitechdaily.com</t>
  </si>
  <si>
    <t>Categories</t>
  </si>
  <si>
    <t>Office Supplies Buyers</t>
  </si>
  <si>
    <t>Quality-First Shopper Audience</t>
  </si>
  <si>
    <t>Reach</t>
  </si>
  <si>
    <t>Propensity Models</t>
  </si>
  <si>
    <t>Household Consumer Expenditures</t>
  </si>
  <si>
    <t>Lawn and Garden</t>
  </si>
  <si>
    <t>Hobbies and Interest</t>
  </si>
  <si>
    <t>Sociodemographic</t>
  </si>
  <si>
    <t>Household Income</t>
  </si>
  <si>
    <t>$50,000-$74,999</t>
  </si>
  <si>
    <t>Electronics and Gadgets</t>
  </si>
  <si>
    <t>Multi-family Dwelling Unit</t>
  </si>
  <si>
    <t>Estimated Current Home Value</t>
  </si>
  <si>
    <t>$160,000-$199,999</t>
  </si>
  <si>
    <t>Homeowner Status</t>
  </si>
  <si>
    <t>Renter</t>
  </si>
  <si>
    <t>45-49</t>
  </si>
  <si>
    <t>Dwelling Size</t>
  </si>
  <si>
    <t>1 Unit</t>
  </si>
  <si>
    <t>Boating</t>
  </si>
  <si>
    <t>Cultural Arts</t>
  </si>
  <si>
    <t>Healthy Living</t>
  </si>
  <si>
    <t>health.usnews.com</t>
  </si>
  <si>
    <t>Home Office</t>
  </si>
  <si>
    <t>Furniture</t>
  </si>
  <si>
    <t>sneakertoast.com</t>
  </si>
  <si>
    <t>thebigmansworld.com</t>
  </si>
  <si>
    <t>commercialappeal.com</t>
  </si>
  <si>
    <t>nsfas-applications.co.za</t>
  </si>
  <si>
    <t>Young Adult Clothing Shoppers</t>
  </si>
  <si>
    <t>sciencesensei.com</t>
  </si>
  <si>
    <t>Kitchen</t>
  </si>
  <si>
    <t>culinaryhill.com</t>
  </si>
  <si>
    <t>Luxury Home Goods Store Shopper</t>
  </si>
  <si>
    <t>Luxury Store Shoppers</t>
  </si>
  <si>
    <t>bestbuy.com</t>
  </si>
  <si>
    <t>Residential</t>
  </si>
  <si>
    <t>Apartments and Residential Rentals</t>
  </si>
  <si>
    <t>Lot Size</t>
  </si>
  <si>
    <t>Cozy Outdoor Living Space (Less than  an Acre)</t>
  </si>
  <si>
    <t>Occupancy</t>
  </si>
  <si>
    <t>Owner Occupied</t>
  </si>
  <si>
    <t>Rent Amount</t>
  </si>
  <si>
    <t>Sensible  Rentals ($1000-$3000)</t>
  </si>
  <si>
    <t>Homeowner</t>
  </si>
  <si>
    <t>Sale Activity</t>
  </si>
  <si>
    <t>Just Sold</t>
  </si>
  <si>
    <t>Response Performance</t>
  </si>
  <si>
    <t>Direct Marketing Purchasers</t>
  </si>
  <si>
    <t>gamingbible.com</t>
  </si>
  <si>
    <t>Direct Marketing Responders</t>
  </si>
  <si>
    <t>baseball-reference.com</t>
  </si>
  <si>
    <t>Retail</t>
  </si>
  <si>
    <t>Rural Improvement Fanatic</t>
  </si>
  <si>
    <t>Old Navy</t>
  </si>
  <si>
    <t>PRIZM Premier Social</t>
  </si>
  <si>
    <t>C2 City Centers</t>
  </si>
  <si>
    <t>P$YCLE Premier Lifestage</t>
  </si>
  <si>
    <t>M2 Wealthy Achievers</t>
  </si>
  <si>
    <t>ConneXions Lifestage</t>
  </si>
  <si>
    <t>M3 Offline Seniors</t>
  </si>
  <si>
    <t>F2 Suburban Spenders</t>
  </si>
  <si>
    <t>Y2 Emerging Techies</t>
  </si>
  <si>
    <t>shareably.net</t>
  </si>
  <si>
    <t>F1 Early Adopting Elite</t>
  </si>
  <si>
    <t>M4 Elderly Traditionalists</t>
  </si>
  <si>
    <t>Y3 Fiscal Fledglings</t>
  </si>
  <si>
    <t>M3 Upscale Empty Nests</t>
  </si>
  <si>
    <t>historyallday.com</t>
  </si>
  <si>
    <t>PRIZM Premier Lifestage</t>
  </si>
  <si>
    <t>F2 Young Accumulators</t>
  </si>
  <si>
    <t>T2 Country Comfort</t>
  </si>
  <si>
    <t>F4 Working-Class USA</t>
  </si>
  <si>
    <t>Sports League</t>
  </si>
  <si>
    <t>NHL</t>
  </si>
  <si>
    <t>NBA</t>
  </si>
  <si>
    <t>NFL</t>
  </si>
  <si>
    <t>alotfinance.com</t>
  </si>
  <si>
    <t>MLB</t>
  </si>
  <si>
    <t>Premier League</t>
  </si>
  <si>
    <t>cnet.com</t>
  </si>
  <si>
    <t>Water Sports</t>
  </si>
  <si>
    <t>Surfing</t>
  </si>
  <si>
    <t>Running and Walking</t>
  </si>
  <si>
    <t>Bowling</t>
  </si>
  <si>
    <t>Skate Sports</t>
  </si>
  <si>
    <t>medical-news.org</t>
  </si>
  <si>
    <t>heraldweekly.com</t>
  </si>
  <si>
    <t>Track and Field</t>
  </si>
  <si>
    <t>Cycling</t>
  </si>
  <si>
    <t>UFC Fans</t>
  </si>
  <si>
    <t>Motor Sports</t>
  </si>
  <si>
    <t>Volleyball</t>
  </si>
  <si>
    <t>Basketball</t>
  </si>
  <si>
    <t>Rugby</t>
  </si>
  <si>
    <t>American Football</t>
  </si>
  <si>
    <t>NASCAR</t>
  </si>
  <si>
    <t>Winter Sports</t>
  </si>
  <si>
    <t>Skiing and Snowboarding</t>
  </si>
  <si>
    <t>Ice Skating</t>
  </si>
  <si>
    <t>Golf</t>
  </si>
  <si>
    <t>NCAA College Basketball</t>
  </si>
  <si>
    <t>wizofawes.com</t>
  </si>
  <si>
    <t>Extreme Sports</t>
  </si>
  <si>
    <t>Fantasy Sports</t>
  </si>
  <si>
    <t>College Sports</t>
  </si>
  <si>
    <t>Tech Enthusiasts</t>
  </si>
  <si>
    <t>Likely Behavior</t>
  </si>
  <si>
    <t>Heavy Facebook User</t>
  </si>
  <si>
    <t>Telecommunications (Telco)</t>
  </si>
  <si>
    <t>Subscribers</t>
  </si>
  <si>
    <t>dailydot.com</t>
  </si>
  <si>
    <t>Telecommunications and Mobile Tech</t>
  </si>
  <si>
    <t>Mobile Devices and Connected Technology</t>
  </si>
  <si>
    <t>The Changing Consumer</t>
  </si>
  <si>
    <t>Delivery Services and Quick Service Restaurants</t>
  </si>
  <si>
    <t>Gaming Equipment</t>
  </si>
  <si>
    <t>Data For Good</t>
  </si>
  <si>
    <t>Current Affairs - Social Justice</t>
  </si>
  <si>
    <t>DIY</t>
  </si>
  <si>
    <t>techradar.com</t>
  </si>
  <si>
    <t>Online Retailers</t>
  </si>
  <si>
    <t>Natural Disasters</t>
  </si>
  <si>
    <t>Active Facebook Users</t>
  </si>
  <si>
    <t>Telehealth</t>
  </si>
  <si>
    <t>Internet Connection</t>
  </si>
  <si>
    <t>Personal Budgeting</t>
  </si>
  <si>
    <t>Trending TV Shows</t>
  </si>
  <si>
    <t>Home Learning</t>
  </si>
  <si>
    <t>Home Entertaining</t>
  </si>
  <si>
    <t>Work from Home</t>
  </si>
  <si>
    <t>Happy at Home</t>
  </si>
  <si>
    <t>Home Cooking</t>
  </si>
  <si>
    <t>CPG</t>
  </si>
  <si>
    <t>Pet Adoption</t>
  </si>
  <si>
    <t>Virtual Events</t>
  </si>
  <si>
    <t>Direct to Consumer</t>
  </si>
  <si>
    <t>cheezburger.com</t>
  </si>
  <si>
    <t>Transactional</t>
  </si>
  <si>
    <t>Q2 Graduation Gift Shoppers</t>
  </si>
  <si>
    <t>Q3 Casual Dining Restaurant Goers</t>
  </si>
  <si>
    <t>Q3 Fashion Shoppers</t>
  </si>
  <si>
    <t>Q3 Gardening Shoppers</t>
  </si>
  <si>
    <t>Q3 Home Entertainers</t>
  </si>
  <si>
    <t>Tourist Destinations</t>
  </si>
  <si>
    <t>Mountain and Ski Resorts</t>
  </si>
  <si>
    <t>Zoos-Aquariums-Preserves</t>
  </si>
  <si>
    <t>Lakes and Rivers</t>
  </si>
  <si>
    <t>Regional Parks and Gardens</t>
  </si>
  <si>
    <t>Beaches and Islands</t>
  </si>
  <si>
    <t>Destination</t>
  </si>
  <si>
    <t>International Travelers</t>
  </si>
  <si>
    <t>Frequent Travelers</t>
  </si>
  <si>
    <t>Historical Sites and Buildings</t>
  </si>
  <si>
    <t>Theme Parks</t>
  </si>
  <si>
    <t>Air Travel</t>
  </si>
  <si>
    <t>Specialty Travel</t>
  </si>
  <si>
    <t>Adventure Travel</t>
  </si>
  <si>
    <t>Likely Business Travel</t>
  </si>
  <si>
    <t>Number of Nights Stayed</t>
  </si>
  <si>
    <t>0 Nights</t>
  </si>
  <si>
    <t>Travel Agencies and Services</t>
  </si>
  <si>
    <t>Agritourism</t>
  </si>
  <si>
    <t>Vacation Rentals</t>
  </si>
  <si>
    <t>HomeAway</t>
  </si>
  <si>
    <t>Cruises and Charters</t>
  </si>
  <si>
    <t>Activity</t>
  </si>
  <si>
    <t>Ski Travelers</t>
  </si>
  <si>
    <t>Bus and Rail</t>
  </si>
  <si>
    <t>Tourist Boards and Visitor Centers</t>
  </si>
  <si>
    <t>Carpooling and Vehicle Sharing</t>
  </si>
  <si>
    <t>Car Rentals</t>
  </si>
  <si>
    <t>Hertz</t>
  </si>
  <si>
    <t>marca.com</t>
  </si>
  <si>
    <t>Hotels and Accommodations</t>
  </si>
  <si>
    <t>Travel Guides and Travelogues</t>
  </si>
  <si>
    <t>Car Rental and Taxi Services</t>
  </si>
  <si>
    <t>Airport Parking and Transportation</t>
  </si>
  <si>
    <t>Destinations</t>
  </si>
  <si>
    <t>Latin America</t>
  </si>
  <si>
    <t>factable.com</t>
  </si>
  <si>
    <t>North America</t>
  </si>
  <si>
    <t>Products</t>
  </si>
  <si>
    <t>Europe</t>
  </si>
  <si>
    <t>Hotels and Lodging</t>
  </si>
  <si>
    <t>Africa</t>
  </si>
  <si>
    <t>Demographics Validated</t>
  </si>
  <si>
    <t>18-64</t>
  </si>
  <si>
    <t>Gender and Age Combined</t>
  </si>
  <si>
    <t>Females 55-64</t>
  </si>
  <si>
    <t>Females 25-44</t>
  </si>
  <si>
    <t>Males 25-44</t>
  </si>
  <si>
    <t>Males 18-44</t>
  </si>
  <si>
    <t>Females 25-34</t>
  </si>
  <si>
    <t>Males 18-34</t>
  </si>
  <si>
    <t>nbcdfw.com</t>
  </si>
  <si>
    <t>Females 18-54</t>
  </si>
  <si>
    <t>Males 55-64</t>
  </si>
  <si>
    <t>Females 25 or older</t>
  </si>
  <si>
    <t>abcnews.go.com</t>
  </si>
  <si>
    <t>Females 18-44</t>
  </si>
  <si>
    <t>Females 35-44</t>
  </si>
  <si>
    <t>Females 25-64</t>
  </si>
  <si>
    <t>Females 18-64</t>
  </si>
  <si>
    <t>65 or older</t>
  </si>
  <si>
    <t>tripadvisor.com</t>
  </si>
  <si>
    <t>25-34</t>
  </si>
  <si>
    <t>25-54</t>
  </si>
  <si>
    <t>18-54</t>
  </si>
  <si>
    <t>25-44</t>
  </si>
  <si>
    <t>35-44</t>
  </si>
  <si>
    <t>homehacks.co</t>
  </si>
  <si>
    <t>18 or older</t>
  </si>
  <si>
    <t>reference.com</t>
  </si>
  <si>
    <t>Gender</t>
  </si>
  <si>
    <t>Female</t>
  </si>
  <si>
    <t>yourroyals.com</t>
  </si>
  <si>
    <t>25 or older</t>
  </si>
  <si>
    <t>kiplinger.com</t>
  </si>
  <si>
    <t>Male</t>
  </si>
  <si>
    <t>Males 25 or older</t>
  </si>
  <si>
    <t>Females 65 or older</t>
  </si>
  <si>
    <t>Males 25-64</t>
  </si>
  <si>
    <t>Males 18-64</t>
  </si>
  <si>
    <t>livescience.com</t>
  </si>
  <si>
    <t>Males 18-54</t>
  </si>
  <si>
    <t>Males 25-54</t>
  </si>
  <si>
    <t>25-64</t>
  </si>
  <si>
    <t>Females 45-54</t>
  </si>
  <si>
    <t>Audience Segment</t>
  </si>
  <si>
    <t>Sub category</t>
  </si>
  <si>
    <t>Description</t>
  </si>
  <si>
    <t>City1</t>
  </si>
  <si>
    <t>State1</t>
  </si>
  <si>
    <t>City2</t>
  </si>
  <si>
    <t>State2</t>
  </si>
  <si>
    <t>Los Angeles</t>
  </si>
  <si>
    <t xml:space="preserve"> California</t>
  </si>
  <si>
    <t>Orlando-Daytona Beach</t>
  </si>
  <si>
    <t xml:space="preserve"> Florida</t>
  </si>
  <si>
    <t>New York City</t>
  </si>
  <si>
    <t xml:space="preserve"> New York</t>
  </si>
  <si>
    <t>Bars</t>
  </si>
  <si>
    <t>Clubs and Nightlife</t>
  </si>
  <si>
    <t>Chicago</t>
  </si>
  <si>
    <t xml:space="preserve"> Illinois</t>
  </si>
  <si>
    <t>Jacksonville</t>
  </si>
  <si>
    <t>Nashville</t>
  </si>
  <si>
    <t xml:space="preserve"> Tennessee</t>
  </si>
  <si>
    <t>Knoxville</t>
  </si>
  <si>
    <t>Hattiesburg-Laurel</t>
  </si>
  <si>
    <t xml:space="preserve"> Mississippi</t>
  </si>
  <si>
    <t>Miami-Ft. Lauderdale</t>
  </si>
  <si>
    <t>Grand Rapids-Kalamazoo</t>
  </si>
  <si>
    <t xml:space="preserve"> Michigan</t>
  </si>
  <si>
    <t>Lansing</t>
  </si>
  <si>
    <t>Champaign &amp; Springfield-Decatur</t>
  </si>
  <si>
    <t>Illinois</t>
  </si>
  <si>
    <t>West Palm Beach-Ft. Pierce</t>
  </si>
  <si>
    <t>Tampa-St Petersburg (Sarasota)</t>
  </si>
  <si>
    <t>San Francisco</t>
  </si>
  <si>
    <t>Memphis</t>
  </si>
  <si>
    <t>Tallahassee</t>
  </si>
  <si>
    <t>Thomasville</t>
  </si>
  <si>
    <t xml:space="preserve"> Georgia</t>
  </si>
  <si>
    <t>Savannah</t>
  </si>
  <si>
    <t>Ft. Myers-Naples</t>
  </si>
  <si>
    <t>Augusta</t>
  </si>
  <si>
    <t>Huntsville-Decatur (Florence)</t>
  </si>
  <si>
    <t xml:space="preserve"> Alabama</t>
  </si>
  <si>
    <t>South Bend-Elkhart</t>
  </si>
  <si>
    <t xml:space="preserve"> Indiana</t>
  </si>
  <si>
    <t>Tri-Cities</t>
  </si>
  <si>
    <t>Virginia</t>
  </si>
  <si>
    <t>Peoria-Bloomington</t>
  </si>
  <si>
    <t>Rockford</t>
  </si>
  <si>
    <t>Little Rock-Pine Bluff</t>
  </si>
  <si>
    <t xml:space="preserve"> Arkansas</t>
  </si>
  <si>
    <t>Flint-Saginaw-Bay City</t>
  </si>
  <si>
    <t>Jackson</t>
  </si>
  <si>
    <t>Ft. Wayne</t>
  </si>
  <si>
    <t>Print</t>
  </si>
  <si>
    <t>Copy or Photo Services</t>
  </si>
  <si>
    <t>Technology Services</t>
  </si>
  <si>
    <t>Hardware and or Software I have no input into the final decision</t>
  </si>
  <si>
    <t>Hardware and or Software I make the final decision with input from staff</t>
  </si>
  <si>
    <t>Chattanooga</t>
  </si>
  <si>
    <t>Hardware and or Software I am the sole decision maker</t>
  </si>
  <si>
    <t>Shreveport</t>
  </si>
  <si>
    <t xml:space="preserve"> Louisiana</t>
  </si>
  <si>
    <t>Mobile</t>
  </si>
  <si>
    <t>Pensacola</t>
  </si>
  <si>
    <t>Toledo</t>
  </si>
  <si>
    <t xml:space="preserve"> Ohio</t>
  </si>
  <si>
    <t>Lafayette</t>
  </si>
  <si>
    <t>Charleston</t>
  </si>
  <si>
    <t xml:space="preserve"> South Carolina</t>
  </si>
  <si>
    <t>$0 - $99</t>
  </si>
  <si>
    <t>999</t>
  </si>
  <si>
    <t>Greater than $2</t>
  </si>
  <si>
    <t>499</t>
  </si>
  <si>
    <t>500</t>
  </si>
  <si>
    <t>Cincinnati</t>
  </si>
  <si>
    <t>Olympics Winter Olympics</t>
  </si>
  <si>
    <t>Team Sports Baseball</t>
  </si>
  <si>
    <t>Individual Sports Tennis and Racquet Sports</t>
  </si>
  <si>
    <t>Olympics Summer Olympics</t>
  </si>
  <si>
    <t>Panama City</t>
  </si>
  <si>
    <t>Team Sports Soccer (Football)</t>
  </si>
  <si>
    <t>Team Sports Football (American)</t>
  </si>
  <si>
    <t>TV Genres Drama</t>
  </si>
  <si>
    <t>Interest (Affinity) Streaming Services</t>
  </si>
  <si>
    <t>OTT Movie Viewers Genre</t>
  </si>
  <si>
    <t>Video Televisions</t>
  </si>
  <si>
    <t>Birmingham</t>
  </si>
  <si>
    <t>Food and Drinks Eats at Family Restaurants</t>
  </si>
  <si>
    <t>Music Streaming</t>
  </si>
  <si>
    <t>Mortgage Amount $120,000-$159,999</t>
  </si>
  <si>
    <t>Sports NASCAR Enthusiast</t>
  </si>
  <si>
    <t>Credit Debit Card</t>
  </si>
  <si>
    <t>Sports NFL Enthusiast</t>
  </si>
  <si>
    <t>Sports Boating</t>
  </si>
  <si>
    <t>Sports Hunting Enthusiasts</t>
  </si>
  <si>
    <t>Pets Cat Owners</t>
  </si>
  <si>
    <t>Monthly Mortgage Payment $800-$999</t>
  </si>
  <si>
    <t>Sports NBA Enthusiast</t>
  </si>
  <si>
    <t>Sports NHL Enthusiast</t>
  </si>
  <si>
    <t>Sports Plays Soccer</t>
  </si>
  <si>
    <t>Music Listens to Country Music</t>
  </si>
  <si>
    <t>Food and Drinks Wine Lovers</t>
  </si>
  <si>
    <t>Music Listens to Pop Music</t>
  </si>
  <si>
    <t>Louisville</t>
  </si>
  <si>
    <t xml:space="preserve"> Kentucky</t>
  </si>
  <si>
    <t>Charities Contributes by Volunteering</t>
  </si>
  <si>
    <t>Sports Canoeing</t>
  </si>
  <si>
    <t>Loyalty Programs Loyalty Card User</t>
  </si>
  <si>
    <t>Sports Fishing</t>
  </si>
  <si>
    <t>Books E-Book Reader</t>
  </si>
  <si>
    <t>Charities Contributes to Charities</t>
  </si>
  <si>
    <t>Sports PGA Tour Enthusiast</t>
  </si>
  <si>
    <t>Sports Avid Runners</t>
  </si>
  <si>
    <t>High Frequency Travel Foreign Vacationer</t>
  </si>
  <si>
    <t>Food and Drinks High-end Spirit Drinkers</t>
  </si>
  <si>
    <t>Sports Fitness Enthusiasts</t>
  </si>
  <si>
    <t>Food and Drinks Coffee Connoisseurs</t>
  </si>
  <si>
    <t>Sports Plays Tennis</t>
  </si>
  <si>
    <t>Food and Drinks Eats at Fast Food Restaurants</t>
  </si>
  <si>
    <t>Pets Pet Enthusiast</t>
  </si>
  <si>
    <t>Grand Total</t>
  </si>
  <si>
    <t>Sum of Clicks</t>
  </si>
  <si>
    <t>CPC (Cost per Click</t>
  </si>
  <si>
    <t>CPA (Cost per Acquistion)</t>
  </si>
  <si>
    <t>CVR (Conversion Rate)</t>
  </si>
  <si>
    <t>CTR (Click-Through Rate)</t>
  </si>
  <si>
    <t>Viewabiliy Rate</t>
  </si>
  <si>
    <t>CPM (Cost per Mille)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</si>
</sst>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_(* #,##0.000000_);_(* \(#,##0.000000\);_(* &quot;-&quot;??_);_(@_)"/>
    <numFmt numFmtId="167" formatCode="0.00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4" fontId="0" fillId="0" borderId="0" xfId="2" applyFont="1"/>
    <xf numFmtId="164" fontId="0" fillId="0" borderId="0" xfId="1" applyNumberFormat="1" applyFont="1"/>
    <xf numFmtId="165" fontId="0" fillId="0" borderId="0" xfId="1" applyNumberFormat="1" applyFont="1"/>
    <xf numFmtId="166" fontId="0" fillId="0" borderId="0" xfId="1" applyNumberFormat="1" applyFont="1"/>
    <xf numFmtId="167" fontId="0" fillId="0" borderId="0" xfId="0" applyNumberFormat="1"/>
  </cellXfs>
  <cellStyles count="3">
    <cellStyle name="Comma" xfId="1" builtinId="3"/>
    <cellStyle name="Currency" xfId="2" builtinId="4"/>
    <cellStyle name="Normal" xfId="0" builtinId="0"/>
  </cellStyles>
  <dxfs count="20">
    <dxf>
      <numFmt numFmtId="165" formatCode="_(* #,##0.00000_);_(* \(#,##0.00000\);_(* &quot;-&quot;??_);_(@_)"/>
    </dxf>
    <dxf>
      <numFmt numFmtId="166" formatCode="_(* #,##0.000000_);_(* \(#,##0.0000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2" defaultPivotStyle="PivotStyleLight16">
    <tableStyle name="Invisible" pivot="0" table="0" count="0" xr9:uid="{B25BCE03-7431-4FDC-95A1-C0BEE24A7F0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vgeni Resh" refreshedDate="46135.960850347219" createdVersion="8" refreshedVersion="8" minRefreshableVersion="3" recordCount="727" xr:uid="{88878C22-13A2-4A63-AC1D-201615E82C4E}">
  <cacheSource type="worksheet">
    <worksheetSource name="PBL_DA_CAPSTONE_DATA"/>
  </cacheSource>
  <cacheFields count="19">
    <cacheField name="Audience Segment" numFmtId="0">
      <sharedItems count="65">
        <s v="Arts and Entertainment"/>
        <s v="Automotive"/>
        <s v="B2B"/>
        <s v="Beauty and Fitness"/>
        <s v="Brand Propensities"/>
        <s v="Buying Channel Preference"/>
        <s v="Composite Segment"/>
        <s v="Connected Impulse-Shopper Audience"/>
        <s v="Demographics"/>
        <s v="Demos"/>
        <s v="Device Ownership"/>
        <s v="Entertainment and Pastimes"/>
        <s v="Finance"/>
        <s v="Financially in Charge"/>
        <s v="Food"/>
        <s v="Gamers"/>
        <s v="Games"/>
        <s v="Green Consumer Audience"/>
        <s v="Health and Fitness"/>
        <s v="Health and Wellbeing"/>
        <s v="Hobbies and Leisure"/>
        <s v="Home"/>
        <s v="Home Renovation"/>
        <s v="Home and Garden"/>
        <s v="Home and Garden Interests"/>
        <s v="Interest"/>
        <s v="Interest Propensities"/>
        <s v="Internet and Telecom"/>
        <s v="Jobs and Education"/>
        <s v="Law and Government"/>
        <s v="Life Event"/>
        <s v="Lotame"/>
        <s v="Made In America Audience"/>
        <s v="Mail Order Buyer"/>
        <s v="Media Source"/>
        <s v="Media and Entertainment"/>
        <s v="Mobile Audience"/>
        <s v="Multibuyer Behaviors"/>
        <s v="News"/>
        <s v="OnAudience"/>
        <s v="Online Communities"/>
        <s v="People and Society"/>
        <s v="Premium Entertainment and Pastimes"/>
        <s v="Premium Gender"/>
        <s v="Price-Driven Traditionalist Audience"/>
        <s v="Purchase Behaviors"/>
        <s v="Purchase-Based"/>
        <s v="Quality-First Shopper Audience"/>
        <s v="Reach"/>
        <s v="Real Estate"/>
        <s v="Response Performance"/>
        <s v="Restaurants"/>
        <s v="Retail"/>
        <s v="Rural Improvement Fanatic"/>
        <s v="Shopping"/>
        <s v="Sociodemographic"/>
        <s v="Sports"/>
        <s v="Tech Enthusiasts"/>
        <s v="Technology"/>
        <s v="Telecommunications (Telco)"/>
        <s v="Telecommunications and Mobile Tech"/>
        <s v="The Changing Consumer"/>
        <s v="Transactional"/>
        <s v="Travel"/>
        <s v="Demographics Validated"/>
      </sharedItems>
    </cacheField>
    <cacheField name="Category" numFmtId="0">
      <sharedItems containsBlank="1" count="257">
        <s v="Events and Listings"/>
        <s v="Arts and Entertainment"/>
        <s v="TV and Video"/>
        <s v="Celebrities and Entertainment News"/>
        <s v="Music and Audio"/>
        <s v="Movies"/>
        <s v="Comics and Animation"/>
        <s v="Services"/>
        <s v="Primary Vehicle"/>
        <s v="Auto Loyalists and Defectors"/>
        <s v="Auto Car Purchase Next Year"/>
        <s v="Auto Buyers"/>
        <s v="Repair &amp; Oil Change"/>
        <s v="Shopping"/>
        <s v="Decision Maker for Auto Purchase"/>
        <s v="Financial Intent"/>
        <s v="Travel"/>
        <s v="Vehicle Ownership"/>
        <s v="Brands"/>
        <s v="Vehicle Parts and Accessories"/>
        <s v="Electric and Plug-In Vehicles"/>
        <s v="Vehicle Shopping"/>
        <s v="Boats and Watercraft"/>
        <s v="Hybrid and Alternative Vehicles"/>
        <s v="Decision Maker Responsibilities"/>
        <s v="Occupation"/>
        <s v="Purchase DM"/>
        <s v="Fitness"/>
        <s v="Cosmetology and Beauty Professionals"/>
        <s v="Fashion and Style"/>
        <s v="Hair Care"/>
        <s v="Body Art"/>
        <s v="Weight Loss"/>
        <s v="Spas and Beauty Services"/>
        <s v="Beauty Pageants"/>
        <s v="Face and Body Care"/>
        <s v="Kids Products"/>
        <s v="Media and Entertainment"/>
        <s v="Electronics"/>
        <s v="Telecom and Service Providers"/>
        <s v="Restaurants and Dining"/>
        <s v="Apparel"/>
        <s v="Home and Household Goods"/>
        <s v="Automotive"/>
        <s v="Health"/>
        <s v="Food and Drug"/>
        <s v="Big Box Dollar Tree Buyer Propensity"/>
        <s v="Big Box Dollar General Buyer Propensity"/>
        <s v="Online"/>
        <s v="Women Born to Shop"/>
        <m/>
        <s v="Family"/>
        <s v="Household Income $50k+"/>
        <s v="Preferred Language"/>
        <s v="Age"/>
        <s v="Education"/>
        <s v="Finance"/>
        <s v="Tablets"/>
        <s v="Smartphones"/>
        <s v="Entertainment and Pastimes"/>
        <s v="Investing"/>
        <s v="Grants, Scholarships and Financial Aid"/>
        <s v="Financial Planning and Management"/>
        <s v="Insurance"/>
        <s v="Banking"/>
        <s v="Credit and Lending"/>
        <s v="Accounting and Auditing"/>
        <s v="Estimated Disposable Income"/>
        <s v="Likely Bank Account and Services"/>
        <s v="Likely Attitude and Behavior"/>
        <s v="Likely In Market Timing"/>
        <s v="Likely Credit Card"/>
        <s v="Method of Payment"/>
        <s v="Credit Card Type"/>
        <s v="Estimated Discretionary Spending (Financial)"/>
        <s v="Estimated Discretionary Spending"/>
        <s v="Digital Payments"/>
        <s v="Performance Score: Top 50%"/>
        <s v="Performance Score: Top 25%"/>
        <s v="Restaurant"/>
        <s v="Beverages"/>
        <s v="Food and Grocery Delivery"/>
        <s v="Food and Grocery Retailers"/>
        <s v="Restaurants"/>
        <s v="Cooking and Recipes"/>
        <s v="Educational Games"/>
        <s v="Computer and Video Games"/>
        <s v="Card Games"/>
        <s v="Family-Oriented Games and Activities"/>
        <s v="Arcade and Coin-Op Games"/>
        <s v="Interest"/>
        <s v="Health and Wellbeing"/>
        <s v="Outdoors"/>
        <s v="Special Occasions"/>
        <s v="Crafts"/>
        <s v="Contests, Awards and Prizes"/>
        <s v="Clubs and Organizations"/>
        <s v="Water Activities"/>
        <s v="Property Type"/>
        <s v="Dwelling Type"/>
        <s v="Home Renovators"/>
        <s v="Homemaking and Interior Decor"/>
        <s v="Home Improvement"/>
        <s v="Home Furnishings"/>
        <s v="Home Appliances"/>
        <s v="Yard and Patio"/>
        <s v="Bed and Bath"/>
        <s v="Kitchen and Dining"/>
        <s v="Cooking"/>
        <s v="House and Garden Merchandise Buyers"/>
        <s v="Home"/>
        <s v="Consumer Electronics"/>
        <s v="Computers"/>
        <s v="Activities and Interests"/>
        <s v="Music"/>
        <s v="TV and Movies"/>
        <s v="Social"/>
        <s v="Food and Drink"/>
        <s v="Celebrities"/>
        <s v="Oil &amp; Gas"/>
        <s v="Web Portals"/>
        <s v="Web Apps and Online Tools"/>
        <s v="Web Services"/>
        <s v="Mobile and Wireless"/>
        <s v="Search Engines"/>
        <s v="Email and Messaging"/>
        <s v="Jobs"/>
        <s v="Government"/>
        <s v="Public Safety"/>
        <s v="Legal"/>
        <s v="Military"/>
        <s v="University Graduation"/>
        <s v="Bride"/>
        <s v="College Applications"/>
        <s v="College Graduation"/>
        <s v="Movers"/>
        <s v="Job Search"/>
        <s v="Engagement"/>
        <s v="New Parent"/>
        <s v="Wedding Planning"/>
        <s v="Home Buying"/>
        <s v="Social Media"/>
        <s v="Personal Finance"/>
        <s v="Style, Fashion &amp; Clothing"/>
        <s v="Online Shoppers"/>
        <s v="Offline CPG Purchasers"/>
        <s v="Technology"/>
        <s v="LBDigital"/>
        <s v="News and Current Events"/>
        <s v="Sports and Recreational Activities"/>
        <s v="Audio and Video Streaming"/>
        <s v="Television (TV)"/>
        <s v="Gaming"/>
        <s v="Consumer Entertainment Technology"/>
        <s v="Connected TV and Over-the-Top (CTV and OTT)"/>
        <s v="Events and Attractions"/>
        <s v="Lifestyle"/>
        <s v="Paid with Credit Card"/>
        <s v="Entertainment"/>
        <s v="Club"/>
        <s v="Newspapers"/>
        <s v="Local News"/>
        <s v="Politics"/>
        <s v="Technology News"/>
        <s v="Business News"/>
        <s v="Weather"/>
        <s v="Sports News"/>
        <s v="Intent"/>
        <s v="File Sharing and Hosting"/>
        <s v="Social Networks"/>
        <s v="Blogging Resources and Services"/>
        <s v="Dating and Personals"/>
        <s v="Photo and Video Sharing"/>
        <s v="Online Goodies"/>
        <s v="Seniors and Retirement"/>
        <s v="Family and Relationships"/>
        <s v="Millennials"/>
        <s v="Premium Magazine Enthusiasts"/>
        <s v="Premium Gender"/>
        <s v="Q2 Environmentally Concerned Shoppers"/>
        <s v="Q2 Spring Cleaners"/>
        <s v="Categories"/>
        <s v="Propensity Models"/>
        <s v="Sociodemographic"/>
        <s v="Apartments and Residential Rentals"/>
        <s v="Lot Size"/>
        <s v="Occupancy"/>
        <s v="Rent Amount"/>
        <s v="Homeowner"/>
        <s v="Sale Activity"/>
        <s v="Direct Marketing Purchasers"/>
        <s v="Direct Marketing Responders"/>
        <s v="Brand"/>
        <s v="PRIZM Premier Social"/>
        <s v="P$YCLE Premier Lifestage"/>
        <s v="ConneXions Lifestage"/>
        <s v="PRIZM Premier Lifestage"/>
        <s v="Sports League"/>
        <s v="Sporting Goods"/>
        <s v="Water Sports"/>
        <s v="Individual Sports"/>
        <s v="UFC Fans"/>
        <s v="Motor Sports"/>
        <s v="Team Sports"/>
        <s v="Winter Sports"/>
        <s v="Basketball"/>
        <s v="Extreme Sports"/>
        <s v="Fantasy Sports"/>
        <s v="College Sports"/>
        <s v="Subscribers"/>
        <s v="Mobile Devices and Connected Technology"/>
        <s v="Delivery Services and Quick Service Restaurants"/>
        <s v="Gaming Equipment"/>
        <s v="Data For Good"/>
        <s v="DIY"/>
        <s v="Online Retailers"/>
        <s v="Natural Disasters"/>
        <s v="Active Facebook Users"/>
        <s v="Telehealth"/>
        <s v="Internet Connection"/>
        <s v="Personal Budgeting"/>
        <s v="Trending TV Shows"/>
        <s v="Streaming Services"/>
        <s v="Home Learning"/>
        <s v="Home Entertaining"/>
        <s v="Work from Home"/>
        <s v="Happy at Home"/>
        <s v="Home Cooking"/>
        <s v="CPG"/>
        <s v="Pet Adoption"/>
        <s v="Virtual Events"/>
        <s v="Direct to Consumer"/>
        <s v="Q2 Graduation Gift Shoppers"/>
        <s v="Q3 Casual Dining Restaurant Goers"/>
        <s v="Q3 Fashion Shoppers"/>
        <s v="Q3 Gardening Shoppers"/>
        <s v="Q3 Home Entertainers"/>
        <s v="Tourist Destinations"/>
        <s v="Destination"/>
        <s v="Air Travel"/>
        <s v="Specialty Travel"/>
        <s v="Likely Business Travel"/>
        <s v="Travel Agencies and Services"/>
        <s v="Vacation Rentals"/>
        <s v="Cruises and Charters"/>
        <s v="Activity"/>
        <s v="Bus and Rail"/>
        <s v="Carpooling and Vehicle Sharing"/>
        <s v="Car Rentals"/>
        <s v="Business Travel"/>
        <s v="Hotels and Accommodations"/>
        <s v="Travel Guides and Travelogues"/>
        <s v="Car Rental and Taxi Services"/>
        <s v="Interest (Affinity)"/>
        <s v="In-Market"/>
        <s v="Gender and Age Combined"/>
        <s v="Gender"/>
      </sharedItems>
    </cacheField>
    <cacheField name="Sub category" numFmtId="0">
      <sharedItems containsBlank="1"/>
    </cacheField>
    <cacheField name="Description" numFmtId="0">
      <sharedItems containsBlank="1"/>
    </cacheField>
    <cacheField name="Creative Size" numFmtId="0">
      <sharedItems count="3">
        <s v="300x250"/>
        <s v="320x50"/>
        <s v="300x50"/>
      </sharedItems>
    </cacheField>
    <cacheField name="Creative Messaging" numFmtId="0">
      <sharedItems count="4">
        <s v="Subscribe Today - 10% Discount"/>
        <s v="10% Discount - Ends 6/1"/>
        <s v="Sign up Today - 10% Off"/>
        <s v="Sign up Now - 10% Off"/>
      </sharedItems>
    </cacheField>
    <cacheField name="City1" numFmtId="0">
      <sharedItems/>
    </cacheField>
    <cacheField name="State1" numFmtId="0">
      <sharedItems/>
    </cacheField>
    <cacheField name="City2" numFmtId="0">
      <sharedItems containsBlank="1"/>
    </cacheField>
    <cacheField name="State2" numFmtId="0">
      <sharedItems containsBlank="1"/>
    </cacheField>
    <cacheField name="App/URL" numFmtId="0">
      <sharedItems/>
    </cacheField>
    <cacheField name="Exchange" numFmtId="0">
      <sharedItems/>
    </cacheField>
    <cacheField name="Device Make" numFmtId="0">
      <sharedItems/>
    </cacheField>
    <cacheField name="Impressions" numFmtId="0">
      <sharedItems containsSemiMixedTypes="0" containsString="0" containsNumber="1" containsInteger="1" minValue="7229" maxValue="4154911"/>
    </cacheField>
    <cacheField name="Clicks" numFmtId="0">
      <sharedItems containsSemiMixedTypes="0" containsString="0" containsNumber="1" containsInteger="1" minValue="0" maxValue="8745"/>
    </cacheField>
    <cacheField name="Viewable Impressions" numFmtId="0">
      <sharedItems containsSemiMixedTypes="0" containsString="0" containsNumber="1" containsInteger="1" minValue="191" maxValue="2338732"/>
    </cacheField>
    <cacheField name="Measurable Impressions" numFmtId="0">
      <sharedItems containsSemiMixedTypes="0" containsString="0" containsNumber="1" containsInteger="1" minValue="2054" maxValue="3445626"/>
    </cacheField>
    <cacheField name="Total Conversions" numFmtId="0">
      <sharedItems containsSemiMixedTypes="0" containsString="0" containsNumber="1" containsInteger="1" minValue="1" maxValue="154"/>
    </cacheField>
    <cacheField name="Gross Cost" numFmtId="0">
      <sharedItems containsSemiMixedTypes="0" containsString="0" containsNumber="1" minValue="1247" maxValue="8187.1145409999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27">
  <r>
    <x v="0"/>
    <x v="0"/>
    <s v="Expos and Conventions"/>
    <m/>
    <x v="0"/>
    <x v="0"/>
    <s v="Los Angeles"/>
    <s v=" California"/>
    <m/>
    <m/>
    <s v="zillow.com"/>
    <s v="Google Ad Manager"/>
    <s v="Apple PC"/>
    <n v="20833"/>
    <n v="87"/>
    <n v="1777"/>
    <n v="17211"/>
    <n v="9"/>
    <n v="5542.5121810000001"/>
  </r>
  <r>
    <x v="0"/>
    <x v="1"/>
    <m/>
    <m/>
    <x v="1"/>
    <x v="0"/>
    <s v="Orlando-Daytona Beach"/>
    <s v=" Florida"/>
    <m/>
    <m/>
    <s v="nbcchicago.com"/>
    <s v="Google Ad Manager"/>
    <s v="Smartphone"/>
    <n v="7248"/>
    <n v="10"/>
    <n v="3988"/>
    <n v="6863"/>
    <n v="7"/>
    <n v="1247"/>
  </r>
  <r>
    <x v="0"/>
    <x v="2"/>
    <m/>
    <m/>
    <x v="2"/>
    <x v="0"/>
    <s v="New York City"/>
    <s v=" New York"/>
    <m/>
    <m/>
    <s v="msn.com"/>
    <s v="BidSwitch"/>
    <s v="Smartphone"/>
    <n v="13946"/>
    <n v="40"/>
    <n v="3142"/>
    <n v="8823"/>
    <n v="8"/>
    <n v="4920.2346299999999"/>
  </r>
  <r>
    <x v="0"/>
    <x v="0"/>
    <s v="Bars"/>
    <s v="Clubs and Nightlife"/>
    <x v="0"/>
    <x v="1"/>
    <s v="Chicago"/>
    <s v=" Illinois"/>
    <m/>
    <m/>
    <s v="activebeat.com"/>
    <s v="Magnite DV+"/>
    <s v="Windows PC"/>
    <n v="81905"/>
    <n v="220"/>
    <n v="61995"/>
    <n v="71110"/>
    <n v="24"/>
    <n v="7065.6692800000001"/>
  </r>
  <r>
    <x v="0"/>
    <x v="3"/>
    <m/>
    <m/>
    <x v="1"/>
    <x v="1"/>
    <s v="Orlando-Daytona Beach"/>
    <s v=" Florida"/>
    <m/>
    <m/>
    <s v="icy-veins.com"/>
    <s v="Google Ad Manager"/>
    <s v="Smartphone"/>
    <n v="9261"/>
    <n v="66"/>
    <n v="3852"/>
    <n v="8526"/>
    <n v="9"/>
    <n v="6511.0295759999999"/>
  </r>
  <r>
    <x v="0"/>
    <x v="4"/>
    <m/>
    <m/>
    <x v="0"/>
    <x v="2"/>
    <s v="Jacksonville"/>
    <s v=" Florida"/>
    <m/>
    <m/>
    <s v="chicagotribune.com"/>
    <s v="Google Ad Manager"/>
    <s v="Smartphone"/>
    <n v="7628"/>
    <n v="19"/>
    <n v="5048"/>
    <n v="7154"/>
    <n v="5"/>
    <n v="6684.0628040000001"/>
  </r>
  <r>
    <x v="0"/>
    <x v="5"/>
    <m/>
    <m/>
    <x v="0"/>
    <x v="1"/>
    <s v="Nashville"/>
    <s v=" Tennessee"/>
    <m/>
    <m/>
    <s v="funnyand.com"/>
    <s v="Google Ad Manager"/>
    <s v="Smartphone"/>
    <n v="9273"/>
    <n v="70"/>
    <n v="4648"/>
    <n v="8751"/>
    <n v="5"/>
    <n v="4986.51937"/>
  </r>
  <r>
    <x v="0"/>
    <x v="6"/>
    <m/>
    <m/>
    <x v="0"/>
    <x v="0"/>
    <s v="Knoxville"/>
    <s v=" Tennessee"/>
    <m/>
    <m/>
    <s v="fox59.com"/>
    <s v="Google Ad Manager"/>
    <s v="Smartphone"/>
    <n v="7583"/>
    <n v="45"/>
    <n v="4608"/>
    <n v="5881"/>
    <n v="1"/>
    <n v="5033.4825780000001"/>
  </r>
  <r>
    <x v="0"/>
    <x v="0"/>
    <s v="Live Sporting Events"/>
    <m/>
    <x v="1"/>
    <x v="0"/>
    <s v="Chicago"/>
    <s v=" Illinois"/>
    <m/>
    <m/>
    <s v="my.yahoo.com"/>
    <s v="Google Ad Manager"/>
    <s v="Smartphone"/>
    <n v="21028"/>
    <n v="10"/>
    <n v="5781"/>
    <n v="16134"/>
    <n v="11"/>
    <n v="5101.3216549999997"/>
  </r>
  <r>
    <x v="0"/>
    <x v="0"/>
    <s v="Food and Beverage Events"/>
    <m/>
    <x v="0"/>
    <x v="2"/>
    <s v="Los Angeles"/>
    <s v=" California"/>
    <m/>
    <m/>
    <s v="mail.aol.com"/>
    <s v="Google Ad Manager"/>
    <s v="Smartphone"/>
    <n v="224359"/>
    <n v="480"/>
    <n v="163149"/>
    <n v="200859"/>
    <n v="5"/>
    <n v="4196.9367769999999"/>
  </r>
  <r>
    <x v="0"/>
    <x v="0"/>
    <s v="Film Festivals"/>
    <m/>
    <x v="1"/>
    <x v="3"/>
    <s v="Los Angeles"/>
    <s v=" California"/>
    <m/>
    <m/>
    <s v="ebay.com"/>
    <s v="Google Ad Manager"/>
    <s v="Smartphone"/>
    <n v="405957"/>
    <n v="874"/>
    <n v="204189"/>
    <n v="385654"/>
    <n v="16"/>
    <n v="5864.1264929999998"/>
  </r>
  <r>
    <x v="0"/>
    <x v="0"/>
    <s v="Concerts and Music Festivals"/>
    <m/>
    <x v="2"/>
    <x v="2"/>
    <s v="Chicago"/>
    <s v=" Illinois"/>
    <m/>
    <m/>
    <s v="usssa.com"/>
    <s v="Google Ad Manager"/>
    <s v="Smartphone"/>
    <n v="446774"/>
    <n v="951"/>
    <n v="196581"/>
    <n v="379758"/>
    <n v="33"/>
    <n v="6956.6273659999997"/>
  </r>
  <r>
    <x v="0"/>
    <x v="0"/>
    <s v="Event Ticket Sales"/>
    <m/>
    <x v="2"/>
    <x v="2"/>
    <s v="Nashville"/>
    <s v=" Tennessee"/>
    <m/>
    <m/>
    <s v="wikihow.com"/>
    <s v="Magnite DV+"/>
    <s v="Smartphone"/>
    <n v="23488"/>
    <n v="75"/>
    <n v="4620"/>
    <n v="22254"/>
    <n v="9"/>
    <n v="6667.727715"/>
  </r>
  <r>
    <x v="1"/>
    <x v="7"/>
    <s v="Arts and Entertainment"/>
    <m/>
    <x v="0"/>
    <x v="2"/>
    <s v="Chicago"/>
    <s v=" Illinois"/>
    <m/>
    <m/>
    <s v="msn.com"/>
    <s v="Google Ad Manager"/>
    <s v="Apple PC"/>
    <n v="29834"/>
    <n v="99"/>
    <n v="14599"/>
    <n v="24656"/>
    <n v="14"/>
    <n v="6032.8371139999999"/>
  </r>
  <r>
    <x v="1"/>
    <x v="8"/>
    <s v="Owned or Leased"/>
    <s v="Company Car"/>
    <x v="1"/>
    <x v="1"/>
    <s v="Hattiesburg-Laurel"/>
    <s v=" Mississippi"/>
    <m/>
    <m/>
    <s v="onechicagocenter.com"/>
    <s v="Magnite DV+"/>
    <s v="Smartphone"/>
    <n v="19829"/>
    <n v="42"/>
    <n v="15071"/>
    <n v="19095"/>
    <n v="2"/>
    <n v="1952.4637729999999"/>
  </r>
  <r>
    <x v="1"/>
    <x v="8"/>
    <s v="New or Used"/>
    <s v="Pre-owned"/>
    <x v="1"/>
    <x v="0"/>
    <s v="Miami-Ft. Lauderdale"/>
    <s v=" Florida"/>
    <m/>
    <m/>
    <s v="billboard.com"/>
    <s v="Google Ad Manager"/>
    <s v="Smartphone"/>
    <n v="11325"/>
    <n v="88"/>
    <n v="6186"/>
    <n v="10612"/>
    <n v="2"/>
    <n v="1573.2540899999999"/>
  </r>
  <r>
    <x v="1"/>
    <x v="8"/>
    <s v="New or Used"/>
    <s v="New"/>
    <x v="0"/>
    <x v="2"/>
    <s v="Los Angeles"/>
    <s v=" California"/>
    <m/>
    <m/>
    <s v="dinneratthezoo.com"/>
    <s v="Google Ad Manager"/>
    <s v="Smartphone"/>
    <n v="12391"/>
    <n v="40"/>
    <n v="5756"/>
    <n v="11636"/>
    <n v="4"/>
    <n v="3069.1234829999999"/>
  </r>
  <r>
    <x v="1"/>
    <x v="9"/>
    <s v="Auto Make Defectors"/>
    <m/>
    <x v="1"/>
    <x v="0"/>
    <s v="Los Angeles"/>
    <s v=" California"/>
    <m/>
    <m/>
    <s v="si.com"/>
    <s v="TripleLift"/>
    <s v="Smartphone"/>
    <n v="11561"/>
    <n v="87"/>
    <n v="4063"/>
    <n v="9941"/>
    <n v="5"/>
    <n v="1911.931953"/>
  </r>
  <r>
    <x v="1"/>
    <x v="10"/>
    <s v="Yes"/>
    <m/>
    <x v="1"/>
    <x v="0"/>
    <s v="Grand Rapids-Kalamazoo"/>
    <s v=" Michigan"/>
    <m/>
    <m/>
    <s v="whatismyipaddress.com"/>
    <s v="Index Exchange"/>
    <s v="Smartphone"/>
    <n v="31359"/>
    <n v="66"/>
    <n v="18348"/>
    <n v="25950"/>
    <n v="24"/>
    <n v="1623.614838"/>
  </r>
  <r>
    <x v="1"/>
    <x v="11"/>
    <s v="Car Make"/>
    <s v="Hyundai"/>
    <x v="1"/>
    <x v="1"/>
    <s v="New York City"/>
    <s v=" New York"/>
    <m/>
    <m/>
    <s v="daily-choices.com"/>
    <s v="OpenX"/>
    <s v="Smartphone"/>
    <n v="25532"/>
    <n v="140"/>
    <n v="15219"/>
    <n v="21497"/>
    <n v="9"/>
    <n v="6047.1741089999996"/>
  </r>
  <r>
    <x v="1"/>
    <x v="11"/>
    <s v="Car Make"/>
    <s v="Opel"/>
    <x v="0"/>
    <x v="0"/>
    <s v="New York City"/>
    <s v=" New York"/>
    <m/>
    <m/>
    <s v="finance.yahoo.com"/>
    <s v="Google Ad Manager"/>
    <s v="Smartphone"/>
    <n v="286998"/>
    <n v="815"/>
    <n v="61586"/>
    <n v="247500"/>
    <n v="13"/>
    <n v="6395.5506240000004"/>
  </r>
  <r>
    <x v="1"/>
    <x v="11"/>
    <s v="Category"/>
    <s v="Motorcycle"/>
    <x v="1"/>
    <x v="1"/>
    <s v="Los Angeles"/>
    <s v=" California"/>
    <m/>
    <m/>
    <s v="fandom.com"/>
    <s v="Xandr - Monetize SSP (AppNexus)"/>
    <s v="Smartphone"/>
    <n v="15252"/>
    <n v="55"/>
    <n v="2152"/>
    <n v="3482"/>
    <n v="7"/>
    <n v="6211.2001469999996"/>
  </r>
  <r>
    <x v="1"/>
    <x v="11"/>
    <s v="Car Make"/>
    <s v="Audi Q"/>
    <x v="0"/>
    <x v="3"/>
    <s v="Grand Rapids-Kalamazoo"/>
    <s v=" Michigan"/>
    <m/>
    <m/>
    <s v="accuweather.com"/>
    <s v="Xandr - Monetize SSP (AppNexus)"/>
    <s v="Smartphone"/>
    <n v="10501"/>
    <n v="90"/>
    <n v="4126"/>
    <n v="7654"/>
    <n v="8"/>
    <n v="6244.5179209999997"/>
  </r>
  <r>
    <x v="1"/>
    <x v="11"/>
    <s v="Car Make"/>
    <s v="Subaru"/>
    <x v="0"/>
    <x v="2"/>
    <s v="Los Angeles"/>
    <s v=" California"/>
    <m/>
    <m/>
    <s v="signupgenius.com"/>
    <s v="Magnite DV+"/>
    <s v="Apple PC"/>
    <n v="7965"/>
    <n v="50"/>
    <n v="5230"/>
    <n v="6923"/>
    <n v="10"/>
    <n v="6298.5139289999997"/>
  </r>
  <r>
    <x v="1"/>
    <x v="11"/>
    <s v="Car Make"/>
    <s v="Mercedes"/>
    <x v="1"/>
    <x v="0"/>
    <s v="Lansing"/>
    <s v=" Michigan"/>
    <m/>
    <m/>
    <s v="realtor.com"/>
    <s v="Index Exchange"/>
    <s v="Smartphone"/>
    <n v="42459"/>
    <n v="121"/>
    <n v="15187"/>
    <n v="37408"/>
    <n v="11"/>
    <n v="6321.4916890000004"/>
  </r>
  <r>
    <x v="1"/>
    <x v="11"/>
    <s v="Type"/>
    <s v="Luxury"/>
    <x v="1"/>
    <x v="3"/>
    <s v="Los Angeles"/>
    <s v=" California"/>
    <m/>
    <m/>
    <s v="al.com"/>
    <s v="PubMatic"/>
    <s v="Smartphone"/>
    <n v="14489"/>
    <n v="37"/>
    <n v="12453"/>
    <n v="13873"/>
    <n v="10"/>
    <n v="6195.8407340000003"/>
  </r>
  <r>
    <x v="1"/>
    <x v="11"/>
    <s v="Car Make"/>
    <s v="Jeep"/>
    <x v="0"/>
    <x v="2"/>
    <s v="New York City"/>
    <s v=" New York"/>
    <m/>
    <m/>
    <s v="weather.com"/>
    <s v="Smart RTB+ (Smartadserver)"/>
    <s v="Windows PC"/>
    <n v="96779"/>
    <n v="299"/>
    <n v="9831"/>
    <n v="63640"/>
    <n v="12"/>
    <n v="6317.5107539999999"/>
  </r>
  <r>
    <x v="1"/>
    <x v="11"/>
    <s v="Car Make"/>
    <s v="Dodge"/>
    <x v="1"/>
    <x v="0"/>
    <s v="Champaign &amp; Springfield-Decatur"/>
    <s v="Illinois"/>
    <m/>
    <m/>
    <s v="historycollection.com"/>
    <s v="Google Ad Manager"/>
    <s v="Smartphone"/>
    <n v="138904"/>
    <n v="399"/>
    <n v="98952"/>
    <n v="120688"/>
    <n v="25"/>
    <n v="5038.6447239999998"/>
  </r>
  <r>
    <x v="1"/>
    <x v="11"/>
    <s v="Car Make"/>
    <s v="BMW"/>
    <x v="0"/>
    <x v="2"/>
    <s v="West Palm Beach-Ft. Pierce"/>
    <s v=" Florida"/>
    <m/>
    <m/>
    <s v="firstcoastnews.com"/>
    <s v="BidSwitch"/>
    <s v="Smartphone"/>
    <n v="12092"/>
    <n v="30"/>
    <n v="2042"/>
    <n v="10315"/>
    <n v="8"/>
    <n v="6245.1347930000002"/>
  </r>
  <r>
    <x v="1"/>
    <x v="11"/>
    <s v="Car Make"/>
    <s v="Toyota"/>
    <x v="1"/>
    <x v="3"/>
    <s v="Los Angeles"/>
    <s v=" California"/>
    <m/>
    <m/>
    <s v="cnn.com"/>
    <s v="PubMatic"/>
    <s v="Smartphone"/>
    <n v="9060"/>
    <n v="30"/>
    <n v="5190"/>
    <n v="8621"/>
    <n v="14"/>
    <n v="4934.8515630000002"/>
  </r>
  <r>
    <x v="1"/>
    <x v="11"/>
    <s v="Car Make"/>
    <s v="Ford"/>
    <x v="0"/>
    <x v="1"/>
    <s v="Nashville"/>
    <s v=" Tennessee"/>
    <m/>
    <m/>
    <s v="foxnews.com"/>
    <s v="BidSwitch"/>
    <s v="Apple PC"/>
    <n v="29323"/>
    <n v="88"/>
    <n v="13822"/>
    <n v="26934"/>
    <n v="9"/>
    <n v="6096.045521"/>
  </r>
  <r>
    <x v="1"/>
    <x v="11"/>
    <s v="Car Make"/>
    <s v="Peugeot"/>
    <x v="0"/>
    <x v="2"/>
    <s v="New York City"/>
    <s v=" New York"/>
    <m/>
    <m/>
    <s v="usatoday.com"/>
    <s v="Google Ad Manager"/>
    <s v="Smartphone"/>
    <n v="186404"/>
    <n v="940"/>
    <n v="30885"/>
    <n v="151358"/>
    <n v="3"/>
    <n v="4702.027505"/>
  </r>
  <r>
    <x v="1"/>
    <x v="11"/>
    <s v="Type"/>
    <s v="Truck"/>
    <x v="0"/>
    <x v="3"/>
    <s v="Tampa-St Petersburg (Sarasota)"/>
    <s v=" Florida"/>
    <m/>
    <m/>
    <s v="msn.com"/>
    <s v="BidSwitch"/>
    <s v="Smartphone"/>
    <n v="12974"/>
    <n v="84"/>
    <n v="7521"/>
    <n v="10959"/>
    <n v="7"/>
    <n v="6301.8688469999997"/>
  </r>
  <r>
    <x v="1"/>
    <x v="11"/>
    <s v="Car Make"/>
    <s v="Volkswagen"/>
    <x v="0"/>
    <x v="2"/>
    <s v="Chicago"/>
    <s v=" Illinois"/>
    <m/>
    <m/>
    <s v="androidauthority.com"/>
    <s v="PubMatic"/>
    <s v="Smartphone"/>
    <n v="14451"/>
    <n v="50"/>
    <n v="5606"/>
    <n v="13461"/>
    <n v="8"/>
    <n v="6397.6025179999997"/>
  </r>
  <r>
    <x v="1"/>
    <x v="11"/>
    <s v="New"/>
    <m/>
    <x v="1"/>
    <x v="3"/>
    <s v="Los Angeles"/>
    <s v=" California"/>
    <m/>
    <m/>
    <s v="whatismyipaddress.com"/>
    <s v="Google Ad Manager"/>
    <s v="Smartphone"/>
    <n v="42830"/>
    <n v="160"/>
    <n v="24499"/>
    <n v="34496"/>
    <n v="5"/>
    <n v="6261.5757240000003"/>
  </r>
  <r>
    <x v="1"/>
    <x v="11"/>
    <s v="Category"/>
    <s v="Van"/>
    <x v="1"/>
    <x v="2"/>
    <s v="Chicago"/>
    <s v=" Illinois"/>
    <m/>
    <m/>
    <s v="tasteofhome.com"/>
    <s v="Google Ad Manager"/>
    <s v="Smartphone"/>
    <n v="9153"/>
    <n v="23"/>
    <n v="4345"/>
    <n v="8376"/>
    <n v="14"/>
    <n v="5007.5258050000002"/>
  </r>
  <r>
    <x v="1"/>
    <x v="12"/>
    <s v="Intend"/>
    <m/>
    <x v="1"/>
    <x v="0"/>
    <s v="San Francisco"/>
    <s v=" California"/>
    <m/>
    <m/>
    <s v="therighthairstyles.com"/>
    <s v="Index Exchange"/>
    <s v="Smartphone"/>
    <n v="9157"/>
    <n v="60"/>
    <n v="4520"/>
    <n v="8037"/>
    <n v="2"/>
    <n v="1449.1778039999999"/>
  </r>
  <r>
    <x v="1"/>
    <x v="13"/>
    <s v="Consumer Electronics"/>
    <s v="Computers, Laptops"/>
    <x v="1"/>
    <x v="2"/>
    <s v="Knoxville"/>
    <s v=" Tennessee"/>
    <m/>
    <m/>
    <s v="cargurus.com"/>
    <s v="Yahoo Exchange"/>
    <s v="Smartphone"/>
    <n v="16644"/>
    <n v="10"/>
    <n v="5055"/>
    <n v="15831"/>
    <n v="5"/>
    <n v="6386.4642320000003"/>
  </r>
  <r>
    <x v="1"/>
    <x v="7"/>
    <s v="Pets"/>
    <m/>
    <x v="0"/>
    <x v="3"/>
    <s v="Memphis"/>
    <s v=" Tennessee"/>
    <m/>
    <m/>
    <s v="yahoo.com"/>
    <s v="Magnite DV+"/>
    <s v="Smartphone"/>
    <n v="818919"/>
    <n v="1987"/>
    <n v="395852"/>
    <n v="699064"/>
    <n v="22"/>
    <n v="6012.1024649999999"/>
  </r>
  <r>
    <x v="1"/>
    <x v="7"/>
    <s v="Photography"/>
    <m/>
    <x v="2"/>
    <x v="1"/>
    <s v="Chicago"/>
    <s v=" Illinois"/>
    <m/>
    <m/>
    <s v="mail.aol.com"/>
    <s v="Google Ad Manager"/>
    <s v="Smartphone"/>
    <n v="100058"/>
    <n v="435"/>
    <n v="73422"/>
    <n v="91976"/>
    <n v="8"/>
    <n v="5831.2257929999996"/>
  </r>
  <r>
    <x v="1"/>
    <x v="13"/>
    <s v="Home Improvement"/>
    <m/>
    <x v="1"/>
    <x v="0"/>
    <s v="Orlando-Daytona Beach"/>
    <s v=" Florida"/>
    <m/>
    <m/>
    <s v="wordunscrambler.me"/>
    <s v="Google Ad Manager"/>
    <s v="Smartphone"/>
    <n v="9357"/>
    <n v="60"/>
    <n v="1754"/>
    <n v="8343"/>
    <n v="10"/>
    <n v="6559.4777560000002"/>
  </r>
  <r>
    <x v="1"/>
    <x v="13"/>
    <s v="Consumer Electronics"/>
    <s v="Televisions/TVs"/>
    <x v="1"/>
    <x v="0"/>
    <s v="Chicago"/>
    <s v=" Illinois"/>
    <m/>
    <m/>
    <s v="msn.com"/>
    <s v="PubMatic"/>
    <s v="Smartphone"/>
    <n v="192201"/>
    <n v="489"/>
    <n v="113707"/>
    <n v="157940"/>
    <n v="3"/>
    <n v="6176.0041540000002"/>
  </r>
  <r>
    <x v="1"/>
    <x v="13"/>
    <s v="Wireless Providers"/>
    <m/>
    <x v="0"/>
    <x v="1"/>
    <s v="Los Angeles"/>
    <s v=" California"/>
    <m/>
    <m/>
    <s v="milb.com"/>
    <s v="Google Ad Manager"/>
    <s v="Apple PC"/>
    <n v="39725"/>
    <n v="144"/>
    <n v="5402"/>
    <n v="36080"/>
    <n v="12"/>
    <n v="6431.5551519999999"/>
  </r>
  <r>
    <x v="1"/>
    <x v="13"/>
    <s v="Consumer Electronics"/>
    <s v="Tablets"/>
    <x v="1"/>
    <x v="0"/>
    <s v="Nashville"/>
    <s v=" Tennessee"/>
    <m/>
    <m/>
    <s v="finviz.com"/>
    <s v="Google Ad Manager"/>
    <s v="Smartphone"/>
    <n v="9533"/>
    <n v="66"/>
    <n v="6548"/>
    <n v="9042"/>
    <n v="16"/>
    <n v="5574.5435049999996"/>
  </r>
  <r>
    <x v="1"/>
    <x v="14"/>
    <s v="I shared equally in the decision"/>
    <m/>
    <x v="1"/>
    <x v="2"/>
    <s v="Chicago"/>
    <s v=" Illinois"/>
    <m/>
    <m/>
    <s v="ebay.com"/>
    <s v="Google Ad Manager"/>
    <s v="Smartphone"/>
    <n v="102884"/>
    <n v="299"/>
    <n v="42841"/>
    <n v="96539"/>
    <n v="6"/>
    <n v="2015.4483310000001"/>
  </r>
  <r>
    <x v="1"/>
    <x v="14"/>
    <s v="I was the sole decision-maker"/>
    <m/>
    <x v="0"/>
    <x v="0"/>
    <s v="New York City"/>
    <s v=" New York"/>
    <m/>
    <m/>
    <s v="yahoo.com"/>
    <s v="Google Ad Manager"/>
    <s v="Smartphone"/>
    <n v="1116343"/>
    <n v="3104"/>
    <n v="550519"/>
    <n v="977978"/>
    <n v="9"/>
    <n v="2494.217596"/>
  </r>
  <r>
    <x v="1"/>
    <x v="13"/>
    <s v="CPG» Grocery"/>
    <m/>
    <x v="0"/>
    <x v="0"/>
    <s v="New York City"/>
    <s v=" New York"/>
    <m/>
    <m/>
    <s v="dailybee.com"/>
    <s v="Google Ad Manager"/>
    <s v="Smartphone"/>
    <n v="8111"/>
    <n v="0"/>
    <n v="4346"/>
    <n v="6163"/>
    <n v="1"/>
    <n v="5000.7612060000001"/>
  </r>
  <r>
    <x v="1"/>
    <x v="13"/>
    <s v="Auto Parts Stores"/>
    <m/>
    <x v="1"/>
    <x v="0"/>
    <s v="West Palm Beach-Ft. Pierce"/>
    <s v=" Florida"/>
    <m/>
    <m/>
    <s v="insider.com"/>
    <s v="Google Ad Manager"/>
    <s v="Smartphone"/>
    <n v="102905"/>
    <n v="421"/>
    <n v="45324"/>
    <n v="99065"/>
    <n v="1"/>
    <n v="6407.5818280000003"/>
  </r>
  <r>
    <x v="1"/>
    <x v="13"/>
    <s v="Sports and Outdoors"/>
    <m/>
    <x v="1"/>
    <x v="0"/>
    <s v="New York City"/>
    <s v=" New York"/>
    <m/>
    <m/>
    <s v="findagrave.com"/>
    <s v="Magnite DV+"/>
    <s v="Smartphone"/>
    <n v="26304"/>
    <n v="75"/>
    <n v="12354"/>
    <n v="17500"/>
    <n v="11"/>
    <n v="4727.8139160000001"/>
  </r>
  <r>
    <x v="1"/>
    <x v="13"/>
    <s v="Pet Food"/>
    <s v="Dog"/>
    <x v="1"/>
    <x v="0"/>
    <s v="Chicago"/>
    <s v=" Illinois"/>
    <m/>
    <m/>
    <s v="yourdailysportfix.com"/>
    <s v="Google Ad Manager"/>
    <s v="Smartphone"/>
    <n v="18516"/>
    <n v="68"/>
    <n v="8191"/>
    <n v="13641"/>
    <n v="13"/>
    <n v="5087.5617149999998"/>
  </r>
  <r>
    <x v="1"/>
    <x v="7"/>
    <s v="Restaurants"/>
    <m/>
    <x v="0"/>
    <x v="3"/>
    <s v="San Francisco"/>
    <s v=" California"/>
    <m/>
    <m/>
    <s v="weather.com"/>
    <s v="Google Ad Manager"/>
    <s v="Apple PC"/>
    <n v="29856"/>
    <n v="111"/>
    <n v="7664"/>
    <n v="21698"/>
    <n v="9"/>
    <n v="4851.3944460000002"/>
  </r>
  <r>
    <x v="1"/>
    <x v="15"/>
    <s v="Insurance"/>
    <s v="Auto"/>
    <x v="1"/>
    <x v="2"/>
    <s v="Tallahassee"/>
    <s v=" Florida"/>
    <s v="Thomasville"/>
    <s v=" Georgia"/>
    <s v="weather.com"/>
    <s v="PubMatic"/>
    <s v="Smartphone"/>
    <n v="42884"/>
    <n v="104"/>
    <n v="4345"/>
    <n v="25153"/>
    <n v="9"/>
    <n v="6322.1526549999999"/>
  </r>
  <r>
    <x v="1"/>
    <x v="15"/>
    <s v="Banking"/>
    <m/>
    <x v="2"/>
    <x v="0"/>
    <s v="San Francisco"/>
    <s v=" California"/>
    <m/>
    <m/>
    <s v="mydailymagazine.com"/>
    <s v="Google Ad Manager"/>
    <s v="Smartphone"/>
    <n v="9238"/>
    <n v="84"/>
    <n v="4626"/>
    <n v="8264"/>
    <n v="15"/>
    <n v="6683.2254869999997"/>
  </r>
  <r>
    <x v="1"/>
    <x v="15"/>
    <s v="Loans and Credit"/>
    <m/>
    <x v="1"/>
    <x v="3"/>
    <s v="Savannah"/>
    <s v=" Georgia"/>
    <m/>
    <m/>
    <s v="ebay.com"/>
    <s v="Yieldmo"/>
    <s v="Smartphone"/>
    <n v="83957"/>
    <n v="185"/>
    <n v="1420"/>
    <n v="69246"/>
    <n v="19"/>
    <n v="6651.51451"/>
  </r>
  <r>
    <x v="1"/>
    <x v="13"/>
    <s v="Home and Garden"/>
    <m/>
    <x v="1"/>
    <x v="2"/>
    <s v="Ft. Myers-Naples"/>
    <s v=" Florida"/>
    <m/>
    <m/>
    <s v="msn.com"/>
    <s v="Google Ad Manager"/>
    <s v="Smartphone"/>
    <n v="26270"/>
    <n v="63"/>
    <n v="12813"/>
    <n v="21893"/>
    <n v="12"/>
    <n v="6417.2645640000001"/>
  </r>
  <r>
    <x v="1"/>
    <x v="13"/>
    <s v="Drug Stores"/>
    <s v="Walgreens"/>
    <x v="2"/>
    <x v="0"/>
    <s v="New York City"/>
    <s v=" New York"/>
    <m/>
    <m/>
    <s v="usatoday.com"/>
    <s v="Google Ad Manager"/>
    <s v="Smartphone"/>
    <n v="39373"/>
    <n v="99"/>
    <n v="23152"/>
    <n v="35857"/>
    <n v="17"/>
    <n v="6342.8857859999998"/>
  </r>
  <r>
    <x v="1"/>
    <x v="13"/>
    <s v="Consumer Electronics"/>
    <s v="Video Game Consoles"/>
    <x v="0"/>
    <x v="1"/>
    <s v="Chicago"/>
    <s v=" Illinois"/>
    <m/>
    <m/>
    <s v="factinate.com"/>
    <s v="Magnite DV+"/>
    <s v="Apple PC"/>
    <n v="39314"/>
    <n v="100"/>
    <n v="27671"/>
    <n v="35488"/>
    <n v="8"/>
    <n v="5530.8004579999997"/>
  </r>
  <r>
    <x v="1"/>
    <x v="13"/>
    <s v="Consumer Electronics"/>
    <s v="Cameras and Photography Equip"/>
    <x v="0"/>
    <x v="2"/>
    <s v="Chicago"/>
    <s v=" Illinois"/>
    <m/>
    <m/>
    <s v="gameofglam.com"/>
    <s v="BidSwitch"/>
    <s v="Smartphone"/>
    <n v="11681"/>
    <n v="88"/>
    <n v="4713"/>
    <n v="8230"/>
    <n v="4"/>
    <n v="5216.6488790000003"/>
  </r>
  <r>
    <x v="1"/>
    <x v="13"/>
    <s v="Drug Stores"/>
    <m/>
    <x v="1"/>
    <x v="3"/>
    <s v="Jacksonville"/>
    <s v=" Florida"/>
    <m/>
    <m/>
    <s v="investopedia.com"/>
    <s v="Google Ad Manager"/>
    <s v="Smartphone"/>
    <n v="7687"/>
    <n v="10"/>
    <n v="5311"/>
    <n v="7266"/>
    <n v="6"/>
    <n v="6486.8539090000004"/>
  </r>
  <r>
    <x v="1"/>
    <x v="13"/>
    <s v="CPG» Cosmetics"/>
    <m/>
    <x v="1"/>
    <x v="0"/>
    <s v="Chicago"/>
    <s v=" Illinois"/>
    <m/>
    <m/>
    <s v="weather.com"/>
    <s v="Google Ad Manager"/>
    <s v="Smartphone"/>
    <n v="43327"/>
    <n v="140"/>
    <n v="4689"/>
    <n v="31363"/>
    <n v="14"/>
    <n v="4554.8768840000002"/>
  </r>
  <r>
    <x v="1"/>
    <x v="13"/>
    <s v="Entertainment"/>
    <m/>
    <x v="2"/>
    <x v="2"/>
    <s v="New York City"/>
    <s v=" New York"/>
    <m/>
    <m/>
    <s v="mapquest.com"/>
    <s v="Index Exchange"/>
    <s v="Smartphone"/>
    <n v="11734"/>
    <n v="78"/>
    <n v="8741"/>
    <n v="10606"/>
    <n v="5"/>
    <n v="6439.2834979999998"/>
  </r>
  <r>
    <x v="1"/>
    <x v="11"/>
    <s v="Car Make"/>
    <s v="Mazda"/>
    <x v="0"/>
    <x v="1"/>
    <s v="Miami-Ft. Lauderdale"/>
    <s v=" Florida"/>
    <m/>
    <m/>
    <s v="iflscience.com"/>
    <s v="Google Ad Manager"/>
    <s v="Smartphone"/>
    <n v="11672"/>
    <n v="84"/>
    <n v="7619"/>
    <n v="9999"/>
    <n v="7"/>
    <n v="5284.2770399999999"/>
  </r>
  <r>
    <x v="1"/>
    <x v="13"/>
    <s v="Office Supplies"/>
    <m/>
    <x v="1"/>
    <x v="0"/>
    <s v="New York City"/>
    <s v=" New York"/>
    <m/>
    <m/>
    <s v="kbb.com"/>
    <s v="Magnite DV+"/>
    <s v="Smartphone"/>
    <n v="96728"/>
    <n v="341"/>
    <n v="69700"/>
    <n v="91910"/>
    <n v="15"/>
    <n v="6587.2433309999997"/>
  </r>
  <r>
    <x v="1"/>
    <x v="13"/>
    <s v="CPG» Home Care"/>
    <m/>
    <x v="1"/>
    <x v="0"/>
    <s v="Tampa-St Petersburg (Sarasota)"/>
    <s v=" Florida"/>
    <m/>
    <m/>
    <s v="weather.com"/>
    <s v="Google Ad Manager"/>
    <s v="Smartphone"/>
    <n v="210700"/>
    <n v="704"/>
    <n v="94625"/>
    <n v="180681"/>
    <n v="3"/>
    <n v="6341.8793009999999"/>
  </r>
  <r>
    <x v="1"/>
    <x v="13"/>
    <s v="Drug Stores"/>
    <s v="CVS"/>
    <x v="0"/>
    <x v="3"/>
    <s v="San Francisco"/>
    <s v=" California"/>
    <m/>
    <m/>
    <s v="drugs.com"/>
    <s v="BidSwitch"/>
    <s v="Smartphone"/>
    <n v="11697"/>
    <n v="64"/>
    <n v="6761"/>
    <n v="10783"/>
    <n v="3"/>
    <n v="5218.0702309999997"/>
  </r>
  <r>
    <x v="1"/>
    <x v="11"/>
    <s v="Car Make"/>
    <s v="Nissan"/>
    <x v="1"/>
    <x v="0"/>
    <s v="Miami-Ft. Lauderdale"/>
    <s v=" Florida"/>
    <m/>
    <m/>
    <s v="britannica.com"/>
    <s v="Google Ad Manager"/>
    <s v="Smartphone"/>
    <n v="8068"/>
    <n v="10"/>
    <n v="5545"/>
    <n v="7554"/>
    <n v="1"/>
    <n v="5995.0410019999999"/>
  </r>
  <r>
    <x v="1"/>
    <x v="13"/>
    <s v="Fashion"/>
    <m/>
    <x v="0"/>
    <x v="1"/>
    <s v="Los Angeles"/>
    <s v=" California"/>
    <m/>
    <m/>
    <s v="outlook.live.com"/>
    <s v="Google Ad Manager"/>
    <s v="Windows PC"/>
    <n v="102958"/>
    <n v="320"/>
    <n v="86884"/>
    <n v="94687"/>
    <n v="12"/>
    <n v="6624.2211749999997"/>
  </r>
  <r>
    <x v="1"/>
    <x v="11"/>
    <s v="Type"/>
    <s v="SUV"/>
    <x v="0"/>
    <x v="2"/>
    <s v="New York City"/>
    <s v=" New York"/>
    <m/>
    <m/>
    <s v="homeaddict.io"/>
    <s v="BidSwitch"/>
    <s v="Windows PC"/>
    <n v="99205"/>
    <n v="230"/>
    <n v="49240"/>
    <n v="72687"/>
    <n v="21"/>
    <n v="6185.0024860000003"/>
  </r>
  <r>
    <x v="1"/>
    <x v="11"/>
    <s v="Category"/>
    <s v="Sport Cars"/>
    <x v="1"/>
    <x v="2"/>
    <s v="Augusta"/>
    <s v=" Georgia"/>
    <m/>
    <m/>
    <s v="people.com"/>
    <s v="Google Ad Manager"/>
    <s v="Smartphone"/>
    <n v="81567"/>
    <n v="440"/>
    <n v="53264"/>
    <n v="68123"/>
    <n v="4"/>
    <n v="6392.471955"/>
  </r>
  <r>
    <x v="1"/>
    <x v="16"/>
    <s v="Accommodation"/>
    <s v="Hotels"/>
    <x v="2"/>
    <x v="1"/>
    <s v="Nashville"/>
    <s v=" Tennessee"/>
    <m/>
    <m/>
    <s v="dailymail.co.uk/news"/>
    <s v="Google Ad Manager"/>
    <s v="Smartphone"/>
    <n v="14137"/>
    <n v="44"/>
    <n v="9300"/>
    <n v="13110"/>
    <n v="8"/>
    <n v="6345.4603379999999"/>
  </r>
  <r>
    <x v="1"/>
    <x v="16"/>
    <s v="Budget Travel"/>
    <m/>
    <x v="2"/>
    <x v="0"/>
    <s v="Los Angeles"/>
    <s v=" California"/>
    <m/>
    <m/>
    <s v="yachtworld.com"/>
    <s v="PubMatic"/>
    <s v="Smartphone"/>
    <n v="10565"/>
    <n v="66"/>
    <n v="6248"/>
    <n v="10141"/>
    <n v="9"/>
    <n v="6236.1130940000003"/>
  </r>
  <r>
    <x v="1"/>
    <x v="16"/>
    <s v="Luxury Travel"/>
    <m/>
    <x v="1"/>
    <x v="2"/>
    <s v="Huntsville-Decatur (Florence)"/>
    <s v=" Alabama"/>
    <m/>
    <m/>
    <s v="seedsgames.com"/>
    <s v="Google Ad Manager"/>
    <s v="Smartphone"/>
    <n v="14509"/>
    <n v="90"/>
    <n v="866"/>
    <n v="13268"/>
    <n v="8"/>
    <n v="5521.1891299999997"/>
  </r>
  <r>
    <x v="1"/>
    <x v="16"/>
    <s v="Graduation Trip"/>
    <m/>
    <x v="0"/>
    <x v="0"/>
    <s v="Chicago"/>
    <s v=" Illinois"/>
    <m/>
    <m/>
    <s v="sallysbakingaddiction.com"/>
    <s v="Google Ad Manager"/>
    <s v="Windows PC"/>
    <n v="26415"/>
    <n v="60"/>
    <n v="13791"/>
    <n v="25315"/>
    <n v="11"/>
    <n v="6450.9186369999998"/>
  </r>
  <r>
    <x v="1"/>
    <x v="16"/>
    <s v="Future Travel"/>
    <m/>
    <x v="0"/>
    <x v="3"/>
    <s v="Chicago"/>
    <s v=" Illinois"/>
    <m/>
    <m/>
    <s v="weather.com"/>
    <s v="Google Ad Manager"/>
    <s v="Smartphone"/>
    <n v="100991"/>
    <n v="286"/>
    <n v="56138"/>
    <n v="88836"/>
    <n v="9"/>
    <n v="4652.3676290000003"/>
  </r>
  <r>
    <x v="1"/>
    <x v="16"/>
    <s v="Flights"/>
    <m/>
    <x v="2"/>
    <x v="3"/>
    <s v="Miami-Ft. Lauderdale"/>
    <s v=" Florida"/>
    <m/>
    <m/>
    <s v="nypost.com"/>
    <s v="Xandr - Monetize SSP (AppNexus)"/>
    <s v="Smartphone"/>
    <n v="140359"/>
    <n v="352"/>
    <n v="76130"/>
    <n v="133578"/>
    <n v="26"/>
    <n v="6094.6667989999996"/>
  </r>
  <r>
    <x v="1"/>
    <x v="16"/>
    <s v="Business Travel"/>
    <m/>
    <x v="0"/>
    <x v="3"/>
    <s v="New York City"/>
    <s v=" New York"/>
    <m/>
    <m/>
    <s v="gamerant.com"/>
    <s v="Google Ad Manager"/>
    <s v="Smartphone"/>
    <n v="17770"/>
    <n v="70"/>
    <n v="12771"/>
    <n v="16749"/>
    <n v="9"/>
    <n v="5195.2346770000004"/>
  </r>
  <r>
    <x v="1"/>
    <x v="16"/>
    <s v="Travel"/>
    <m/>
    <x v="2"/>
    <x v="0"/>
    <s v="New York City"/>
    <s v=" New York"/>
    <m/>
    <m/>
    <s v="wikihow.com"/>
    <s v="PubMatic"/>
    <s v="Smartphone"/>
    <n v="11789"/>
    <n v="20"/>
    <n v="6187"/>
    <n v="10028"/>
    <n v="3"/>
    <n v="6505.5264559999996"/>
  </r>
  <r>
    <x v="1"/>
    <x v="16"/>
    <s v="Cruises"/>
    <m/>
    <x v="2"/>
    <x v="0"/>
    <s v="San Francisco"/>
    <s v=" California"/>
    <m/>
    <m/>
    <s v="doctoreport.com"/>
    <s v="Index Exchange"/>
    <s v="Smartphone"/>
    <n v="9560"/>
    <n v="98"/>
    <n v="3076"/>
    <n v="6252"/>
    <n v="17"/>
    <n v="6420.2181229999997"/>
  </r>
  <r>
    <x v="1"/>
    <x v="17"/>
    <s v="yes"/>
    <m/>
    <x v="2"/>
    <x v="2"/>
    <s v="Chicago"/>
    <s v=" Illinois"/>
    <m/>
    <m/>
    <s v="mail.yahoo.com"/>
    <s v="Google Ad Manager"/>
    <s v="Smartphone"/>
    <n v="562103"/>
    <n v="1450"/>
    <n v="340616"/>
    <n v="488921"/>
    <n v="8"/>
    <n v="1733.8301719999999"/>
  </r>
  <r>
    <x v="1"/>
    <x v="11"/>
    <s v="Car Make"/>
    <s v="Vauxhall"/>
    <x v="1"/>
    <x v="3"/>
    <s v="San Francisco"/>
    <s v=" California"/>
    <m/>
    <m/>
    <s v="nypost.com"/>
    <s v="Google Ad Manager"/>
    <s v="Smartphone"/>
    <n v="14038"/>
    <n v="63"/>
    <n v="1600"/>
    <n v="11345"/>
    <n v="8"/>
    <n v="6368.8629129999999"/>
  </r>
  <r>
    <x v="1"/>
    <x v="17"/>
    <s v="Brand"/>
    <s v="BMW"/>
    <x v="1"/>
    <x v="1"/>
    <s v="Nashville"/>
    <s v=" Tennessee"/>
    <m/>
    <m/>
    <s v="uscellular.com"/>
    <s v="BidSwitch"/>
    <s v="Smartphone"/>
    <n v="17561"/>
    <n v="50"/>
    <n v="2960"/>
    <n v="9953"/>
    <n v="10"/>
    <n v="1519.90401"/>
  </r>
  <r>
    <x v="1"/>
    <x v="11"/>
    <s v="Category"/>
    <s v="Caravan"/>
    <x v="0"/>
    <x v="1"/>
    <s v="Miami-Ft. Lauderdale"/>
    <s v=" Florida"/>
    <m/>
    <m/>
    <s v="ranker.com"/>
    <s v="Google Ad Manager"/>
    <s v="Smartphone"/>
    <n v="8097"/>
    <n v="20"/>
    <n v="4942"/>
    <n v="6868"/>
    <n v="1"/>
    <n v="6177.4645449999998"/>
  </r>
  <r>
    <x v="1"/>
    <x v="11"/>
    <s v="Type"/>
    <s v="Sedan"/>
    <x v="0"/>
    <x v="2"/>
    <s v="Chicago"/>
    <s v=" Illinois"/>
    <m/>
    <m/>
    <s v="mail.aol.com"/>
    <s v="Index Exchange"/>
    <s v="Windows PC"/>
    <n v="25889"/>
    <n v="110"/>
    <n v="18382"/>
    <n v="23328"/>
    <n v="15"/>
    <n v="4977.7847940000001"/>
  </r>
  <r>
    <x v="1"/>
    <x v="11"/>
    <s v="Type"/>
    <s v="Crossover"/>
    <x v="1"/>
    <x v="3"/>
    <s v="Chicago"/>
    <s v=" Illinois"/>
    <m/>
    <m/>
    <s v="usatoday.com"/>
    <s v="Google Ad Manager"/>
    <s v="Smartphone"/>
    <n v="25539"/>
    <n v="78"/>
    <n v="12130"/>
    <n v="24129"/>
    <n v="15"/>
    <n v="4804.4932330000001"/>
  </r>
  <r>
    <x v="1"/>
    <x v="11"/>
    <s v="Car Make"/>
    <s v="Honda"/>
    <x v="0"/>
    <x v="0"/>
    <s v="Nashville"/>
    <s v=" Tennessee"/>
    <m/>
    <m/>
    <s v="npr.org"/>
    <s v="Yahoo Exchange"/>
    <s v="Smartphone"/>
    <n v="8000"/>
    <n v="10"/>
    <n v="4400"/>
    <n v="6379"/>
    <n v="1"/>
    <n v="6159.3669019999998"/>
  </r>
  <r>
    <x v="1"/>
    <x v="18"/>
    <s v="Vauxhall-Opel"/>
    <m/>
    <x v="2"/>
    <x v="2"/>
    <s v="Los Angeles"/>
    <s v=" California"/>
    <m/>
    <m/>
    <s v="wsmv.com"/>
    <s v="Google Ad Manager"/>
    <s v="Smartphone"/>
    <n v="17382"/>
    <n v="100"/>
    <n v="7411"/>
    <n v="16576"/>
    <n v="8"/>
    <n v="5797.2199769999997"/>
  </r>
  <r>
    <x v="1"/>
    <x v="18"/>
    <s v="Lexus"/>
    <m/>
    <x v="0"/>
    <x v="0"/>
    <s v="Chicago"/>
    <s v=" Illinois"/>
    <m/>
    <m/>
    <s v="sportpirate.com"/>
    <s v="Index Exchange"/>
    <s v="Windows PC"/>
    <n v="17075"/>
    <n v="44"/>
    <n v="5508"/>
    <n v="11539"/>
    <n v="10"/>
    <n v="5086.0899600000002"/>
  </r>
  <r>
    <x v="1"/>
    <x v="18"/>
    <s v="Buick"/>
    <m/>
    <x v="0"/>
    <x v="0"/>
    <s v="South Bend-Elkhart"/>
    <s v=" Indiana"/>
    <m/>
    <m/>
    <s v="signupgenius.com"/>
    <s v="Google Ad Manager"/>
    <s v="Apple PC"/>
    <n v="21599"/>
    <n v="66"/>
    <n v="13600"/>
    <n v="20256"/>
    <n v="9"/>
    <n v="5551.3874150000001"/>
  </r>
  <r>
    <x v="1"/>
    <x v="18"/>
    <s v="Aston Martin"/>
    <m/>
    <x v="0"/>
    <x v="0"/>
    <s v="Orlando-Daytona Beach"/>
    <s v=" Florida"/>
    <m/>
    <m/>
    <s v="yahoo.com"/>
    <s v="Google Ad Manager"/>
    <s v="Windows PC"/>
    <n v="84460"/>
    <n v="209"/>
    <n v="13169"/>
    <n v="26688"/>
    <n v="1"/>
    <n v="4279.230955"/>
  </r>
  <r>
    <x v="1"/>
    <x v="18"/>
    <s v="Acura"/>
    <m/>
    <x v="0"/>
    <x v="0"/>
    <s v="New York City"/>
    <s v=" New York"/>
    <m/>
    <m/>
    <s v="mail.aol.com"/>
    <s v="Google Ad Manager"/>
    <s v="Windows PC"/>
    <n v="83854"/>
    <n v="197"/>
    <n v="60626"/>
    <n v="76071"/>
    <n v="15"/>
    <n v="5783.843758"/>
  </r>
  <r>
    <x v="1"/>
    <x v="18"/>
    <s v="Volkswagen"/>
    <m/>
    <x v="0"/>
    <x v="0"/>
    <s v="Ft. Myers-Naples"/>
    <s v=" Florida"/>
    <m/>
    <m/>
    <s v="mlb.com"/>
    <s v="Google Ad Manager"/>
    <s v="Smartphone"/>
    <n v="7789"/>
    <n v="30"/>
    <n v="4655"/>
    <n v="7434"/>
    <n v="1"/>
    <n v="6396.8687630000004"/>
  </r>
  <r>
    <x v="1"/>
    <x v="18"/>
    <s v="SEAT"/>
    <m/>
    <x v="0"/>
    <x v="3"/>
    <s v="Chicago"/>
    <s v=" Illinois"/>
    <m/>
    <m/>
    <s v="mail.aol.com"/>
    <s v="BidSwitch"/>
    <s v="Smartphone"/>
    <n v="14083"/>
    <n v="97"/>
    <n v="9945"/>
    <n v="12878"/>
    <n v="11"/>
    <n v="5979.67"/>
  </r>
  <r>
    <x v="1"/>
    <x v="18"/>
    <s v="Mercedes-Benz"/>
    <m/>
    <x v="1"/>
    <x v="0"/>
    <s v="Nashville"/>
    <s v=" Tennessee"/>
    <m/>
    <m/>
    <s v="accuweather.com"/>
    <s v="PubMatic"/>
    <s v="Smartphone"/>
    <n v="23965"/>
    <n v="270"/>
    <n v="13608"/>
    <n v="21704"/>
    <n v="12"/>
    <n v="5706.8644169999998"/>
  </r>
  <r>
    <x v="1"/>
    <x v="18"/>
    <s v="Rolls-Royce"/>
    <m/>
    <x v="1"/>
    <x v="2"/>
    <s v="Tri-Cities"/>
    <s v=" Tennessee"/>
    <s v="Virginia"/>
    <m/>
    <s v="boattrader.com"/>
    <s v="BidSwitch"/>
    <s v="Smartphone"/>
    <n v="14047"/>
    <n v="44"/>
    <n v="9934"/>
    <n v="13377"/>
    <n v="7"/>
    <n v="5729.6507549999997"/>
  </r>
  <r>
    <x v="1"/>
    <x v="18"/>
    <s v="Ferrari"/>
    <m/>
    <x v="0"/>
    <x v="2"/>
    <s v="Miami-Ft. Lauderdale"/>
    <s v=" Florida"/>
    <m/>
    <m/>
    <s v="biblegateway.com"/>
    <s v="Google Ad Manager"/>
    <s v="Windows PC"/>
    <n v="88293"/>
    <n v="255"/>
    <n v="24101"/>
    <n v="75557"/>
    <n v="19"/>
    <n v="5054.481581"/>
  </r>
  <r>
    <x v="1"/>
    <x v="18"/>
    <s v="Honda"/>
    <m/>
    <x v="1"/>
    <x v="1"/>
    <s v="Peoria-Bloomington"/>
    <s v=" Illinois"/>
    <m/>
    <m/>
    <s v="microsoftcasualgames.com"/>
    <s v="PubMatic"/>
    <s v="Smartphone"/>
    <n v="90463"/>
    <n v="204"/>
    <n v="803"/>
    <n v="2465"/>
    <n v="9"/>
    <n v="6120.6025140000002"/>
  </r>
  <r>
    <x v="1"/>
    <x v="18"/>
    <s v="Maybach"/>
    <m/>
    <x v="1"/>
    <x v="2"/>
    <s v="Miami-Ft. Lauderdale"/>
    <s v=" Florida"/>
    <m/>
    <m/>
    <s v="insidethemagic.net"/>
    <s v="Magnite DV+"/>
    <s v="Smartphone"/>
    <n v="23941"/>
    <n v="150"/>
    <n v="13054"/>
    <n v="22276"/>
    <n v="6"/>
    <n v="2856.1654250000001"/>
  </r>
  <r>
    <x v="1"/>
    <x v="18"/>
    <s v="Dodge"/>
    <m/>
    <x v="0"/>
    <x v="1"/>
    <s v="West Palm Beach-Ft. Pierce"/>
    <s v=" Florida"/>
    <m/>
    <m/>
    <s v="autotrader.com"/>
    <s v="BidSwitch"/>
    <s v="Smartphone"/>
    <n v="43057"/>
    <n v="122"/>
    <n v="23767"/>
    <n v="41484"/>
    <n v="7"/>
    <n v="5884.9313940000002"/>
  </r>
  <r>
    <x v="1"/>
    <x v="18"/>
    <s v="Porsche"/>
    <m/>
    <x v="1"/>
    <x v="2"/>
    <s v="Chicago"/>
    <s v=" Illinois"/>
    <m/>
    <m/>
    <s v="msn.com"/>
    <s v="OpenX"/>
    <s v="Smartphone"/>
    <n v="3196231"/>
    <n v="8745"/>
    <n v="2013324"/>
    <n v="2669103"/>
    <n v="70"/>
    <n v="5756.2711719999998"/>
  </r>
  <r>
    <x v="1"/>
    <x v="18"/>
    <s v="GM-Daewoo"/>
    <m/>
    <x v="1"/>
    <x v="3"/>
    <s v="Rockford"/>
    <s v=" Illinois"/>
    <m/>
    <m/>
    <s v="msn.com"/>
    <s v="Google Ad Manager"/>
    <s v="Smartphone"/>
    <n v="48436"/>
    <n v="171"/>
    <n v="16543"/>
    <n v="42427"/>
    <n v="6"/>
    <n v="4386.6482150000002"/>
  </r>
  <r>
    <x v="1"/>
    <x v="18"/>
    <s v="Jeep"/>
    <m/>
    <x v="1"/>
    <x v="3"/>
    <s v="Los Angeles"/>
    <s v=" California"/>
    <m/>
    <m/>
    <s v="accuweather.com"/>
    <s v="Google Ad Manager"/>
    <s v="Smartphone"/>
    <n v="23711"/>
    <n v="69"/>
    <n v="4337"/>
    <n v="17211"/>
    <n v="8"/>
    <n v="5740.9522189999998"/>
  </r>
  <r>
    <x v="1"/>
    <x v="18"/>
    <s v="Ford"/>
    <m/>
    <x v="2"/>
    <x v="2"/>
    <s v="New York City"/>
    <s v=" New York"/>
    <m/>
    <m/>
    <s v="insider.com"/>
    <s v="Google Ad Manager"/>
    <s v="Smartphone"/>
    <n v="89744"/>
    <n v="311"/>
    <n v="48786"/>
    <n v="85900"/>
    <n v="3"/>
    <n v="6369.8112259999998"/>
  </r>
  <r>
    <x v="1"/>
    <x v="18"/>
    <s v="Maserati"/>
    <m/>
    <x v="1"/>
    <x v="2"/>
    <s v="Ft. Myers-Naples"/>
    <s v=" Florida"/>
    <m/>
    <m/>
    <s v="foxnews.com"/>
    <s v="BidSwitch"/>
    <s v="Smartphone"/>
    <n v="38408"/>
    <n v="101"/>
    <n v="23557"/>
    <n v="35247"/>
    <n v="7"/>
    <n v="5343.4594310000002"/>
  </r>
  <r>
    <x v="1"/>
    <x v="18"/>
    <s v="Mazda"/>
    <m/>
    <x v="1"/>
    <x v="0"/>
    <s v="New York City"/>
    <s v=" New York"/>
    <m/>
    <m/>
    <s v="cbsnews.com"/>
    <s v="TripleLift"/>
    <s v="Smartphone"/>
    <n v="134847"/>
    <n v="450"/>
    <n v="104268"/>
    <n v="128470"/>
    <n v="125"/>
    <n v="6040.5955780000004"/>
  </r>
  <r>
    <x v="1"/>
    <x v="19"/>
    <m/>
    <m/>
    <x v="0"/>
    <x v="0"/>
    <s v="Miami-Ft. Lauderdale"/>
    <s v=" Florida"/>
    <m/>
    <m/>
    <s v="pandora.com"/>
    <s v="Xandr - Monetize SSP (AppNexus)"/>
    <s v="Smartphone"/>
    <n v="58477"/>
    <n v="135"/>
    <n v="43554"/>
    <n v="56558"/>
    <n v="19"/>
    <n v="5247.6238830000002"/>
  </r>
  <r>
    <x v="1"/>
    <x v="20"/>
    <m/>
    <m/>
    <x v="1"/>
    <x v="1"/>
    <s v="San Francisco"/>
    <s v=" California"/>
    <m/>
    <m/>
    <s v="msn.com"/>
    <s v="PubMatic"/>
    <s v="Smartphone"/>
    <n v="1601933"/>
    <n v="4265"/>
    <n v="1135085"/>
    <n v="1487426"/>
    <n v="29"/>
    <n v="6785.7097899999999"/>
  </r>
  <r>
    <x v="1"/>
    <x v="21"/>
    <s v="Fuel Economy and Gas Prices"/>
    <m/>
    <x v="1"/>
    <x v="2"/>
    <s v="New York City"/>
    <s v=" New York"/>
    <m/>
    <m/>
    <s v="nbcnews.com"/>
    <s v="Google Ad Manager"/>
    <s v="Smartphone"/>
    <n v="92764"/>
    <n v="320"/>
    <n v="19625"/>
    <n v="76531"/>
    <n v="14"/>
    <n v="6730.012549"/>
  </r>
  <r>
    <x v="1"/>
    <x v="18"/>
    <s v="Peugeot"/>
    <m/>
    <x v="1"/>
    <x v="1"/>
    <s v="Chicago"/>
    <s v=" Illinois"/>
    <m/>
    <m/>
    <s v="todaysnyc.com"/>
    <s v="Google Ad Manager"/>
    <s v="Smartphone"/>
    <n v="17317"/>
    <n v="68"/>
    <n v="8055"/>
    <n v="12724"/>
    <n v="12"/>
    <n v="5668.8570790000003"/>
  </r>
  <r>
    <x v="1"/>
    <x v="18"/>
    <s v="Pontiac"/>
    <m/>
    <x v="1"/>
    <x v="0"/>
    <s v="San Francisco"/>
    <s v=" California"/>
    <m/>
    <m/>
    <s v="sports.yahoo.com"/>
    <s v="BidSwitch"/>
    <s v="Smartphone"/>
    <n v="7769"/>
    <n v="10"/>
    <n v="3152"/>
    <n v="6464"/>
    <n v="1"/>
    <n v="5603.0481319999999"/>
  </r>
  <r>
    <x v="1"/>
    <x v="18"/>
    <s v="Citroen"/>
    <m/>
    <x v="1"/>
    <x v="2"/>
    <s v="Little Rock-Pine Bluff"/>
    <s v=" Arkansas"/>
    <m/>
    <m/>
    <s v="reuters.com"/>
    <s v="Magnite DV+"/>
    <s v="Smartphone"/>
    <n v="9319"/>
    <n v="30"/>
    <n v="6193"/>
    <n v="8682"/>
    <n v="12"/>
    <n v="4594.6040030000004"/>
  </r>
  <r>
    <x v="1"/>
    <x v="18"/>
    <s v="Mini"/>
    <m/>
    <x v="1"/>
    <x v="0"/>
    <s v="Flint-Saginaw-Bay City"/>
    <s v=" Michigan"/>
    <m/>
    <m/>
    <s v="signupgenius.com"/>
    <s v="PubMatic"/>
    <s v="Smartphone"/>
    <n v="24100"/>
    <n v="110"/>
    <n v="11355"/>
    <n v="21740"/>
    <n v="5"/>
    <n v="5912.2609750000001"/>
  </r>
  <r>
    <x v="1"/>
    <x v="18"/>
    <s v="Cadillac"/>
    <m/>
    <x v="1"/>
    <x v="0"/>
    <s v="South Bend-Elkhart"/>
    <s v=" Indiana"/>
    <m/>
    <m/>
    <s v="eenadu.net"/>
    <s v="Google Ad Manager"/>
    <s v="Smartphone"/>
    <n v="14011"/>
    <n v="40"/>
    <n v="5060"/>
    <n v="12459"/>
    <n v="5"/>
    <n v="5632.0879729999997"/>
  </r>
  <r>
    <x v="1"/>
    <x v="18"/>
    <s v="Kia"/>
    <m/>
    <x v="2"/>
    <x v="0"/>
    <s v="San Francisco"/>
    <s v=" California"/>
    <m/>
    <m/>
    <s v="weather.com"/>
    <s v="Google Ad Manager"/>
    <s v="Smartphone"/>
    <n v="257862"/>
    <n v="700"/>
    <n v="105048"/>
    <n v="238629"/>
    <n v="21"/>
    <n v="5899.4294829999999"/>
  </r>
  <r>
    <x v="1"/>
    <x v="18"/>
    <s v="Saab"/>
    <m/>
    <x v="1"/>
    <x v="1"/>
    <s v="Jackson"/>
    <s v=" Mississippi"/>
    <m/>
    <m/>
    <s v="geeksforgeeks.org"/>
    <s v="Google Ad Manager"/>
    <s v="Smartphone"/>
    <n v="109709"/>
    <n v="278"/>
    <n v="3064"/>
    <n v="15428"/>
    <n v="20"/>
    <n v="5409.0839550000001"/>
  </r>
  <r>
    <x v="1"/>
    <x v="18"/>
    <s v="Mitsubishi"/>
    <m/>
    <x v="0"/>
    <x v="2"/>
    <s v="San Francisco"/>
    <s v=" California"/>
    <m/>
    <m/>
    <s v="msn.com"/>
    <s v="Smart RTB+ (Smartadserver)"/>
    <s v="Smartphone"/>
    <n v="335461"/>
    <n v="963"/>
    <n v="171464"/>
    <n v="247450"/>
    <n v="5"/>
    <n v="4445.8746289999999"/>
  </r>
  <r>
    <x v="1"/>
    <x v="22"/>
    <m/>
    <m/>
    <x v="1"/>
    <x v="0"/>
    <s v="Chicago"/>
    <s v=" Illinois"/>
    <m/>
    <m/>
    <s v="fandomwire.com"/>
    <s v="OpenX"/>
    <s v="Smartphone"/>
    <n v="111624"/>
    <n v="590"/>
    <n v="40343"/>
    <n v="101306"/>
    <n v="21"/>
    <n v="6510.4466560000001"/>
  </r>
  <r>
    <x v="1"/>
    <x v="18"/>
    <s v="Volvo"/>
    <m/>
    <x v="1"/>
    <x v="0"/>
    <s v="New York City"/>
    <s v=" New York"/>
    <m/>
    <m/>
    <s v="chocolatecoveredkatie.com"/>
    <s v="Google Ad Manager"/>
    <s v="Smartphone"/>
    <n v="7806"/>
    <n v="20"/>
    <n v="3150"/>
    <n v="7247"/>
    <n v="1"/>
    <n v="6162.3208329999998"/>
  </r>
  <r>
    <x v="1"/>
    <x v="18"/>
    <s v="Nissan"/>
    <m/>
    <x v="0"/>
    <x v="2"/>
    <s v="Chicago"/>
    <s v=" Illinois"/>
    <m/>
    <m/>
    <s v="thefinancechatter.com"/>
    <s v="BidSwitch"/>
    <s v="Smartphone"/>
    <n v="7691"/>
    <n v="0"/>
    <n v="3890"/>
    <n v="5905"/>
    <n v="1"/>
    <n v="5927.8067879999999"/>
  </r>
  <r>
    <x v="1"/>
    <x v="18"/>
    <s v="Bugatti"/>
    <m/>
    <x v="1"/>
    <x v="2"/>
    <s v="Jacksonville"/>
    <s v=" Florida"/>
    <m/>
    <m/>
    <s v="mobileposse.com"/>
    <s v="Google Ad Manager"/>
    <s v="Smartphone"/>
    <n v="98509"/>
    <n v="299"/>
    <n v="30688"/>
    <n v="109518"/>
    <n v="15"/>
    <n v="2059.2702939999999"/>
  </r>
  <r>
    <x v="1"/>
    <x v="18"/>
    <s v="BMW"/>
    <m/>
    <x v="2"/>
    <x v="3"/>
    <s v="West Palm Beach-Ft. Pierce"/>
    <s v=" Florida"/>
    <m/>
    <m/>
    <s v="forbes.com"/>
    <s v="TripleLift"/>
    <s v="Smartphone"/>
    <n v="88022"/>
    <n v="370"/>
    <n v="45972"/>
    <n v="83922"/>
    <n v="11"/>
    <n v="5669.1447600000001"/>
  </r>
  <r>
    <x v="1"/>
    <x v="18"/>
    <s v="Isuzu"/>
    <m/>
    <x v="0"/>
    <x v="1"/>
    <s v="Chicago"/>
    <s v=" Illinois"/>
    <m/>
    <m/>
    <s v="realtor.com"/>
    <s v="Index Exchange"/>
    <s v="Windows PC"/>
    <n v="16978"/>
    <n v="30"/>
    <n v="8367"/>
    <n v="15731"/>
    <n v="9"/>
    <n v="5886.0711460000002"/>
  </r>
  <r>
    <x v="1"/>
    <x v="18"/>
    <s v="Jaguar"/>
    <m/>
    <x v="1"/>
    <x v="3"/>
    <s v="Chicago"/>
    <s v=" Illinois"/>
    <m/>
    <m/>
    <s v="mlb.com"/>
    <s v="Google Ad Manager"/>
    <s v="Smartphone"/>
    <n v="38396"/>
    <n v="87"/>
    <n v="6305"/>
    <n v="35118"/>
    <n v="9"/>
    <n v="5740.164546"/>
  </r>
  <r>
    <x v="1"/>
    <x v="18"/>
    <s v="LandRover"/>
    <m/>
    <x v="0"/>
    <x v="3"/>
    <s v="Jacksonville"/>
    <s v=" Florida"/>
    <m/>
    <m/>
    <s v="ebay.com"/>
    <s v="Google Ad Manager"/>
    <s v="Apple PC"/>
    <n v="104538"/>
    <n v="347"/>
    <n v="49049"/>
    <n v="97093"/>
    <n v="2"/>
    <n v="5266.4242329999997"/>
  </r>
  <r>
    <x v="1"/>
    <x v="18"/>
    <s v="Fiat"/>
    <m/>
    <x v="0"/>
    <x v="1"/>
    <s v="Chicago"/>
    <s v=" Illinois"/>
    <m/>
    <m/>
    <s v="thekrazycouponlady.com"/>
    <s v="Magnite DV+"/>
    <s v="Smartphone"/>
    <n v="11417"/>
    <n v="78"/>
    <n v="1387"/>
    <n v="9924"/>
    <n v="9"/>
    <n v="6206.6371079999999"/>
  </r>
  <r>
    <x v="1"/>
    <x v="23"/>
    <m/>
    <m/>
    <x v="2"/>
    <x v="3"/>
    <s v="New York City"/>
    <s v=" New York"/>
    <m/>
    <m/>
    <s v="hindustantimes.com"/>
    <s v="Google Ad Manager"/>
    <s v="Smartphone"/>
    <n v="17518"/>
    <n v="60"/>
    <n v="11513"/>
    <n v="16192"/>
    <n v="12"/>
    <n v="6765.0003999999999"/>
  </r>
  <r>
    <x v="2"/>
    <x v="24"/>
    <s v="Employee Benefits"/>
    <m/>
    <x v="1"/>
    <x v="0"/>
    <s v="Jacksonville"/>
    <s v=" Florida"/>
    <m/>
    <m/>
    <s v="classmates.com"/>
    <s v="Magnite DV+"/>
    <s v="Smartphone"/>
    <n v="12451"/>
    <n v="30"/>
    <n v="2987"/>
    <n v="11295"/>
    <n v="4"/>
    <n v="2127.323828"/>
  </r>
  <r>
    <x v="2"/>
    <x v="25"/>
    <s v="SupplyChainManager"/>
    <m/>
    <x v="0"/>
    <x v="3"/>
    <s v="Jacksonville"/>
    <s v=" Florida"/>
    <m/>
    <m/>
    <s v="my.earthlink.net"/>
    <s v="Google Ad Manager"/>
    <s v="Apple PC"/>
    <n v="7470"/>
    <n v="0"/>
    <n v="6753"/>
    <n v="7229"/>
    <n v="1"/>
    <n v="1738.9952820000001"/>
  </r>
  <r>
    <x v="2"/>
    <x v="24"/>
    <s v="Office Supplies or Equipment"/>
    <m/>
    <x v="0"/>
    <x v="2"/>
    <s v="Los Angeles"/>
    <s v=" California"/>
    <m/>
    <m/>
    <s v="ebay.com"/>
    <s v="Google Ad Manager"/>
    <s v="Windows PC"/>
    <n v="55692"/>
    <n v="184"/>
    <n v="3596"/>
    <n v="51209"/>
    <n v="9"/>
    <n v="1981.0502879999999"/>
  </r>
  <r>
    <x v="2"/>
    <x v="24"/>
    <s v="Computer Hardware"/>
    <m/>
    <x v="1"/>
    <x v="1"/>
    <s v="San Francisco"/>
    <s v=" California"/>
    <m/>
    <m/>
    <s v="finance.yahoo.com"/>
    <s v="Sovrn"/>
    <s v="Smartphone"/>
    <n v="51056"/>
    <n v="120"/>
    <n v="24672"/>
    <n v="45563"/>
    <n v="4"/>
    <n v="2215.6318449999999"/>
  </r>
  <r>
    <x v="2"/>
    <x v="24"/>
    <s v="Advertising Services"/>
    <m/>
    <x v="1"/>
    <x v="3"/>
    <s v="Grand Rapids-Kalamazoo"/>
    <s v=" Michigan"/>
    <m/>
    <m/>
    <s v="dmv.org"/>
    <s v="BidSwitch"/>
    <s v="Smartphone"/>
    <n v="14917"/>
    <n v="10"/>
    <n v="3065"/>
    <n v="13109"/>
    <n v="3"/>
    <n v="1583.537104"/>
  </r>
  <r>
    <x v="2"/>
    <x v="24"/>
    <s v="Real Estate Services"/>
    <m/>
    <x v="0"/>
    <x v="1"/>
    <s v="Jacksonville"/>
    <s v=" Florida"/>
    <m/>
    <m/>
    <s v="zillow.com"/>
    <s v="BidSwitch"/>
    <s v="Smartphone"/>
    <n v="9790"/>
    <n v="24"/>
    <n v="1295"/>
    <n v="9196"/>
    <n v="2"/>
    <n v="1532.1488810000001"/>
  </r>
  <r>
    <x v="2"/>
    <x v="24"/>
    <s v="Financial Services"/>
    <m/>
    <x v="0"/>
    <x v="3"/>
    <s v="New York City"/>
    <s v=" New York"/>
    <m/>
    <m/>
    <s v="androidpolice.com"/>
    <s v="Taboola"/>
    <s v="Apple PC"/>
    <n v="11668"/>
    <n v="110"/>
    <n v="7860"/>
    <n v="11009"/>
    <n v="5"/>
    <n v="2653.9815789999998"/>
  </r>
  <r>
    <x v="2"/>
    <x v="24"/>
    <s v="Internet Services"/>
    <m/>
    <x v="0"/>
    <x v="2"/>
    <s v="Los Angeles"/>
    <s v=" California"/>
    <m/>
    <m/>
    <s v="people.com"/>
    <s v="Google Ad Manager"/>
    <s v="Windows PC"/>
    <n v="31625"/>
    <n v="99"/>
    <n v="23764"/>
    <n v="29364"/>
    <n v="6"/>
    <n v="2360.5552440000001"/>
  </r>
  <r>
    <x v="2"/>
    <x v="24"/>
    <s v="Sales"/>
    <m/>
    <x v="0"/>
    <x v="2"/>
    <s v="Tampa-St Petersburg (Sarasota)"/>
    <s v=" Florida"/>
    <m/>
    <m/>
    <s v="foxnews.com"/>
    <s v="Google Ad Manager"/>
    <s v="Windows PC"/>
    <n v="19951"/>
    <n v="81"/>
    <n v="10511"/>
    <n v="18132"/>
    <n v="15"/>
    <n v="1801.14885"/>
  </r>
  <r>
    <x v="2"/>
    <x v="24"/>
    <s v="Purchasing Vehicles or Automobile Services"/>
    <m/>
    <x v="0"/>
    <x v="0"/>
    <s v="Ft. Wayne"/>
    <s v=" Indiana"/>
    <m/>
    <m/>
    <s v="yahoo.com"/>
    <s v="PubMatic"/>
    <s v="Smartphone"/>
    <n v="276716"/>
    <n v="799"/>
    <n v="114927"/>
    <n v="255481"/>
    <n v="49"/>
    <n v="2276.2774709999999"/>
  </r>
  <r>
    <x v="2"/>
    <x v="24"/>
    <s v="HR or Personnel Services"/>
    <m/>
    <x v="0"/>
    <x v="2"/>
    <s v="Los Angeles"/>
    <s v=" California"/>
    <m/>
    <m/>
    <s v="foxnews.com"/>
    <s v="Google Ad Manager"/>
    <s v="Windows PC"/>
    <n v="51889"/>
    <n v="174"/>
    <n v="33879"/>
    <n v="49382"/>
    <n v="5"/>
    <n v="2172.8417469999999"/>
  </r>
  <r>
    <x v="2"/>
    <x v="24"/>
    <s v="Security Services"/>
    <m/>
    <x v="1"/>
    <x v="0"/>
    <s v="Nashville"/>
    <s v=" Tennessee"/>
    <m/>
    <m/>
    <s v="slickdeals.net"/>
    <s v="PubMatic"/>
    <s v="Smartphone"/>
    <n v="12488"/>
    <n v="99"/>
    <n v="4021"/>
    <n v="11403"/>
    <n v="4"/>
    <n v="2176.6574690000002"/>
  </r>
  <r>
    <x v="2"/>
    <x v="24"/>
    <s v="Marketing or Market Research"/>
    <m/>
    <x v="1"/>
    <x v="3"/>
    <s v="Jacksonville"/>
    <s v=" Florida"/>
    <m/>
    <m/>
    <s v="fortune.com"/>
    <s v="Google Ad Manager"/>
    <s v="Smartphone"/>
    <n v="54134"/>
    <n v="155"/>
    <n v="37418"/>
    <n v="51299"/>
    <n v="4"/>
    <n v="1502.01775"/>
  </r>
  <r>
    <x v="2"/>
    <x v="24"/>
    <s v="Print"/>
    <s v="Copy or Photo Services"/>
    <x v="0"/>
    <x v="0"/>
    <s v="San Francisco"/>
    <s v=" California"/>
    <m/>
    <m/>
    <s v="thesaurus.com"/>
    <s v="Google Ad Manager"/>
    <s v="Smartphone"/>
    <n v="141157"/>
    <n v="420"/>
    <n v="8280"/>
    <n v="107935"/>
    <n v="4"/>
    <n v="1631.7829489999999"/>
  </r>
  <r>
    <x v="2"/>
    <x v="25"/>
    <s v="Broker"/>
    <m/>
    <x v="1"/>
    <x v="3"/>
    <s v="Champaign &amp; Springfield-Decatur"/>
    <s v="Illinois"/>
    <m/>
    <m/>
    <s v="tastesbetterfromscratch.com"/>
    <s v="BidSwitch"/>
    <s v="Smartphone"/>
    <n v="21962"/>
    <n v="120"/>
    <n v="10702"/>
    <n v="21034"/>
    <n v="11"/>
    <n v="6404.0031280000003"/>
  </r>
  <r>
    <x v="2"/>
    <x v="25"/>
    <s v="PropertyManager"/>
    <m/>
    <x v="0"/>
    <x v="1"/>
    <s v="Chicago"/>
    <s v=" Illinois"/>
    <m/>
    <m/>
    <s v="whatismyipaddress.com"/>
    <s v="Google Ad Manager"/>
    <s v="Apple PC"/>
    <n v="7447"/>
    <n v="10"/>
    <n v="4163"/>
    <n v="5586"/>
    <n v="19"/>
    <n v="3311.9412459999999"/>
  </r>
  <r>
    <x v="2"/>
    <x v="24"/>
    <s v="Office Services or Moving"/>
    <m/>
    <x v="0"/>
    <x v="2"/>
    <s v="Nashville"/>
    <s v=" Tennessee"/>
    <m/>
    <m/>
    <s v="realtor.com"/>
    <s v="BidSwitch"/>
    <s v="Apple PC"/>
    <n v="49412"/>
    <n v="170"/>
    <n v="22155"/>
    <n v="43802"/>
    <n v="3"/>
    <n v="1595.6594660000001"/>
  </r>
  <r>
    <x v="2"/>
    <x v="24"/>
    <s v="Company Liability or Insurance"/>
    <m/>
    <x v="0"/>
    <x v="1"/>
    <s v="Miami-Ft. Lauderdale"/>
    <s v=" Florida"/>
    <m/>
    <m/>
    <s v="citationmachine.net"/>
    <s v="Google Ad Manager"/>
    <s v="Windows PC"/>
    <n v="31443"/>
    <n v="70"/>
    <n v="19134"/>
    <n v="28059"/>
    <n v="9"/>
    <n v="2122.7658879999999"/>
  </r>
  <r>
    <x v="2"/>
    <x v="24"/>
    <s v="Purchasing Utilities"/>
    <m/>
    <x v="1"/>
    <x v="2"/>
    <s v="Grand Rapids-Kalamazoo"/>
    <s v=" Michigan"/>
    <m/>
    <m/>
    <s v="accuweather.com"/>
    <s v="OpenX"/>
    <s v="Smartphone"/>
    <n v="49936"/>
    <n v="126"/>
    <n v="25461"/>
    <n v="44751"/>
    <n v="13"/>
    <n v="2025.7840189999999"/>
  </r>
  <r>
    <x v="2"/>
    <x v="24"/>
    <s v="Accounting or Tax Services"/>
    <m/>
    <x v="1"/>
    <x v="2"/>
    <s v="Miami-Ft. Lauderdale"/>
    <s v=" Florida"/>
    <m/>
    <m/>
    <s v="doodle.com"/>
    <s v="Google Ad Manager"/>
    <s v="Smartphone"/>
    <n v="12606"/>
    <n v="74"/>
    <n v="8332"/>
    <n v="11170"/>
    <n v="5"/>
    <n v="2002.5379889999999"/>
  </r>
  <r>
    <x v="2"/>
    <x v="25"/>
    <s v="OfficeManager"/>
    <m/>
    <x v="0"/>
    <x v="0"/>
    <s v="Miami-Ft. Lauderdale"/>
    <s v=" Florida"/>
    <m/>
    <m/>
    <s v="dafont.com"/>
    <s v="BidSwitch"/>
    <s v="Windows PC"/>
    <n v="24464"/>
    <n v="0"/>
    <n v="3275"/>
    <n v="21993"/>
    <n v="6"/>
    <n v="2959.1149730000002"/>
  </r>
  <r>
    <x v="2"/>
    <x v="25"/>
    <s v="MechanicalEngineer"/>
    <m/>
    <x v="1"/>
    <x v="2"/>
    <s v="Orlando-Daytona Beach"/>
    <s v=" Florida"/>
    <m/>
    <m/>
    <s v="bbc.com"/>
    <s v="Google Ad Manager"/>
    <s v="Smartphone"/>
    <n v="17752"/>
    <n v="98"/>
    <n v="5855"/>
    <n v="15753"/>
    <n v="5"/>
    <n v="2200.297094"/>
  </r>
  <r>
    <x v="2"/>
    <x v="24"/>
    <s v="Computer Software"/>
    <m/>
    <x v="0"/>
    <x v="0"/>
    <s v="Los Angeles"/>
    <s v=" California"/>
    <m/>
    <m/>
    <s v="mail.aol.com"/>
    <s v="BidSwitch"/>
    <s v="Smartphone"/>
    <n v="136733"/>
    <n v="110"/>
    <n v="102728"/>
    <n v="127130"/>
    <n v="4"/>
    <n v="1946.0504470000001"/>
  </r>
  <r>
    <x v="2"/>
    <x v="25"/>
    <s v="Architect"/>
    <m/>
    <x v="0"/>
    <x v="0"/>
    <s v="Miami-Ft. Lauderdale"/>
    <s v=" Florida"/>
    <m/>
    <m/>
    <s v="yourdailysportfix.com"/>
    <s v="Google Ad Manager"/>
    <s v="Smartphone"/>
    <n v="11420"/>
    <n v="67"/>
    <n v="4647"/>
    <n v="9909"/>
    <n v="9"/>
    <n v="3804.64417"/>
  </r>
  <r>
    <x v="2"/>
    <x v="25"/>
    <s v="SystemsAnalyst"/>
    <m/>
    <x v="1"/>
    <x v="3"/>
    <s v="Chicago"/>
    <s v=" Illinois"/>
    <m/>
    <m/>
    <s v="espn.com"/>
    <s v="Google Ad Manager"/>
    <s v="Smartphone"/>
    <n v="95289"/>
    <n v="199"/>
    <n v="19527"/>
    <n v="82800"/>
    <n v="5"/>
    <n v="3223.5359480000002"/>
  </r>
  <r>
    <x v="2"/>
    <x v="26"/>
    <s v="Technology Services"/>
    <s v="Hardware and or Software I have no input into the final decision"/>
    <x v="0"/>
    <x v="1"/>
    <s v="Los Angeles"/>
    <s v=" California"/>
    <m/>
    <m/>
    <s v="biblegateway.com"/>
    <s v="Google Ad Manager"/>
    <s v="Smartphone"/>
    <n v="130796"/>
    <n v="300"/>
    <n v="109118"/>
    <n v="122937"/>
    <n v="6"/>
    <n v="2196.6612319999999"/>
  </r>
  <r>
    <x v="2"/>
    <x v="25"/>
    <s v="Musician"/>
    <m/>
    <x v="0"/>
    <x v="0"/>
    <s v="Chicago"/>
    <s v=" Illinois"/>
    <m/>
    <m/>
    <s v="ajc.com"/>
    <s v="Xandr - Monetize SSP (AppNexus)"/>
    <s v="Windows PC"/>
    <n v="17833"/>
    <n v="61"/>
    <n v="8670"/>
    <n v="16871"/>
    <n v="10"/>
    <n v="4899.1559550000002"/>
  </r>
  <r>
    <x v="2"/>
    <x v="25"/>
    <s v="ElectricalEngineer"/>
    <m/>
    <x v="1"/>
    <x v="2"/>
    <s v="Chicago"/>
    <s v=" Illinois"/>
    <m/>
    <m/>
    <s v="miamiherald.com"/>
    <s v="Google Ad Manager"/>
    <s v="Smartphone"/>
    <n v="38735"/>
    <n v="114"/>
    <n v="28719"/>
    <n v="36629"/>
    <n v="4"/>
    <n v="2127.8240660000001"/>
  </r>
  <r>
    <x v="2"/>
    <x v="25"/>
    <s v="Entrepreneur"/>
    <m/>
    <x v="1"/>
    <x v="1"/>
    <s v="San Francisco"/>
    <s v=" California"/>
    <m/>
    <m/>
    <s v="weather.com"/>
    <s v="PubMatic"/>
    <s v="Smartphone"/>
    <n v="686858"/>
    <n v="2085"/>
    <n v="81956"/>
    <n v="624118"/>
    <n v="19"/>
    <n v="7467.0814870000004"/>
  </r>
  <r>
    <x v="2"/>
    <x v="26"/>
    <s v="Technology Services"/>
    <s v="Hardware and or Software I make the final decision with input from staff"/>
    <x v="0"/>
    <x v="1"/>
    <s v="West Palm Beach-Ft. Pierce"/>
    <s v=" Florida"/>
    <m/>
    <m/>
    <s v="taboolanews.com"/>
    <s v="TripleLift"/>
    <s v="Smartphone"/>
    <n v="217824"/>
    <n v="560"/>
    <n v="75089"/>
    <n v="179723"/>
    <n v="16"/>
    <n v="1451.808544"/>
  </r>
  <r>
    <x v="2"/>
    <x v="25"/>
    <s v="ComputerProgrammer"/>
    <m/>
    <x v="0"/>
    <x v="1"/>
    <s v="Chattanooga"/>
    <s v=" Tennessee"/>
    <m/>
    <m/>
    <s v="realtor.com"/>
    <s v="Yahoo Exchange"/>
    <s v="Apple PC"/>
    <n v="114194"/>
    <n v="380"/>
    <n v="50923"/>
    <n v="104074"/>
    <n v="2"/>
    <n v="4036.0893759999999"/>
  </r>
  <r>
    <x v="2"/>
    <x v="25"/>
    <s v="Teacher"/>
    <m/>
    <x v="0"/>
    <x v="2"/>
    <s v="Chicago"/>
    <s v=" Illinois"/>
    <m/>
    <m/>
    <s v="kbb.com"/>
    <s v="OpenX"/>
    <s v="Smartphone"/>
    <n v="49014"/>
    <n v="100"/>
    <n v="30349"/>
    <n v="46446"/>
    <n v="6"/>
    <n v="3628.3461699999998"/>
  </r>
  <r>
    <x v="2"/>
    <x v="26"/>
    <s v="Technology Services"/>
    <s v="Hardware and or Software I am the sole decision maker"/>
    <x v="1"/>
    <x v="0"/>
    <s v="Chicago"/>
    <s v=" Illinois"/>
    <m/>
    <m/>
    <s v="phys.org"/>
    <s v="GumGum"/>
    <s v="Smartphone"/>
    <n v="56927"/>
    <n v="165"/>
    <n v="20980"/>
    <n v="55050"/>
    <n v="5"/>
    <n v="2463.8219170000002"/>
  </r>
  <r>
    <x v="2"/>
    <x v="25"/>
    <s v="Student"/>
    <m/>
    <x v="0"/>
    <x v="1"/>
    <s v="San Francisco"/>
    <s v=" California"/>
    <m/>
    <m/>
    <s v="ebay.com"/>
    <s v="Google Ad Manager"/>
    <s v="Windows PC"/>
    <n v="39163"/>
    <n v="113"/>
    <n v="16254"/>
    <n v="36526"/>
    <n v="15"/>
    <n v="5692.765813"/>
  </r>
  <r>
    <x v="2"/>
    <x v="24"/>
    <s v="Television providers"/>
    <s v="services"/>
    <x v="0"/>
    <x v="0"/>
    <s v="Jacksonville"/>
    <s v=" Florida"/>
    <m/>
    <m/>
    <s v="streetinsider.com"/>
    <s v="Google Ad Manager"/>
    <s v="Windows PC"/>
    <n v="56737"/>
    <n v="145"/>
    <n v="41296"/>
    <n v="53472"/>
    <n v="5"/>
    <n v="2028.370144"/>
  </r>
  <r>
    <x v="3"/>
    <x v="27"/>
    <s v="Gyms and Health Clubs"/>
    <m/>
    <x v="1"/>
    <x v="2"/>
    <s v="New York City"/>
    <s v=" New York"/>
    <m/>
    <m/>
    <s v="rollingstone.com"/>
    <s v="Google Ad Manager"/>
    <s v="Smartphone"/>
    <n v="25835"/>
    <n v="69"/>
    <n v="3753"/>
    <n v="20808"/>
    <n v="11"/>
    <n v="5751.9122969999999"/>
  </r>
  <r>
    <x v="3"/>
    <x v="28"/>
    <m/>
    <m/>
    <x v="1"/>
    <x v="0"/>
    <s v="New York City"/>
    <s v=" New York"/>
    <m/>
    <m/>
    <s v="dotesports.com"/>
    <s v="Xandr - Monetize SSP (AppNexus)"/>
    <s v="Smartphone"/>
    <n v="18022"/>
    <n v="30"/>
    <n v="10618"/>
    <n v="16643"/>
    <n v="15"/>
    <n v="4051.1587490000002"/>
  </r>
  <r>
    <x v="3"/>
    <x v="27"/>
    <s v="Fitness Equipment and Accessories"/>
    <m/>
    <x v="0"/>
    <x v="3"/>
    <s v="Tampa-St Petersburg (Sarasota)"/>
    <s v=" Florida"/>
    <m/>
    <m/>
    <s v="travelerdreams.com"/>
    <s v="Google Ad Manager"/>
    <s v="Windows PC"/>
    <n v="24875"/>
    <n v="67"/>
    <n v="14213"/>
    <n v="23455"/>
    <n v="8"/>
    <n v="4652.2420510000002"/>
  </r>
  <r>
    <x v="3"/>
    <x v="27"/>
    <s v="Home Exercise"/>
    <m/>
    <x v="0"/>
    <x v="1"/>
    <s v="Orlando-Daytona Beach"/>
    <s v=" Florida"/>
    <m/>
    <m/>
    <s v="nbcnews.com"/>
    <s v="Yahoo Exchange"/>
    <s v="Smartphone"/>
    <n v="14224"/>
    <n v="30"/>
    <n v="2549"/>
    <n v="11974"/>
    <n v="7"/>
    <n v="5637.3034969999999"/>
  </r>
  <r>
    <x v="3"/>
    <x v="29"/>
    <m/>
    <m/>
    <x v="1"/>
    <x v="1"/>
    <s v="Miami-Ft. Lauderdale"/>
    <s v=" Florida"/>
    <m/>
    <m/>
    <s v="miamiherald.com"/>
    <s v="Xandr - Monetize SSP (AppNexus)"/>
    <s v="Smartphone"/>
    <n v="7320"/>
    <n v="33"/>
    <n v="4020"/>
    <n v="6692"/>
    <n v="15"/>
    <n v="1730.37357"/>
  </r>
  <r>
    <x v="3"/>
    <x v="29"/>
    <s v="Fashion Designers and Collections"/>
    <m/>
    <x v="0"/>
    <x v="3"/>
    <s v="Miami-Ft. Lauderdale"/>
    <s v=" Florida"/>
    <m/>
    <m/>
    <s v="mail.yahoo.com"/>
    <s v="Google Ad Manager"/>
    <s v="Smartphone"/>
    <n v="23774"/>
    <n v="60"/>
    <n v="10735"/>
    <n v="21076"/>
    <n v="24"/>
    <n v="7657.1080339999999"/>
  </r>
  <r>
    <x v="3"/>
    <x v="27"/>
    <s v="Fitness Instruction and Personal Training"/>
    <m/>
    <x v="0"/>
    <x v="3"/>
    <s v="Chicago"/>
    <s v=" Illinois"/>
    <m/>
    <m/>
    <s v="accuweather.com"/>
    <s v="Magnite DV+"/>
    <s v="Apple PC"/>
    <n v="23156"/>
    <n v="73"/>
    <n v="4468"/>
    <n v="18821"/>
    <n v="15"/>
    <n v="6173.4128899999996"/>
  </r>
  <r>
    <x v="3"/>
    <x v="27"/>
    <m/>
    <m/>
    <x v="0"/>
    <x v="1"/>
    <s v="Chicago"/>
    <s v=" Illinois"/>
    <m/>
    <m/>
    <s v="mail.yahoo.com"/>
    <s v="BidSwitch"/>
    <s v="Smartphone"/>
    <n v="728841"/>
    <n v="2174"/>
    <n v="424340"/>
    <n v="634059"/>
    <n v="37"/>
    <n v="8054.1413679999996"/>
  </r>
  <r>
    <x v="3"/>
    <x v="27"/>
    <s v="Bodybuilding"/>
    <m/>
    <x v="0"/>
    <x v="1"/>
    <s v="West Palm Beach-Ft. Pierce"/>
    <s v=" Florida"/>
    <m/>
    <m/>
    <s v="pandora.com"/>
    <s v="Magnite DV+"/>
    <s v="Smartphone"/>
    <n v="57168"/>
    <n v="160"/>
    <n v="43261"/>
    <n v="55261"/>
    <n v="12"/>
    <n v="5841.1513599999998"/>
  </r>
  <r>
    <x v="3"/>
    <x v="29"/>
    <s v="Fashion Modeling"/>
    <m/>
    <x v="1"/>
    <x v="3"/>
    <s v="Chicago"/>
    <s v=" Illinois"/>
    <m/>
    <m/>
    <s v="forbes.com"/>
    <s v="Google Ad Manager"/>
    <s v="Smartphone"/>
    <n v="18095"/>
    <n v="50"/>
    <n v="10021"/>
    <n v="16755"/>
    <n v="24"/>
    <n v="6768.7587679999997"/>
  </r>
  <r>
    <x v="3"/>
    <x v="30"/>
    <m/>
    <m/>
    <x v="1"/>
    <x v="2"/>
    <s v="San Francisco"/>
    <s v=" California"/>
    <m/>
    <m/>
    <s v="msn.com"/>
    <s v="Google Ad Manager"/>
    <s v="Smartphone"/>
    <n v="999915"/>
    <n v="2748"/>
    <n v="618816"/>
    <n v="829942"/>
    <n v="23"/>
    <n v="7879.3167869999997"/>
  </r>
  <r>
    <x v="3"/>
    <x v="31"/>
    <m/>
    <m/>
    <x v="1"/>
    <x v="1"/>
    <s v="Nashville"/>
    <s v=" Tennessee"/>
    <m/>
    <m/>
    <s v="finance.yahoo.com"/>
    <s v="Google Ad Manager"/>
    <s v="Smartphone"/>
    <n v="22690"/>
    <n v="68"/>
    <n v="10212"/>
    <n v="19934"/>
    <n v="19"/>
    <n v="7210.686506"/>
  </r>
  <r>
    <x v="3"/>
    <x v="32"/>
    <m/>
    <m/>
    <x v="2"/>
    <x v="3"/>
    <s v="Chicago"/>
    <s v=" Illinois"/>
    <m/>
    <m/>
    <s v="mail.yahoo.com"/>
    <s v="Magnite DV+"/>
    <s v="Smartphone"/>
    <n v="1083050"/>
    <n v="3984"/>
    <n v="590156"/>
    <n v="953556"/>
    <n v="19"/>
    <n v="7495.749847"/>
  </r>
  <r>
    <x v="3"/>
    <x v="33"/>
    <s v="Massage Therapy"/>
    <m/>
    <x v="0"/>
    <x v="1"/>
    <s v="San Francisco"/>
    <s v=" California"/>
    <m/>
    <m/>
    <s v="msn.com"/>
    <s v="Google Ad Manager"/>
    <s v="Smartphone"/>
    <n v="109128"/>
    <n v="470"/>
    <n v="38487"/>
    <n v="90615"/>
    <n v="3"/>
    <n v="5153.1172040000001"/>
  </r>
  <r>
    <x v="3"/>
    <x v="33"/>
    <m/>
    <m/>
    <x v="1"/>
    <x v="2"/>
    <s v="Chicago"/>
    <s v=" Illinois"/>
    <m/>
    <m/>
    <s v="yahoo.com"/>
    <s v="PubMatic"/>
    <s v="Smartphone"/>
    <n v="888037"/>
    <n v="2841"/>
    <n v="370429"/>
    <n v="820340"/>
    <n v="42"/>
    <n v="8134.3505240000004"/>
  </r>
  <r>
    <x v="3"/>
    <x v="34"/>
    <m/>
    <m/>
    <x v="0"/>
    <x v="2"/>
    <s v="Chicago"/>
    <s v=" Illinois"/>
    <m/>
    <m/>
    <s v="yahoo.com"/>
    <s v="BidSwitch"/>
    <s v="Apple PC"/>
    <n v="7584"/>
    <n v="40"/>
    <n v="3093"/>
    <n v="6897"/>
    <n v="2"/>
    <n v="4467.0807580000001"/>
  </r>
  <r>
    <x v="3"/>
    <x v="35"/>
    <s v="Unwanted Body and Facial Hair Removal"/>
    <m/>
    <x v="0"/>
    <x v="0"/>
    <s v="New York City"/>
    <s v=" New York"/>
    <m/>
    <m/>
    <s v="cnn.com"/>
    <s v="Google Ad Manager"/>
    <s v="Smartphone"/>
    <n v="106392"/>
    <n v="299"/>
    <n v="39599"/>
    <n v="94941"/>
    <n v="3"/>
    <n v="6542.6124280000004"/>
  </r>
  <r>
    <x v="3"/>
    <x v="35"/>
    <s v="Make-Up and Cosmetics"/>
    <m/>
    <x v="0"/>
    <x v="1"/>
    <s v="San Francisco"/>
    <s v=" California"/>
    <m/>
    <m/>
    <s v="zdnet.com"/>
    <s v="BidSwitch"/>
    <s v="Apple PC"/>
    <n v="7585"/>
    <n v="13"/>
    <n v="5396"/>
    <n v="7417"/>
    <n v="24"/>
    <n v="7082.6538019999998"/>
  </r>
  <r>
    <x v="3"/>
    <x v="35"/>
    <s v="Hygiene and Toiletries"/>
    <m/>
    <x v="0"/>
    <x v="3"/>
    <s v="Chicago"/>
    <s v=" Illinois"/>
    <m/>
    <m/>
    <s v="the-sun.com"/>
    <s v="OpenX"/>
    <s v="Smartphone"/>
    <n v="247106"/>
    <n v="750"/>
    <n v="159618"/>
    <n v="233150"/>
    <n v="32"/>
    <n v="7629.94427"/>
  </r>
  <r>
    <x v="3"/>
    <x v="27"/>
    <s v="Yoga and Pilates"/>
    <m/>
    <x v="0"/>
    <x v="1"/>
    <s v="New York City"/>
    <s v=" New York"/>
    <m/>
    <m/>
    <s v="fandomwire.com"/>
    <s v="PubMatic"/>
    <s v="Windows PC"/>
    <n v="95644"/>
    <n v="240"/>
    <n v="13294"/>
    <n v="86775"/>
    <n v="9"/>
    <n v="5587.7636750000001"/>
  </r>
  <r>
    <x v="3"/>
    <x v="35"/>
    <s v="Skin and Nail Care"/>
    <m/>
    <x v="2"/>
    <x v="1"/>
    <s v="Los Angeles"/>
    <s v=" California"/>
    <m/>
    <m/>
    <s v="apnews.com"/>
    <s v="BidSwitch"/>
    <s v="Smartphone"/>
    <n v="100800"/>
    <n v="185"/>
    <n v="14473"/>
    <n v="85424"/>
    <n v="10"/>
    <n v="7004.7304830000003"/>
  </r>
  <r>
    <x v="4"/>
    <x v="36"/>
    <s v="Disney Buyer Propensity"/>
    <m/>
    <x v="0"/>
    <x v="0"/>
    <s v="New York City"/>
    <s v=" New York"/>
    <m/>
    <m/>
    <s v="nbcchicago.com"/>
    <s v="Google Ad Manager"/>
    <s v="Apple PC"/>
    <n v="50517"/>
    <n v="270"/>
    <n v="17179"/>
    <n v="48389"/>
    <n v="2"/>
    <n v="1718.4710769999999"/>
  </r>
  <r>
    <x v="4"/>
    <x v="37"/>
    <s v="Regal Cinemas Buyer Propensity"/>
    <m/>
    <x v="1"/>
    <x v="1"/>
    <s v="Jacksonville"/>
    <s v=" Florida"/>
    <m/>
    <m/>
    <s v="finance.yahoo.com"/>
    <s v="Google Ad Manager"/>
    <s v="Smartphone"/>
    <n v="52582"/>
    <n v="140"/>
    <n v="22065"/>
    <n v="46126"/>
    <n v="10"/>
    <n v="1631.741712"/>
  </r>
  <r>
    <x v="4"/>
    <x v="37"/>
    <s v="pokerstars.net Buyer Propensity"/>
    <m/>
    <x v="0"/>
    <x v="1"/>
    <s v="Chicago"/>
    <s v=" Illinois"/>
    <m/>
    <m/>
    <s v="yellowpages.com"/>
    <s v="Index Exchange"/>
    <s v="Smartphone"/>
    <n v="61227"/>
    <n v="174"/>
    <n v="10434"/>
    <n v="53104"/>
    <n v="8"/>
    <n v="1919.553678"/>
  </r>
  <r>
    <x v="4"/>
    <x v="38"/>
    <s v="RadioShack Buyer Propensity"/>
    <m/>
    <x v="0"/>
    <x v="1"/>
    <s v="Nashville"/>
    <s v=" Tennessee"/>
    <m/>
    <m/>
    <s v="msn.com"/>
    <s v="Google Ad Manager"/>
    <s v="Windows PC"/>
    <n v="60412"/>
    <n v="169"/>
    <n v="33457"/>
    <n v="52172"/>
    <n v="24"/>
    <n v="1679.5727079999999"/>
  </r>
  <r>
    <x v="4"/>
    <x v="38"/>
    <s v="Crutchfield Buyer Propensity"/>
    <m/>
    <x v="0"/>
    <x v="2"/>
    <s v="Los Angeles"/>
    <s v=" California"/>
    <m/>
    <m/>
    <s v="signin.ebay.com"/>
    <s v="TripleLift"/>
    <s v="Smartphone"/>
    <n v="8437"/>
    <n v="63"/>
    <n v="5271"/>
    <n v="7065"/>
    <n v="2"/>
    <n v="1880.5331679999999"/>
  </r>
  <r>
    <x v="4"/>
    <x v="39"/>
    <s v="Page Plus Cellular Buyer Propensity"/>
    <m/>
    <x v="1"/>
    <x v="2"/>
    <s v="Ft. Wayne"/>
    <s v=" Indiana"/>
    <m/>
    <m/>
    <s v="merriam-webster.com"/>
    <s v="Yieldmo"/>
    <s v="Smartphone"/>
    <n v="12148"/>
    <n v="40"/>
    <n v="7950"/>
    <n v="11360"/>
    <n v="9"/>
    <n v="1936.008049"/>
  </r>
  <r>
    <x v="4"/>
    <x v="37"/>
    <s v="wwe.com Buyer Propensity"/>
    <m/>
    <x v="0"/>
    <x v="3"/>
    <s v="Ft. Myers-Naples"/>
    <s v=" Florida"/>
    <m/>
    <m/>
    <s v="allrecipes.com"/>
    <s v="Google Ad Manager"/>
    <s v="Windows PC"/>
    <n v="20348"/>
    <n v="101"/>
    <n v="14945"/>
    <n v="19548"/>
    <n v="6"/>
    <n v="1596.552373"/>
  </r>
  <r>
    <x v="4"/>
    <x v="16"/>
    <s v="Booking.com Buyer Propensity"/>
    <m/>
    <x v="1"/>
    <x v="0"/>
    <s v="Miami-Ft. Lauderdale"/>
    <s v=" Florida"/>
    <m/>
    <m/>
    <s v="fandom.com"/>
    <s v="Google Ad Manager"/>
    <s v="Smartphone"/>
    <n v="22259"/>
    <n v="120"/>
    <n v="12405"/>
    <n v="17609"/>
    <n v="14"/>
    <n v="1611.340211"/>
  </r>
  <r>
    <x v="4"/>
    <x v="40"/>
    <s v="Seamless Buyer Propensity"/>
    <m/>
    <x v="0"/>
    <x v="3"/>
    <s v="Miami-Ft. Lauderdale"/>
    <s v=" Florida"/>
    <m/>
    <m/>
    <s v="yahoo.com"/>
    <s v="BidSwitch"/>
    <s v="Smartphone"/>
    <n v="335664"/>
    <n v="852"/>
    <n v="148742"/>
    <n v="313071"/>
    <n v="25"/>
    <n v="1542.5002159999999"/>
  </r>
  <r>
    <x v="4"/>
    <x v="41"/>
    <s v="Lady Foot Locker Buyer Propensity"/>
    <m/>
    <x v="0"/>
    <x v="0"/>
    <s v="Shreveport"/>
    <s v=" Louisiana"/>
    <m/>
    <m/>
    <s v="thesaurus.com"/>
    <s v="PubMatic"/>
    <s v="Windows PC"/>
    <n v="57257"/>
    <n v="167"/>
    <n v="3797"/>
    <n v="51520"/>
    <n v="1"/>
    <n v="1841.3581260000001"/>
  </r>
  <r>
    <x v="4"/>
    <x v="37"/>
    <s v="Sony Network Entertainment International Buyer Propensity"/>
    <m/>
    <x v="0"/>
    <x v="1"/>
    <s v="West Palm Beach-Ft. Pierce"/>
    <s v=" Florida"/>
    <m/>
    <m/>
    <s v="mail.aol.com"/>
    <s v="PubMatic"/>
    <s v="Windows PC"/>
    <n v="32173"/>
    <n v="104"/>
    <n v="24427"/>
    <n v="30084"/>
    <n v="11"/>
    <n v="1498.2915399999999"/>
  </r>
  <r>
    <x v="4"/>
    <x v="16"/>
    <s v="Hotel Tonight Buyer Propensity"/>
    <m/>
    <x v="0"/>
    <x v="1"/>
    <s v="Jacksonville"/>
    <s v=" Florida"/>
    <m/>
    <m/>
    <s v="biblegateway.com"/>
    <s v="Magnite DV+"/>
    <s v="Smartphone"/>
    <n v="188170"/>
    <n v="490"/>
    <n v="155266"/>
    <n v="176562"/>
    <n v="6"/>
    <n v="1599.7150690000001"/>
  </r>
  <r>
    <x v="4"/>
    <x v="41"/>
    <s v="The Men's Wearhouse Buyer Propensity"/>
    <m/>
    <x v="0"/>
    <x v="3"/>
    <s v="Ft. Myers-Naples"/>
    <s v=" Florida"/>
    <m/>
    <m/>
    <s v="yahoo.com"/>
    <s v="BidSwitch"/>
    <s v="Windows PC"/>
    <n v="59296"/>
    <n v="170"/>
    <n v="25482"/>
    <n v="54149"/>
    <n v="4"/>
    <n v="1568.7152590000001"/>
  </r>
  <r>
    <x v="4"/>
    <x v="37"/>
    <s v="Steam Community Buyer Propensity"/>
    <m/>
    <x v="1"/>
    <x v="2"/>
    <s v="San Francisco"/>
    <s v=" California"/>
    <m/>
    <m/>
    <s v="mail.yahoo.com"/>
    <s v="Google Ad Manager"/>
    <s v="Smartphone"/>
    <n v="780475"/>
    <n v="2186"/>
    <n v="453974"/>
    <n v="691696"/>
    <n v="11"/>
    <n v="1726.2494569999999"/>
  </r>
  <r>
    <x v="4"/>
    <x v="16"/>
    <s v="MGM Resorts International Buyer Propensity"/>
    <m/>
    <x v="2"/>
    <x v="0"/>
    <s v="New York City"/>
    <s v=" New York"/>
    <m/>
    <m/>
    <s v="w3schools.com"/>
    <s v="BidSwitch"/>
    <s v="Smartphone"/>
    <n v="32400"/>
    <n v="87"/>
    <n v="5152"/>
    <n v="30383"/>
    <n v="9"/>
    <n v="1522.352623"/>
  </r>
  <r>
    <x v="4"/>
    <x v="16"/>
    <s v="American Airlines Buyer Propensity"/>
    <m/>
    <x v="0"/>
    <x v="0"/>
    <s v="New York City"/>
    <s v=" New York"/>
    <m/>
    <m/>
    <s v="classmates.com"/>
    <s v="PulsePoint"/>
    <s v="Apple PC"/>
    <n v="12176"/>
    <n v="10"/>
    <n v="5460"/>
    <n v="11154"/>
    <n v="10"/>
    <n v="1816.030806"/>
  </r>
  <r>
    <x v="4"/>
    <x v="42"/>
    <s v="Pottery Barn Kids Buyer Propensity"/>
    <m/>
    <x v="0"/>
    <x v="3"/>
    <s v="Miami-Ft. Lauderdale"/>
    <s v=" Florida"/>
    <m/>
    <m/>
    <s v="investmentguru.com"/>
    <s v="OpenX"/>
    <s v="Windows PC"/>
    <n v="31813"/>
    <n v="84"/>
    <n v="14149"/>
    <n v="21281"/>
    <n v="13"/>
    <n v="2060.9938820000002"/>
  </r>
  <r>
    <x v="4"/>
    <x v="43"/>
    <s v="Tirerack.com Buyer Propensity"/>
    <m/>
    <x v="0"/>
    <x v="2"/>
    <s v="Nashville"/>
    <s v=" Tennessee"/>
    <m/>
    <m/>
    <s v="mail.yahoo.com"/>
    <s v="Google Ad Manager"/>
    <s v="Smartphone"/>
    <n v="482834"/>
    <n v="1269"/>
    <n v="292059"/>
    <n v="428761"/>
    <n v="7"/>
    <n v="1594.463397"/>
  </r>
  <r>
    <x v="4"/>
    <x v="41"/>
    <s v="Shoebuy.com Buyer Propensity"/>
    <m/>
    <x v="1"/>
    <x v="1"/>
    <s v="Tampa-St Petersburg (Sarasota)"/>
    <s v=" Florida"/>
    <m/>
    <m/>
    <s v="realtor.com"/>
    <s v="BidSwitch"/>
    <s v="Smartphone"/>
    <n v="43666"/>
    <n v="133"/>
    <n v="18513"/>
    <n v="40506"/>
    <n v="18"/>
    <n v="1980.393834"/>
  </r>
  <r>
    <x v="4"/>
    <x v="41"/>
    <s v="Bare Necessities Buyer Propensity"/>
    <m/>
    <x v="1"/>
    <x v="0"/>
    <s v="San Francisco"/>
    <s v=" California"/>
    <m/>
    <m/>
    <s v="mail.aol.com"/>
    <s v="BidSwitch"/>
    <s v="Smartphone"/>
    <n v="186702"/>
    <n v="370"/>
    <n v="132038"/>
    <n v="167406"/>
    <n v="4"/>
    <n v="1568.7360200000001"/>
  </r>
  <r>
    <x v="4"/>
    <x v="44"/>
    <s v="Beauty and Cosmetics"/>
    <s v="SkinCareRx Buyer Propensity"/>
    <x v="0"/>
    <x v="1"/>
    <s v="Nashville"/>
    <s v=" Tennessee"/>
    <m/>
    <m/>
    <s v="ebay.com"/>
    <s v="Yahoo Exchange"/>
    <s v="Smartphone"/>
    <n v="435848"/>
    <n v="1058"/>
    <n v="274912"/>
    <n v="415601"/>
    <n v="15"/>
    <n v="1554.439959"/>
  </r>
  <r>
    <x v="4"/>
    <x v="45"/>
    <s v="Postmates Buyer Propensity"/>
    <m/>
    <x v="0"/>
    <x v="3"/>
    <s v="Mobile"/>
    <s v=" Alabama"/>
    <s v="Pensacola"/>
    <s v=" Florida"/>
    <s v="pandora.com"/>
    <s v="Google Ad Manager"/>
    <s v="Smartphone"/>
    <n v="13202"/>
    <n v="101"/>
    <n v="10871"/>
    <n v="12885"/>
    <n v="3"/>
    <n v="1699.0608090000001"/>
  </r>
  <r>
    <x v="4"/>
    <x v="41"/>
    <s v="TOMS Buyer Propensity"/>
    <m/>
    <x v="0"/>
    <x v="1"/>
    <s v="New York City"/>
    <s v=" New York"/>
    <m/>
    <m/>
    <s v="outlook.live.com"/>
    <s v="Google Ad Manager"/>
    <s v="Apple PC"/>
    <n v="50183"/>
    <n v="199"/>
    <n v="41506"/>
    <n v="46163"/>
    <n v="15"/>
    <n v="1628.8828129999999"/>
  </r>
  <r>
    <x v="4"/>
    <x v="43"/>
    <s v="Ford Credit Buyer Propensity"/>
    <m/>
    <x v="1"/>
    <x v="0"/>
    <s v="Jacksonville"/>
    <s v=" Florida"/>
    <m/>
    <m/>
    <s v="zillow.com"/>
    <s v="Google Ad Manager"/>
    <s v="Smartphone"/>
    <n v="304377"/>
    <n v="801"/>
    <n v="27519"/>
    <n v="270098"/>
    <n v="63"/>
    <n v="1595.48714"/>
  </r>
  <r>
    <x v="4"/>
    <x v="44"/>
    <s v="Beauty and Cosmetics"/>
    <s v="Mary Kay Buyer Propensity"/>
    <x v="1"/>
    <x v="3"/>
    <s v="Chicago"/>
    <s v=" Illinois"/>
    <m/>
    <m/>
    <s v="ebay.com"/>
    <s v="Magnite DV+"/>
    <s v="Smartphone"/>
    <n v="12088"/>
    <n v="88"/>
    <n v="1124"/>
    <n v="10003"/>
    <n v="2"/>
    <n v="1500.0261519999999"/>
  </r>
  <r>
    <x v="4"/>
    <x v="44"/>
    <s v="Beauty and Cosmetics"/>
    <s v="Bare Escentuals Buyer Propensity"/>
    <x v="0"/>
    <x v="1"/>
    <s v="Ft. Wayne"/>
    <s v=" Indiana"/>
    <m/>
    <m/>
    <s v="dailymail.co.uk/tvshowbiz"/>
    <s v="PubMatic"/>
    <s v="Smartphone"/>
    <n v="14922"/>
    <n v="99"/>
    <n v="10713"/>
    <n v="13992"/>
    <n v="5"/>
    <n v="1578.876432"/>
  </r>
  <r>
    <x v="4"/>
    <x v="41"/>
    <s v="JCPenney Buyer Propensity"/>
    <m/>
    <x v="0"/>
    <x v="1"/>
    <s v="Los Angeles"/>
    <s v=" California"/>
    <m/>
    <m/>
    <s v="greatschools.org"/>
    <s v="BidSwitch"/>
    <s v="Apple PC"/>
    <n v="12001"/>
    <n v="40"/>
    <n v="7173"/>
    <n v="11432"/>
    <n v="2"/>
    <n v="1659.9327129999999"/>
  </r>
  <r>
    <x v="4"/>
    <x v="44"/>
    <s v="Beauty and Cosmetics"/>
    <s v="ULTA Buyer Propensity"/>
    <x v="1"/>
    <x v="3"/>
    <s v="Toledo"/>
    <s v=" Ohio"/>
    <m/>
    <m/>
    <s v="mail.aol.com"/>
    <s v="Google Ad Manager"/>
    <s v="Smartphone"/>
    <n v="198754"/>
    <n v="480"/>
    <n v="137649"/>
    <n v="178415"/>
    <n v="4"/>
    <n v="1803.0814969999999"/>
  </r>
  <r>
    <x v="4"/>
    <x v="16"/>
    <s v="Sandals Resorts Buyer Propensity"/>
    <m/>
    <x v="2"/>
    <x v="2"/>
    <s v="Miami-Ft. Lauderdale"/>
    <s v=" Florida"/>
    <m/>
    <m/>
    <s v="autotrader.com"/>
    <s v="Google Ad Manager"/>
    <s v="Smartphone"/>
    <n v="53561"/>
    <n v="147"/>
    <n v="37063"/>
    <n v="51480"/>
    <n v="14"/>
    <n v="2039.3550600000001"/>
  </r>
  <r>
    <x v="4"/>
    <x v="46"/>
    <m/>
    <m/>
    <x v="1"/>
    <x v="3"/>
    <s v="Miami-Ft. Lauderdale"/>
    <s v=" Florida"/>
    <m/>
    <m/>
    <s v="outlook.live.com"/>
    <s v="Magnite DV+"/>
    <s v="Smartphone"/>
    <n v="8278"/>
    <n v="40"/>
    <n v="6758"/>
    <n v="7537"/>
    <n v="1"/>
    <n v="1526.296619"/>
  </r>
  <r>
    <x v="4"/>
    <x v="47"/>
    <m/>
    <m/>
    <x v="1"/>
    <x v="2"/>
    <s v="Chicago"/>
    <s v=" Illinois"/>
    <m/>
    <m/>
    <s v="weather.com"/>
    <s v="Index Exchange"/>
    <s v="Smartphone"/>
    <n v="194833"/>
    <n v="499"/>
    <n v="29091"/>
    <n v="143813"/>
    <n v="4"/>
    <n v="1586.314519"/>
  </r>
  <r>
    <x v="4"/>
    <x v="44"/>
    <s v="Beauty and Cosmetics"/>
    <s v="Beachbody Buyer Propensity"/>
    <x v="1"/>
    <x v="0"/>
    <s v="Chicago"/>
    <s v=" Illinois"/>
    <m/>
    <m/>
    <s v="nypost.com"/>
    <s v="Google Ad Manager"/>
    <s v="Smartphone"/>
    <n v="152881"/>
    <n v="426"/>
    <n v="94895"/>
    <n v="145113"/>
    <n v="11"/>
    <n v="1496.6685239999999"/>
  </r>
  <r>
    <x v="4"/>
    <x v="16"/>
    <s v="Choice Hotels Buyer Propensity"/>
    <m/>
    <x v="0"/>
    <x v="1"/>
    <s v="Chicago"/>
    <s v=" Illinois"/>
    <m/>
    <m/>
    <s v="biblegateway.com"/>
    <s v="Magnite DV+"/>
    <s v="Smartphone"/>
    <n v="210096"/>
    <n v="590"/>
    <n v="90928"/>
    <n v="184823"/>
    <n v="4"/>
    <n v="2027.431388"/>
  </r>
  <r>
    <x v="5"/>
    <x v="48"/>
    <m/>
    <m/>
    <x v="1"/>
    <x v="3"/>
    <s v="Grand Rapids-Kalamazoo"/>
    <s v=" Michigan"/>
    <m/>
    <m/>
    <s v="travelerdreams.com"/>
    <s v="BidSwitch"/>
    <s v="Smartphone"/>
    <n v="10707"/>
    <n v="57"/>
    <n v="6300"/>
    <n v="10089"/>
    <n v="3"/>
    <n v="1603.8592639999999"/>
  </r>
  <r>
    <x v="6"/>
    <x v="49"/>
    <m/>
    <m/>
    <x v="1"/>
    <x v="0"/>
    <s v="San Francisco"/>
    <s v=" California"/>
    <m/>
    <m/>
    <s v="drugs.com"/>
    <s v="Magnite DV+"/>
    <s v="Smartphone"/>
    <n v="12220"/>
    <n v="54"/>
    <n v="7133"/>
    <n v="11331"/>
    <n v="3"/>
    <n v="1478.392247"/>
  </r>
  <r>
    <x v="7"/>
    <x v="50"/>
    <m/>
    <m/>
    <x v="0"/>
    <x v="1"/>
    <s v="West Palm Beach-Ft. Pierce"/>
    <s v=" Florida"/>
    <m/>
    <m/>
    <s v="boxrox.com"/>
    <s v="Smart RTB+ (Smartadserver)"/>
    <s v="Smartphone"/>
    <n v="35034"/>
    <n v="145"/>
    <n v="13904"/>
    <n v="34123"/>
    <n v="3"/>
    <n v="2141.4693459999999"/>
  </r>
  <r>
    <x v="8"/>
    <x v="51"/>
    <s v="Male Head of Household"/>
    <m/>
    <x v="1"/>
    <x v="3"/>
    <s v="Miami-Ft. Lauderdale"/>
    <s v=" Florida"/>
    <m/>
    <m/>
    <s v="slickdeals.net"/>
    <s v="BidSwitch"/>
    <s v="Smartphone"/>
    <n v="12510"/>
    <n v="74"/>
    <n v="4391"/>
    <n v="9098"/>
    <n v="6"/>
    <n v="1524.470523"/>
  </r>
  <r>
    <x v="8"/>
    <x v="52"/>
    <m/>
    <m/>
    <x v="2"/>
    <x v="1"/>
    <s v="Nashville"/>
    <s v=" Tennessee"/>
    <m/>
    <m/>
    <s v="thesaurus.com"/>
    <s v="Magnite DV+"/>
    <s v="Smartphone"/>
    <n v="20417"/>
    <n v="86"/>
    <n v="1016"/>
    <n v="13468"/>
    <n v="5"/>
    <n v="1805.6005130000001"/>
  </r>
  <r>
    <x v="8"/>
    <x v="53"/>
    <s v="Non-Hispanic"/>
    <m/>
    <x v="0"/>
    <x v="0"/>
    <s v="Nashville"/>
    <s v=" Tennessee"/>
    <m/>
    <m/>
    <s v="wikihow.com"/>
    <s v="BidSwitch"/>
    <s v="Smartphone"/>
    <n v="37355"/>
    <n v="145"/>
    <n v="17138"/>
    <n v="35689"/>
    <n v="3"/>
    <n v="1577.366086"/>
  </r>
  <r>
    <x v="8"/>
    <x v="54"/>
    <s v="65+"/>
    <m/>
    <x v="1"/>
    <x v="3"/>
    <s v="Nashville"/>
    <s v=" Tennessee"/>
    <m/>
    <m/>
    <s v="msn.com"/>
    <s v="Google Ad Manager"/>
    <s v="Smartphone"/>
    <n v="58738"/>
    <n v="165"/>
    <n v="33538"/>
    <n v="47535"/>
    <n v="14"/>
    <n v="2801.584386"/>
  </r>
  <r>
    <x v="8"/>
    <x v="51"/>
    <s v="Households with 3 Adults"/>
    <m/>
    <x v="0"/>
    <x v="1"/>
    <s v="San Francisco"/>
    <s v=" California"/>
    <m/>
    <m/>
    <s v="mail.yahoo.com"/>
    <s v="Google Ad Manager"/>
    <s v="Windows PC"/>
    <n v="32436"/>
    <n v="56"/>
    <n v="17531"/>
    <n v="28429"/>
    <n v="6"/>
    <n v="1470.670167"/>
  </r>
  <r>
    <x v="8"/>
    <x v="51"/>
    <s v="Households with 2 Adults"/>
    <m/>
    <x v="1"/>
    <x v="1"/>
    <s v="Lafayette"/>
    <s v=" Indiana"/>
    <m/>
    <m/>
    <s v="yahoo.com"/>
    <s v="BidSwitch"/>
    <s v="Smartphone"/>
    <n v="507889"/>
    <n v="823"/>
    <n v="176329"/>
    <n v="450103"/>
    <n v="78"/>
    <n v="1440.7453620000001"/>
  </r>
  <r>
    <x v="8"/>
    <x v="51"/>
    <s v="Female Head of Household"/>
    <m/>
    <x v="0"/>
    <x v="0"/>
    <s v="Nashville"/>
    <s v=" Tennessee"/>
    <m/>
    <m/>
    <s v="att.yahoo.com"/>
    <s v="Google Ad Manager"/>
    <s v="Smartphone"/>
    <n v="14984"/>
    <n v="63"/>
    <n v="9614"/>
    <n v="14086"/>
    <n v="3"/>
    <n v="1505.0096349999999"/>
  </r>
  <r>
    <x v="8"/>
    <x v="54"/>
    <s v="Specialty Age Range"/>
    <s v="21+"/>
    <x v="0"/>
    <x v="0"/>
    <s v="Chicago"/>
    <s v=" Illinois"/>
    <m/>
    <m/>
    <s v="weather.com"/>
    <s v="PubMatic"/>
    <s v="Smartphone"/>
    <n v="180353"/>
    <n v="471"/>
    <n v="67637"/>
    <n v="145416"/>
    <n v="8"/>
    <n v="1720.881985"/>
  </r>
  <r>
    <x v="8"/>
    <x v="54"/>
    <s v="55-64"/>
    <m/>
    <x v="0"/>
    <x v="2"/>
    <s v="Grand Rapids-Kalamazoo"/>
    <s v=" Michigan"/>
    <m/>
    <m/>
    <s v="ajc.com"/>
    <s v="Magnite DV+"/>
    <s v="Smartphone"/>
    <n v="14136"/>
    <n v="88"/>
    <n v="4683"/>
    <n v="13273"/>
    <n v="3"/>
    <n v="1476.5368410000001"/>
  </r>
  <r>
    <x v="8"/>
    <x v="53"/>
    <s v="Individual"/>
    <s v="Non-Hispanic"/>
    <x v="0"/>
    <x v="0"/>
    <s v="New York City"/>
    <s v=" New York"/>
    <m/>
    <m/>
    <s v="houseplans.net"/>
    <s v="BidSwitch"/>
    <s v="Smartphone"/>
    <n v="7356"/>
    <n v="10"/>
    <n v="1588"/>
    <n v="7088"/>
    <n v="1"/>
    <n v="1730.37357"/>
  </r>
  <r>
    <x v="9"/>
    <x v="55"/>
    <s v="Lowest Education Achievement"/>
    <m/>
    <x v="1"/>
    <x v="1"/>
    <s v="Miami-Ft. Lauderdale"/>
    <s v=" Florida"/>
    <m/>
    <m/>
    <s v="essentiallysports.com"/>
    <s v="BidSwitch"/>
    <s v="Smartphone"/>
    <n v="82916"/>
    <n v="199"/>
    <n v="24951"/>
    <n v="77333"/>
    <n v="12"/>
    <n v="1584.8212470000001"/>
  </r>
  <r>
    <x v="9"/>
    <x v="56"/>
    <s v="Rent Value"/>
    <s v="Lowest Rent Value"/>
    <x v="1"/>
    <x v="1"/>
    <s v="Charleston"/>
    <s v=" South Carolina"/>
    <m/>
    <m/>
    <s v="outlook.live.com"/>
    <s v="Google Ad Manager"/>
    <s v="Smartphone"/>
    <n v="55274"/>
    <n v="219"/>
    <n v="47583"/>
    <n v="51275"/>
    <n v="3"/>
    <n v="1532.7579049999999"/>
  </r>
  <r>
    <x v="9"/>
    <x v="55"/>
    <s v="High Education Achievement"/>
    <m/>
    <x v="0"/>
    <x v="2"/>
    <s v="Los Angeles"/>
    <s v=" California"/>
    <m/>
    <m/>
    <s v="yahoo.com"/>
    <s v="Google Ad Manager"/>
    <s v="Windows PC"/>
    <n v="74164"/>
    <n v="241"/>
    <n v="25104"/>
    <n v="61242"/>
    <n v="19"/>
    <n v="1902.3014430000001"/>
  </r>
  <r>
    <x v="9"/>
    <x v="56"/>
    <s v="Rent Value"/>
    <s v="Highest Rent Value"/>
    <x v="0"/>
    <x v="0"/>
    <s v="Grand Rapids-Kalamazoo"/>
    <s v=" Michigan"/>
    <m/>
    <m/>
    <s v="omnicalculator.com"/>
    <s v="Google Ad Manager"/>
    <s v="Smartphone"/>
    <n v="11214"/>
    <n v="49"/>
    <n v="5523"/>
    <n v="10267"/>
    <n v="2"/>
    <n v="1554.3892149999999"/>
  </r>
  <r>
    <x v="10"/>
    <x v="57"/>
    <s v="yes"/>
    <m/>
    <x v="0"/>
    <x v="3"/>
    <s v="Knoxville"/>
    <s v=" Tennessee"/>
    <m/>
    <m/>
    <s v="medicalnewstoday.com"/>
    <s v="BidSwitch"/>
    <s v="Apple PC"/>
    <n v="17645"/>
    <n v="40"/>
    <n v="9673"/>
    <n v="15088"/>
    <n v="15"/>
    <n v="1591.772246"/>
  </r>
  <r>
    <x v="10"/>
    <x v="58"/>
    <s v="iOS (Apple)"/>
    <s v="yes"/>
    <x v="1"/>
    <x v="3"/>
    <s v="Jacksonville"/>
    <s v=" Florida"/>
    <m/>
    <m/>
    <s v="people.com"/>
    <s v="Yieldmo"/>
    <s v="Smartphone"/>
    <n v="22175"/>
    <n v="140"/>
    <n v="14910"/>
    <n v="20074"/>
    <n v="6"/>
    <n v="1909.2774830000001"/>
  </r>
  <r>
    <x v="10"/>
    <x v="58"/>
    <s v="ZTE"/>
    <m/>
    <x v="0"/>
    <x v="1"/>
    <s v="Jacksonville"/>
    <s v=" Florida"/>
    <m/>
    <m/>
    <s v="ebay.com"/>
    <s v="BidSwitch"/>
    <s v="Windows PC"/>
    <n v="74436"/>
    <n v="175"/>
    <n v="30158"/>
    <n v="69150"/>
    <n v="21"/>
    <n v="1558.5491380000001"/>
  </r>
  <r>
    <x v="10"/>
    <x v="58"/>
    <s v="Vivo"/>
    <m/>
    <x v="2"/>
    <x v="0"/>
    <s v="Los Angeles"/>
    <s v=" California"/>
    <m/>
    <m/>
    <s v="jdpower.com"/>
    <s v="Google Ad Manager"/>
    <s v="Smartphone"/>
    <n v="9178"/>
    <n v="25"/>
    <n v="4644"/>
    <n v="8462"/>
    <n v="2"/>
    <n v="1503.205183"/>
  </r>
  <r>
    <x v="10"/>
    <x v="58"/>
    <s v="iOS (Apple)"/>
    <s v="iPhone X"/>
    <x v="0"/>
    <x v="3"/>
    <s v="Orlando-Daytona Beach"/>
    <s v=" Florida"/>
    <m/>
    <m/>
    <s v="finance.yahoo.com"/>
    <s v="Taboola"/>
    <s v="Windows PC"/>
    <n v="74426"/>
    <n v="150"/>
    <n v="39257"/>
    <n v="67151"/>
    <n v="15"/>
    <n v="1519.596552"/>
  </r>
  <r>
    <x v="10"/>
    <x v="58"/>
    <s v="Huawei"/>
    <m/>
    <x v="0"/>
    <x v="3"/>
    <s v="Tampa-St Petersburg (Sarasota)"/>
    <s v=" Florida"/>
    <m/>
    <m/>
    <s v="dailymail.co.uk/tvshowbiz"/>
    <s v="Google Ad Manager"/>
    <s v="Smartphone"/>
    <n v="7427"/>
    <n v="0"/>
    <n v="4752"/>
    <n v="6566"/>
    <n v="1"/>
    <n v="1504.784161"/>
  </r>
  <r>
    <x v="10"/>
    <x v="58"/>
    <s v="iOS (Apple)"/>
    <s v="iPhone 11"/>
    <x v="1"/>
    <x v="1"/>
    <s v="New York City"/>
    <s v=" New York"/>
    <m/>
    <m/>
    <s v="finance.yahoo.com"/>
    <s v="Google Ad Manager"/>
    <s v="Smartphone"/>
    <n v="22163"/>
    <n v="55"/>
    <n v="2368"/>
    <n v="8130"/>
    <n v="3"/>
    <n v="1493.7793280000001"/>
  </r>
  <r>
    <x v="11"/>
    <x v="59"/>
    <m/>
    <m/>
    <x v="0"/>
    <x v="1"/>
    <s v="Jacksonville"/>
    <s v=" Florida"/>
    <m/>
    <m/>
    <s v="whatismyipaddress.com"/>
    <s v="Magnite DV+"/>
    <s v="Smartphone"/>
    <n v="8545"/>
    <n v="20"/>
    <n v="3454"/>
    <n v="5510"/>
    <n v="2"/>
    <n v="2181.2479490000001"/>
  </r>
  <r>
    <x v="12"/>
    <x v="60"/>
    <s v="Investing"/>
    <m/>
    <x v="1"/>
    <x v="0"/>
    <s v="Miami-Ft. Lauderdale"/>
    <s v=" Florida"/>
    <m/>
    <m/>
    <s v="msn.com"/>
    <s v="Google Ad Manager"/>
    <s v="Smartphone"/>
    <n v="1222302"/>
    <n v="3142"/>
    <n v="553773"/>
    <n v="1120128"/>
    <n v="42"/>
    <n v="7880.7704059999996"/>
  </r>
  <r>
    <x v="12"/>
    <x v="60"/>
    <s v="Commodities and Futures Trading"/>
    <m/>
    <x v="0"/>
    <x v="3"/>
    <s v="Los Angeles"/>
    <s v=" California"/>
    <m/>
    <m/>
    <s v="nbcmiami.com"/>
    <s v="Google Ad Manager"/>
    <s v="Smartphone"/>
    <n v="11476"/>
    <n v="45"/>
    <n v="4963"/>
    <n v="10991"/>
    <n v="8"/>
    <n v="7227.4173490000003"/>
  </r>
  <r>
    <x v="12"/>
    <x v="60"/>
    <s v="Brokerages and Day Trading"/>
    <m/>
    <x v="0"/>
    <x v="1"/>
    <s v="Memphis"/>
    <s v=" Tennessee"/>
    <m/>
    <m/>
    <s v="newsmemory.com"/>
    <s v="Google Ad Manager"/>
    <s v="Apple PC"/>
    <n v="7695"/>
    <n v="20"/>
    <n v="3481"/>
    <n v="7050"/>
    <n v="14"/>
    <n v="6727.4404990000003"/>
  </r>
  <r>
    <x v="12"/>
    <x v="61"/>
    <s v="Government Grants"/>
    <m/>
    <x v="0"/>
    <x v="0"/>
    <s v="Jacksonville"/>
    <s v=" Florida"/>
    <m/>
    <m/>
    <s v="signupgenius.com"/>
    <s v="BidSwitch"/>
    <s v="Smartphone"/>
    <n v="14350"/>
    <n v="60"/>
    <n v="8228"/>
    <n v="13396"/>
    <n v="6"/>
    <n v="6114.034936"/>
  </r>
  <r>
    <x v="12"/>
    <x v="62"/>
    <s v="Inheritance and Estate Planning"/>
    <m/>
    <x v="1"/>
    <x v="2"/>
    <s v="Chicago"/>
    <s v=" Illinois"/>
    <m/>
    <m/>
    <s v="investing.com"/>
    <s v="Index Exchange"/>
    <s v="Smartphone"/>
    <n v="115673"/>
    <n v="410"/>
    <n v="52475"/>
    <n v="97166"/>
    <n v="22"/>
    <n v="5045.9379300000001"/>
  </r>
  <r>
    <x v="12"/>
    <x v="63"/>
    <s v="Insurance"/>
    <m/>
    <x v="1"/>
    <x v="3"/>
    <s v="Chicago"/>
    <s v=" Illinois"/>
    <m/>
    <m/>
    <s v="foxnews.com"/>
    <s v="Magnite DV+"/>
    <s v="Smartphone"/>
    <n v="122086"/>
    <n v="299"/>
    <n v="82898"/>
    <n v="116235"/>
    <n v="16"/>
    <n v="7663.6952940000001"/>
  </r>
  <r>
    <x v="12"/>
    <x v="63"/>
    <s v="Life Insurance"/>
    <m/>
    <x v="1"/>
    <x v="0"/>
    <s v="Los Angeles"/>
    <s v=" California"/>
    <m/>
    <m/>
    <s v="drugs.com"/>
    <s v="Magnite DV+"/>
    <s v="Smartphone"/>
    <n v="18401"/>
    <n v="66"/>
    <n v="11051"/>
    <n v="17202"/>
    <n v="26"/>
    <n v="6571.4915520000004"/>
  </r>
  <r>
    <x v="12"/>
    <x v="63"/>
    <s v="Health Insurance"/>
    <m/>
    <x v="1"/>
    <x v="2"/>
    <s v="San Francisco"/>
    <s v=" California"/>
    <m/>
    <m/>
    <s v="myfitnesspal.com"/>
    <s v="PubMatic"/>
    <s v="Smartphone"/>
    <n v="39881"/>
    <n v="125"/>
    <n v="6331"/>
    <n v="36245"/>
    <n v="10"/>
    <n v="7098.8897059999999"/>
  </r>
  <r>
    <x v="12"/>
    <x v="62"/>
    <s v="Retirement and Pension"/>
    <m/>
    <x v="1"/>
    <x v="2"/>
    <s v="Orlando-Daytona Beach"/>
    <s v=" Florida"/>
    <m/>
    <m/>
    <s v="accuweather.com"/>
    <s v="PubMatic"/>
    <s v="Smartphone"/>
    <n v="18324"/>
    <n v="60"/>
    <n v="3145"/>
    <n v="13703"/>
    <n v="8"/>
    <n v="6996.2318379999997"/>
  </r>
  <r>
    <x v="12"/>
    <x v="62"/>
    <s v="Asset and Portfolio Management"/>
    <m/>
    <x v="0"/>
    <x v="0"/>
    <s v="Chicago"/>
    <s v=" Illinois"/>
    <m/>
    <m/>
    <s v="culturess.com"/>
    <s v="Google Ad Manager"/>
    <s v="Smartphone"/>
    <n v="9328"/>
    <n v="56"/>
    <n v="7102"/>
    <n v="8925"/>
    <n v="5"/>
    <n v="3408.0760489999998"/>
  </r>
  <r>
    <x v="12"/>
    <x v="63"/>
    <s v="Home Insurance"/>
    <m/>
    <x v="0"/>
    <x v="2"/>
    <s v="West Palm Beach-Ft. Pierce"/>
    <s v=" Florida"/>
    <m/>
    <m/>
    <s v="bbc.com"/>
    <s v="Google Ad Manager"/>
    <s v="Smartphone"/>
    <n v="53464"/>
    <n v="212"/>
    <n v="22151"/>
    <n v="49058"/>
    <n v="9"/>
    <n v="5741.0980449999997"/>
  </r>
  <r>
    <x v="12"/>
    <x v="62"/>
    <s v="Financial Planning and Management"/>
    <m/>
    <x v="1"/>
    <x v="1"/>
    <s v="Chicago"/>
    <s v=" Illinois"/>
    <m/>
    <m/>
    <s v="mail.yahoo.com"/>
    <s v="Xandr - Monetize SSP (AppNexus)"/>
    <s v="Smartphone"/>
    <n v="1323451"/>
    <n v="3414"/>
    <n v="737990"/>
    <n v="1177859"/>
    <n v="123"/>
    <n v="8187.1145409999999"/>
  </r>
  <r>
    <x v="12"/>
    <x v="63"/>
    <s v="Travel Insurance"/>
    <m/>
    <x v="0"/>
    <x v="1"/>
    <s v="Nashville"/>
    <s v=" Tennessee"/>
    <m/>
    <m/>
    <s v="weather.com"/>
    <s v="Magnite DV+"/>
    <s v="Smartphone"/>
    <n v="61574"/>
    <n v="280"/>
    <n v="18717"/>
    <n v="46367"/>
    <n v="8"/>
    <n v="4999.6652050000002"/>
  </r>
  <r>
    <x v="12"/>
    <x v="61"/>
    <s v="Study Grants and Scholarships"/>
    <m/>
    <x v="2"/>
    <x v="1"/>
    <s v="Orlando-Daytona Beach"/>
    <s v=" Florida"/>
    <m/>
    <m/>
    <s v="mail.aol.com"/>
    <s v="Google Ad Manager"/>
    <s v="Smartphone"/>
    <n v="39844"/>
    <n v="101"/>
    <n v="28001"/>
    <n v="36335"/>
    <n v="3"/>
    <n v="4439.368082"/>
  </r>
  <r>
    <x v="12"/>
    <x v="60"/>
    <s v="Derivatives"/>
    <m/>
    <x v="1"/>
    <x v="1"/>
    <s v="Chicago"/>
    <s v=" Illinois"/>
    <m/>
    <m/>
    <s v="biblegateway.com"/>
    <s v="Index Exchange"/>
    <s v="Smartphone"/>
    <n v="114384"/>
    <n v="100"/>
    <n v="61524"/>
    <n v="105104"/>
    <n v="12"/>
    <n v="5803.3314540000001"/>
  </r>
  <r>
    <x v="12"/>
    <x v="64"/>
    <s v="ATMs and Branch Locations"/>
    <m/>
    <x v="1"/>
    <x v="0"/>
    <s v="Los Angeles"/>
    <s v=" California"/>
    <m/>
    <m/>
    <s v="dailyhodl.com"/>
    <s v="Xandr - Monetize SSP (AppNexus)"/>
    <s v="Smartphone"/>
    <n v="39212"/>
    <n v="260"/>
    <n v="31317"/>
    <n v="37660"/>
    <n v="1"/>
    <n v="3621.4177030000001"/>
  </r>
  <r>
    <x v="12"/>
    <x v="60"/>
    <s v="Stocks and Bonds"/>
    <m/>
    <x v="1"/>
    <x v="0"/>
    <s v="Miami-Ft. Lauderdale"/>
    <s v=" Florida"/>
    <m/>
    <m/>
    <s v="ebay.com"/>
    <s v="Yahoo Exchange"/>
    <s v="Smartphone"/>
    <n v="680912"/>
    <n v="2000"/>
    <n v="388915"/>
    <n v="648524"/>
    <n v="39"/>
    <n v="7814.2624939999996"/>
  </r>
  <r>
    <x v="12"/>
    <x v="65"/>
    <s v="Loans"/>
    <m/>
    <x v="0"/>
    <x v="0"/>
    <s v="Chicago"/>
    <s v=" Illinois"/>
    <m/>
    <m/>
    <s v="ebay.com"/>
    <s v="Google Ad Manager"/>
    <s v="Smartphone"/>
    <n v="1100942"/>
    <n v="2984"/>
    <n v="629973"/>
    <n v="1041225"/>
    <n v="147"/>
    <n v="7979.3485890000002"/>
  </r>
  <r>
    <x v="12"/>
    <x v="64"/>
    <s v="Savings Accounts"/>
    <m/>
    <x v="0"/>
    <x v="0"/>
    <s v="Chicago"/>
    <s v=" Illinois"/>
    <m/>
    <m/>
    <s v="the-sun.com"/>
    <s v="Google Ad Manager"/>
    <s v="Smartphone"/>
    <n v="357707"/>
    <n v="951"/>
    <n v="203987"/>
    <n v="338107"/>
    <n v="74"/>
    <n v="6749.2023529999997"/>
  </r>
  <r>
    <x v="12"/>
    <x v="66"/>
    <s v="Bookkeeping"/>
    <m/>
    <x v="1"/>
    <x v="1"/>
    <s v="Jackson"/>
    <s v=" Mississippi"/>
    <m/>
    <m/>
    <s v="kbb.com"/>
    <s v="BidSwitch"/>
    <s v="Smartphone"/>
    <n v="69523"/>
    <n v="174"/>
    <n v="48273"/>
    <n v="65800"/>
    <n v="9"/>
    <n v="2649.9978030000002"/>
  </r>
  <r>
    <x v="12"/>
    <x v="64"/>
    <s v="Money Transfer and Wire Services"/>
    <m/>
    <x v="1"/>
    <x v="0"/>
    <s v="New York City"/>
    <s v=" New York"/>
    <m/>
    <m/>
    <s v="ebay.com"/>
    <s v="Google Ad Manager"/>
    <s v="Smartphone"/>
    <n v="221720"/>
    <n v="499"/>
    <n v="35178"/>
    <n v="196583"/>
    <n v="69"/>
    <n v="7890.221963"/>
  </r>
  <r>
    <x v="12"/>
    <x v="64"/>
    <s v="Banking"/>
    <m/>
    <x v="1"/>
    <x v="1"/>
    <s v="Los Angeles"/>
    <s v=" California"/>
    <m/>
    <m/>
    <s v="msn.com"/>
    <s v="Google Ad Manager"/>
    <s v="Smartphone"/>
    <n v="921791"/>
    <n v="2150"/>
    <n v="668449"/>
    <n v="852442"/>
    <n v="69"/>
    <n v="8042.8979490000002"/>
  </r>
  <r>
    <x v="12"/>
    <x v="64"/>
    <s v="Debit and Checking Services"/>
    <m/>
    <x v="0"/>
    <x v="0"/>
    <s v="Chicago"/>
    <s v=" Illinois"/>
    <m/>
    <m/>
    <s v="thegamer.com"/>
    <s v="BidSwitch"/>
    <s v="Smartphone"/>
    <n v="8362"/>
    <n v="31"/>
    <n v="5959"/>
    <n v="7947"/>
    <n v="7"/>
    <n v="6997.4689630000003"/>
  </r>
  <r>
    <x v="12"/>
    <x v="65"/>
    <s v="Credit Cards"/>
    <m/>
    <x v="1"/>
    <x v="2"/>
    <s v="Nashville"/>
    <s v=" Tennessee"/>
    <m/>
    <m/>
    <s v="outlook.live.com"/>
    <s v="Xandr - Monetize SSP (AppNexus)"/>
    <s v="Smartphone"/>
    <n v="183230"/>
    <n v="666"/>
    <n v="155260"/>
    <n v="169583"/>
    <n v="34"/>
    <n v="7863.469709"/>
  </r>
  <r>
    <x v="12"/>
    <x v="65"/>
    <s v="Credit and Lending"/>
    <m/>
    <x v="1"/>
    <x v="1"/>
    <s v="Chicago"/>
    <s v=" Illinois"/>
    <m/>
    <m/>
    <s v="msn.com"/>
    <s v="PubMatic"/>
    <s v="Smartphone"/>
    <n v="4154911"/>
    <n v="1254"/>
    <n v="2338732"/>
    <n v="3445626"/>
    <n v="154"/>
    <n v="8038.5703709999998"/>
  </r>
  <r>
    <x v="12"/>
    <x v="66"/>
    <s v="Accounting and Auditing"/>
    <m/>
    <x v="0"/>
    <x v="0"/>
    <s v="Chicago"/>
    <s v=" Illinois"/>
    <m/>
    <m/>
    <s v="yahoo.com"/>
    <s v="Yahoo Exchange"/>
    <s v="Smartphone"/>
    <n v="1767940"/>
    <n v="4852"/>
    <n v="881525"/>
    <n v="1550866"/>
    <n v="78"/>
    <n v="7511.656191"/>
  </r>
  <r>
    <x v="12"/>
    <x v="66"/>
    <s v="Tax Preparation and Planning"/>
    <m/>
    <x v="0"/>
    <x v="1"/>
    <s v="Chicago"/>
    <s v=" Illinois"/>
    <m/>
    <m/>
    <s v="pandora.com"/>
    <s v="Google Ad Manager"/>
    <s v="Windows PC"/>
    <n v="24962"/>
    <n v="75"/>
    <n v="18450"/>
    <n v="24128"/>
    <n v="16"/>
    <n v="6809.0560509999996"/>
  </r>
  <r>
    <x v="12"/>
    <x v="67"/>
    <s v="$0 - $99"/>
    <s v="999"/>
    <x v="0"/>
    <x v="0"/>
    <s v="Peoria-Bloomington"/>
    <s v=" Illinois"/>
    <m/>
    <m/>
    <s v="fandom.com"/>
    <s v="OpenX"/>
    <s v="Windows PC"/>
    <n v="21143"/>
    <n v="56"/>
    <n v="3798"/>
    <n v="19588"/>
    <n v="3"/>
    <n v="1500.41822"/>
  </r>
  <r>
    <x v="12"/>
    <x v="68"/>
    <s v="Saving Account"/>
    <s v="Personal or Join (Financial)"/>
    <x v="0"/>
    <x v="2"/>
    <s v="Shreveport"/>
    <s v=" Louisiana"/>
    <m/>
    <m/>
    <s v="msn.com"/>
    <s v="Magnite DV+"/>
    <s v="Smartphone"/>
    <n v="177632"/>
    <n v="485"/>
    <n v="70865"/>
    <n v="95871"/>
    <n v="5"/>
    <n v="1483.3844039999999"/>
  </r>
  <r>
    <x v="12"/>
    <x v="69"/>
    <s v="Completely Disagree"/>
    <s v="When I Find A Financial Product/Service I Like I Typically Recommend It To People I Know (Financial)"/>
    <x v="0"/>
    <x v="0"/>
    <s v="New York City"/>
    <s v=" New York"/>
    <m/>
    <m/>
    <s v="webmd.com"/>
    <s v="Google Ad Manager"/>
    <s v="Windows PC"/>
    <n v="16175"/>
    <n v="35"/>
    <n v="1923"/>
    <n v="15085"/>
    <n v="2"/>
    <n v="1649.069475"/>
  </r>
  <r>
    <x v="12"/>
    <x v="70"/>
    <s v="Not At All Likely to Purchase"/>
    <s v="Second House/Residence In The Next Year (Financial)"/>
    <x v="0"/>
    <x v="3"/>
    <s v="Los Angeles"/>
    <s v=" California"/>
    <m/>
    <m/>
    <s v="maxroll.gg"/>
    <s v="Google Ad Manager"/>
    <s v="Smartphone"/>
    <n v="8944"/>
    <n v="45"/>
    <n v="3002"/>
    <n v="6361"/>
    <n v="6"/>
    <n v="1755.4845419999999"/>
  </r>
  <r>
    <x v="12"/>
    <x v="69"/>
    <s v="Bank Selection"/>
    <s v="Customer Service Very Important (Financial)"/>
    <x v="2"/>
    <x v="2"/>
    <s v="Orlando-Daytona Beach"/>
    <s v=" Florida"/>
    <m/>
    <m/>
    <s v="carscoops.com"/>
    <s v="PubMatic"/>
    <s v="Smartphone"/>
    <n v="8862"/>
    <n v="30"/>
    <n v="1359"/>
    <n v="7114"/>
    <n v="1"/>
    <n v="1481.9451570000001"/>
  </r>
  <r>
    <x v="12"/>
    <x v="71"/>
    <s v="Behavior"/>
    <s v="Used for Personal Purposes"/>
    <x v="0"/>
    <x v="1"/>
    <s v="Memphis"/>
    <s v=" Tennessee"/>
    <m/>
    <m/>
    <s v="slickdeals.net"/>
    <s v="Google Ad Manager"/>
    <s v="Smartphone"/>
    <n v="37554"/>
    <n v="92"/>
    <n v="13128"/>
    <n v="27596"/>
    <n v="8"/>
    <n v="1737.8434850000001"/>
  </r>
  <r>
    <x v="12"/>
    <x v="72"/>
    <s v="Other"/>
    <m/>
    <x v="1"/>
    <x v="0"/>
    <s v="San Francisco"/>
    <s v=" California"/>
    <m/>
    <m/>
    <s v="whatismyipaddress.com"/>
    <s v="Magnite DV+"/>
    <s v="Smartphone"/>
    <n v="15311"/>
    <n v="10"/>
    <n v="7757"/>
    <n v="12630"/>
    <n v="19"/>
    <n v="1471.187144"/>
  </r>
  <r>
    <x v="12"/>
    <x v="71"/>
    <s v="Card in Own Name"/>
    <s v="Any major Credit/Debit Card (Financial)"/>
    <x v="0"/>
    <x v="0"/>
    <s v="San Francisco"/>
    <s v=" California"/>
    <m/>
    <m/>
    <s v="accuweather.com"/>
    <s v="BidSwitch"/>
    <s v="Smartphone"/>
    <n v="10811"/>
    <n v="25"/>
    <n v="988"/>
    <n v="2975"/>
    <n v="3"/>
    <n v="1679.833815"/>
  </r>
  <r>
    <x v="12"/>
    <x v="73"/>
    <s v="Credit Card Holder - Unknown Type"/>
    <m/>
    <x v="2"/>
    <x v="1"/>
    <s v="Savannah"/>
    <s v=" Georgia"/>
    <m/>
    <m/>
    <s v="fandom.com"/>
    <s v="Google Ad Manager"/>
    <s v="Smartphone"/>
    <n v="7394"/>
    <n v="20"/>
    <n v="3441"/>
    <n v="6663"/>
    <n v="1"/>
    <n v="1624.840774"/>
  </r>
  <r>
    <x v="12"/>
    <x v="74"/>
    <s v="Greater than $2"/>
    <s v="499"/>
    <x v="1"/>
    <x v="1"/>
    <s v="Nashville"/>
    <s v=" Tennessee"/>
    <m/>
    <m/>
    <s v="biblestudytools.com"/>
    <s v="Google Ad Manager"/>
    <s v="Smartphone"/>
    <n v="10779"/>
    <n v="86"/>
    <n v="6420"/>
    <n v="10287"/>
    <n v="3"/>
    <n v="1759.704833"/>
  </r>
  <r>
    <x v="12"/>
    <x v="70"/>
    <s v="Not At All Likely to Purchase"/>
    <s v="First Home/Residence In The Next Year (Financial)"/>
    <x v="0"/>
    <x v="2"/>
    <s v="Chicago"/>
    <s v=" Illinois"/>
    <m/>
    <m/>
    <s v="signupgenius.com"/>
    <s v="Magnite DV+"/>
    <s v="Windows PC"/>
    <n v="35335"/>
    <n v="120"/>
    <n v="22566"/>
    <n v="30685"/>
    <n v="15"/>
    <n v="1866.3474699999999"/>
  </r>
  <r>
    <x v="12"/>
    <x v="75"/>
    <s v="Greater than $2"/>
    <s v="500"/>
    <x v="1"/>
    <x v="3"/>
    <s v="Chicago"/>
    <s v=" Illinois"/>
    <m/>
    <m/>
    <s v="ebay.com"/>
    <s v="Google Ad Manager"/>
    <s v="Smartphone"/>
    <n v="126337"/>
    <n v="325"/>
    <n v="51394"/>
    <n v="117635"/>
    <n v="5"/>
    <n v="1487.0882879999999"/>
  </r>
  <r>
    <x v="12"/>
    <x v="76"/>
    <s v="Chase Pay"/>
    <m/>
    <x v="0"/>
    <x v="1"/>
    <s v="Los Angeles"/>
    <s v=" California"/>
    <m/>
    <m/>
    <s v="outlook.live.com"/>
    <s v="Google Ad Manager"/>
    <s v="Smartphone"/>
    <n v="21088"/>
    <n v="60"/>
    <n v="17930"/>
    <n v="19822"/>
    <n v="4"/>
    <n v="1623.681601"/>
  </r>
  <r>
    <x v="13"/>
    <x v="77"/>
    <m/>
    <m/>
    <x v="1"/>
    <x v="1"/>
    <s v="New York City"/>
    <s v=" New York"/>
    <m/>
    <m/>
    <s v="weather.com"/>
    <s v="Google Ad Manager"/>
    <s v="Smartphone"/>
    <n v="12512"/>
    <n v="69"/>
    <n v="6240"/>
    <n v="9672"/>
    <n v="1"/>
    <n v="2298.8889650000001"/>
  </r>
  <r>
    <x v="13"/>
    <x v="78"/>
    <m/>
    <m/>
    <x v="0"/>
    <x v="2"/>
    <s v="Tri-Cities"/>
    <s v=" Tennessee"/>
    <s v="Virginia"/>
    <m/>
    <s v="msn.com"/>
    <s v="Google Ad Manager"/>
    <s v="Smartphone"/>
    <n v="311753"/>
    <n v="763"/>
    <n v="170122"/>
    <n v="256841"/>
    <n v="6"/>
    <n v="1543.6126549999999"/>
  </r>
  <r>
    <x v="14"/>
    <x v="79"/>
    <s v="Brand"/>
    <s v="Red Lobster"/>
    <x v="0"/>
    <x v="2"/>
    <s v="Chicago"/>
    <s v=" Illinois"/>
    <m/>
    <m/>
    <s v="thesaurus.com"/>
    <s v="BidSwitch"/>
    <s v="Smartphone"/>
    <n v="57917"/>
    <n v="212"/>
    <n v="3650"/>
    <n v="55128"/>
    <n v="5"/>
    <n v="1669.7289049999999"/>
  </r>
  <r>
    <x v="14"/>
    <x v="79"/>
    <s v="Style"/>
    <s v="Desserts"/>
    <x v="0"/>
    <x v="2"/>
    <s v="New York City"/>
    <s v=" New York"/>
    <m/>
    <m/>
    <s v="dictionary.com"/>
    <s v="BidSwitch"/>
    <s v="Apple PC"/>
    <n v="18028"/>
    <n v="89"/>
    <n v="1851"/>
    <n v="14926"/>
    <n v="24"/>
    <n v="1572.24171"/>
  </r>
  <r>
    <x v="14"/>
    <x v="79"/>
    <s v="Brand"/>
    <s v="Buffalo Wild Wings"/>
    <x v="0"/>
    <x v="0"/>
    <s v="San Francisco"/>
    <s v=" California"/>
    <m/>
    <m/>
    <s v="evite.com"/>
    <s v="Google Ad Manager"/>
    <s v="Windows PC"/>
    <n v="16354"/>
    <n v="40"/>
    <n v="8061"/>
    <n v="15667"/>
    <n v="4"/>
    <n v="1610.3199770000001"/>
  </r>
  <r>
    <x v="14"/>
    <x v="79"/>
    <s v="Brand"/>
    <s v="Outback Steakhouse"/>
    <x v="0"/>
    <x v="0"/>
    <s v="Chicago"/>
    <s v=" Illinois"/>
    <m/>
    <m/>
    <s v="buzzfeed.com"/>
    <s v="TripleLift"/>
    <s v="Smartphone"/>
    <n v="11296"/>
    <n v="54"/>
    <n v="6822"/>
    <n v="9274"/>
    <n v="4"/>
    <n v="1682.338499"/>
  </r>
  <r>
    <x v="14"/>
    <x v="79"/>
    <s v="Brand"/>
    <s v="Chilis"/>
    <x v="0"/>
    <x v="3"/>
    <s v="San Francisco"/>
    <s v=" California"/>
    <m/>
    <m/>
    <s v="outlook.live.com"/>
    <s v="BidSwitch"/>
    <s v="Apple PC"/>
    <n v="87245"/>
    <n v="350"/>
    <n v="71903"/>
    <n v="80390"/>
    <n v="2"/>
    <n v="1500.838771"/>
  </r>
  <r>
    <x v="14"/>
    <x v="79"/>
    <s v="Brand"/>
    <s v="Krispy Kreme"/>
    <x v="2"/>
    <x v="1"/>
    <s v="Grand Rapids-Kalamazoo"/>
    <s v=" Michigan"/>
    <m/>
    <m/>
    <s v="usnews.com"/>
    <s v="PubMatic"/>
    <s v="Smartphone"/>
    <n v="13608"/>
    <n v="66"/>
    <n v="2714"/>
    <n v="9332"/>
    <n v="1"/>
    <n v="1762.663235"/>
  </r>
  <r>
    <x v="14"/>
    <x v="79"/>
    <s v="Brand"/>
    <s v="Five Guys"/>
    <x v="0"/>
    <x v="1"/>
    <s v="Chicago"/>
    <s v=" Illinois"/>
    <m/>
    <m/>
    <s v="ebay.com"/>
    <s v="BidSwitch"/>
    <s v="Smartphone"/>
    <n v="9210"/>
    <n v="80"/>
    <n v="3798"/>
    <n v="8619"/>
    <n v="2"/>
    <n v="1536.629068"/>
  </r>
  <r>
    <x v="14"/>
    <x v="79"/>
    <s v="Brand"/>
    <s v="Moes Southwest Grill"/>
    <x v="1"/>
    <x v="2"/>
    <s v="Jacksonville"/>
    <s v=" Florida"/>
    <m/>
    <m/>
    <s v="mapquest.com"/>
    <s v="Index Exchange"/>
    <s v="Smartphone"/>
    <n v="21903"/>
    <n v="124"/>
    <n v="18831"/>
    <n v="20922"/>
    <n v="4"/>
    <n v="1661.167909"/>
  </r>
  <r>
    <x v="14"/>
    <x v="80"/>
    <s v="Beer"/>
    <m/>
    <x v="0"/>
    <x v="1"/>
    <s v="Chicago"/>
    <s v=" Illinois"/>
    <m/>
    <m/>
    <s v="zillow.com"/>
    <s v="Index Exchange"/>
    <s v="Apple PC"/>
    <n v="26212"/>
    <n v="77"/>
    <n v="12726"/>
    <n v="24442"/>
    <n v="15"/>
    <n v="6452.9350100000001"/>
  </r>
  <r>
    <x v="14"/>
    <x v="80"/>
    <s v="Coffee and Tea"/>
    <m/>
    <x v="1"/>
    <x v="0"/>
    <s v="Tampa-St Petersburg (Sarasota)"/>
    <s v=" Florida"/>
    <m/>
    <m/>
    <s v="foxnews.com"/>
    <s v="BidSwitch"/>
    <s v="Smartphone"/>
    <n v="63794"/>
    <n v="200"/>
    <n v="46557"/>
    <n v="60868"/>
    <n v="9"/>
    <n v="6832.9400670000005"/>
  </r>
  <r>
    <x v="14"/>
    <x v="80"/>
    <s v="Juice"/>
    <m/>
    <x v="1"/>
    <x v="3"/>
    <s v="Los Angeles"/>
    <s v=" California"/>
    <m/>
    <m/>
    <s v="realtor.com"/>
    <s v="Google Ad Manager"/>
    <s v="Smartphone"/>
    <n v="40859"/>
    <n v="144"/>
    <n v="17695"/>
    <n v="37108"/>
    <n v="4"/>
    <n v="6130.3684249999997"/>
  </r>
  <r>
    <x v="14"/>
    <x v="80"/>
    <s v="Soft Drinks"/>
    <m/>
    <x v="0"/>
    <x v="2"/>
    <s v="Knoxville"/>
    <s v=" Tennessee"/>
    <m/>
    <m/>
    <s v="lotterypost.com"/>
    <s v="Magnite DV+"/>
    <s v="Smartphone"/>
    <n v="150457"/>
    <n v="420"/>
    <n v="58372"/>
    <n v="135099"/>
    <n v="14"/>
    <n v="5906.8300060000001"/>
  </r>
  <r>
    <x v="14"/>
    <x v="80"/>
    <s v="Bottled Water"/>
    <m/>
    <x v="1"/>
    <x v="3"/>
    <s v="New York City"/>
    <s v=" New York"/>
    <m/>
    <m/>
    <s v="forbes.com"/>
    <s v="Google Ad Manager"/>
    <s v="Smartphone"/>
    <n v="12879"/>
    <n v="71"/>
    <n v="7225"/>
    <n v="12173"/>
    <n v="9"/>
    <n v="5099.2824899999996"/>
  </r>
  <r>
    <x v="14"/>
    <x v="81"/>
    <m/>
    <m/>
    <x v="0"/>
    <x v="3"/>
    <s v="Chicago"/>
    <s v=" Illinois"/>
    <m/>
    <m/>
    <s v="ebay.com"/>
    <s v="Google Ad Manager"/>
    <s v="Smartphone"/>
    <n v="262807"/>
    <n v="684"/>
    <n v="109871"/>
    <n v="236426"/>
    <n v="12"/>
    <n v="5150.4689230000004"/>
  </r>
  <r>
    <x v="14"/>
    <x v="82"/>
    <m/>
    <m/>
    <x v="1"/>
    <x v="0"/>
    <s v="Ft. Wayne"/>
    <s v=" Indiana"/>
    <m/>
    <m/>
    <s v="drugs.com"/>
    <s v="Google Ad Manager"/>
    <s v="Smartphone"/>
    <n v="18412"/>
    <n v="140"/>
    <n v="5668"/>
    <n v="16711"/>
    <n v="12"/>
    <n v="5244.3417399999998"/>
  </r>
  <r>
    <x v="14"/>
    <x v="83"/>
    <s v="Fast Food"/>
    <m/>
    <x v="2"/>
    <x v="3"/>
    <s v="Chicago"/>
    <s v=" Illinois"/>
    <m/>
    <m/>
    <s v="macrumors.com"/>
    <s v="Google Ad Manager"/>
    <s v="Smartphone"/>
    <n v="7822"/>
    <n v="25"/>
    <n v="3786"/>
    <n v="7232"/>
    <n v="13"/>
    <n v="6781.8216469999998"/>
  </r>
  <r>
    <x v="14"/>
    <x v="84"/>
    <m/>
    <m/>
    <x v="2"/>
    <x v="2"/>
    <s v="Chicago"/>
    <s v=" Illinois"/>
    <m/>
    <m/>
    <s v="weather.com"/>
    <s v="BidSwitch"/>
    <s v="Smartphone"/>
    <n v="40929"/>
    <n v="142"/>
    <n v="9249"/>
    <n v="31564"/>
    <n v="8"/>
    <n v="6764.5206369999996"/>
  </r>
  <r>
    <x v="14"/>
    <x v="83"/>
    <s v="Fine Dining"/>
    <m/>
    <x v="0"/>
    <x v="3"/>
    <s v="New York City"/>
    <s v=" New York"/>
    <m/>
    <m/>
    <s v="thesaurus.com"/>
    <s v="Google Ad Manager"/>
    <s v="Windows PC"/>
    <n v="95655"/>
    <n v="275"/>
    <n v="9202"/>
    <n v="85273"/>
    <n v="24"/>
    <n v="6189.4160819999997"/>
  </r>
  <r>
    <x v="14"/>
    <x v="83"/>
    <m/>
    <m/>
    <x v="0"/>
    <x v="2"/>
    <s v="Los Angeles"/>
    <s v=" California"/>
    <m/>
    <m/>
    <s v="mail.yahoo.com"/>
    <s v="Taboola"/>
    <s v="Smartphone"/>
    <n v="908899"/>
    <n v="1984"/>
    <n v="644697"/>
    <n v="853964"/>
    <n v="32"/>
    <n v="5181.087383"/>
  </r>
  <r>
    <x v="14"/>
    <x v="83"/>
    <s v="Dining Guides"/>
    <m/>
    <x v="1"/>
    <x v="3"/>
    <s v="Chicago"/>
    <s v=" Illinois"/>
    <m/>
    <m/>
    <s v="cnn.com"/>
    <s v="Index Exchange"/>
    <s v="Smartphone"/>
    <n v="116926"/>
    <n v="321"/>
    <n v="69132"/>
    <n v="111957"/>
    <n v="22"/>
    <n v="4918.0409820000004"/>
  </r>
  <r>
    <x v="15"/>
    <x v="48"/>
    <s v="Users"/>
    <m/>
    <x v="1"/>
    <x v="0"/>
    <s v="Rockford"/>
    <s v=" Illinois"/>
    <m/>
    <m/>
    <s v="the-sun.com"/>
    <s v="Magnite DV+"/>
    <s v="Smartphone"/>
    <n v="16372"/>
    <n v="90"/>
    <n v="4731"/>
    <n v="15332"/>
    <n v="9"/>
    <n v="1704.511123"/>
  </r>
  <r>
    <x v="16"/>
    <x v="85"/>
    <m/>
    <m/>
    <x v="2"/>
    <x v="2"/>
    <s v="Miami-Ft. Lauderdale"/>
    <s v=" Florida"/>
    <m/>
    <m/>
    <s v="forbes.com"/>
    <s v="Google Ad Manager"/>
    <s v="Smartphone"/>
    <n v="119280"/>
    <n v="400"/>
    <n v="55665"/>
    <n v="112913"/>
    <n v="23"/>
    <n v="6492.6763430000001"/>
  </r>
  <r>
    <x v="16"/>
    <x v="86"/>
    <m/>
    <m/>
    <x v="0"/>
    <x v="0"/>
    <s v="Chicago"/>
    <s v=" Illinois"/>
    <m/>
    <m/>
    <s v="bbc.com"/>
    <s v="PubMatic"/>
    <s v="Apple PC"/>
    <n v="26558"/>
    <n v="111"/>
    <n v="15761"/>
    <n v="23532"/>
    <n v="14"/>
    <n v="6751.5589810000001"/>
  </r>
  <r>
    <x v="16"/>
    <x v="87"/>
    <m/>
    <m/>
    <x v="1"/>
    <x v="1"/>
    <s v="San Francisco"/>
    <s v=" California"/>
    <m/>
    <m/>
    <s v="boattrader.com"/>
    <s v="Google Ad Manager"/>
    <s v="Smartphone"/>
    <n v="11511"/>
    <n v="33"/>
    <n v="8268"/>
    <n v="11042"/>
    <n v="3"/>
    <n v="6815.7123250000004"/>
  </r>
  <r>
    <x v="16"/>
    <x v="88"/>
    <m/>
    <m/>
    <x v="0"/>
    <x v="3"/>
    <s v="Los Angeles"/>
    <s v=" California"/>
    <m/>
    <m/>
    <s v="findagrave.com"/>
    <s v="BidSwitch"/>
    <s v="Windows PC"/>
    <n v="25021"/>
    <n v="50"/>
    <n v="11084"/>
    <n v="18079"/>
    <n v="9"/>
    <n v="4961.4788840000001"/>
  </r>
  <r>
    <x v="16"/>
    <x v="89"/>
    <m/>
    <m/>
    <x v="1"/>
    <x v="2"/>
    <s v="Ft. Myers-Naples"/>
    <s v=" Florida"/>
    <m/>
    <m/>
    <s v="yahoo.com"/>
    <s v="BidSwitch"/>
    <s v="Smartphone"/>
    <n v="120603"/>
    <n v="298"/>
    <n v="47405"/>
    <n v="100881"/>
    <n v="10"/>
    <n v="6633.5326349999996"/>
  </r>
  <r>
    <x v="17"/>
    <x v="50"/>
    <m/>
    <m/>
    <x v="1"/>
    <x v="0"/>
    <s v="Miami-Ft. Lauderdale"/>
    <s v=" Florida"/>
    <m/>
    <m/>
    <s v="cbsnews.com"/>
    <s v="Smart RTB+ (Smartadserver)"/>
    <s v="Smartphone"/>
    <n v="69540"/>
    <n v="204"/>
    <n v="28713"/>
    <n v="62829"/>
    <n v="15"/>
    <n v="1838.9877300000001"/>
  </r>
  <r>
    <x v="18"/>
    <x v="90"/>
    <s v="Exercise"/>
    <s v="Health"/>
    <x v="2"/>
    <x v="1"/>
    <s v="San Francisco"/>
    <s v=" California"/>
    <m/>
    <m/>
    <s v="realtor.com"/>
    <s v="BidSwitch"/>
    <s v="Smartphone"/>
    <n v="10819"/>
    <n v="20"/>
    <n v="4168"/>
    <n v="9768"/>
    <n v="2"/>
    <n v="1504.3292140000001"/>
  </r>
  <r>
    <x v="19"/>
    <x v="91"/>
    <m/>
    <m/>
    <x v="1"/>
    <x v="2"/>
    <s v="Chicago"/>
    <s v=" Illinois"/>
    <m/>
    <m/>
    <s v="medicalnewstoday.com"/>
    <s v="Magnite DV+"/>
    <s v="Smartphone"/>
    <n v="9881"/>
    <n v="15"/>
    <n v="2344"/>
    <n v="7324"/>
    <n v="1"/>
    <n v="1505.0115499999999"/>
  </r>
  <r>
    <x v="20"/>
    <x v="92"/>
    <s v="Fishing"/>
    <m/>
    <x v="0"/>
    <x v="2"/>
    <s v="New York City"/>
    <s v=" New York"/>
    <m/>
    <m/>
    <s v="mlb.com"/>
    <s v="PubMatic"/>
    <s v="Windows PC"/>
    <n v="25206"/>
    <n v="75"/>
    <n v="3588"/>
    <n v="23556"/>
    <n v="19"/>
    <n v="6846.3564340000003"/>
  </r>
  <r>
    <x v="20"/>
    <x v="93"/>
    <s v="Holidays and Seasonal Events"/>
    <m/>
    <x v="1"/>
    <x v="0"/>
    <s v="New York City"/>
    <s v=" New York"/>
    <m/>
    <m/>
    <s v="yahoo.com"/>
    <s v="GumGum"/>
    <s v="Smartphone"/>
    <n v="760502"/>
    <n v="2140"/>
    <n v="326721"/>
    <n v="700814"/>
    <n v="17"/>
    <n v="5179.0415320000002"/>
  </r>
  <r>
    <x v="20"/>
    <x v="92"/>
    <s v="Equestrian"/>
    <m/>
    <x v="0"/>
    <x v="0"/>
    <s v="San Francisco"/>
    <s v=" California"/>
    <m/>
    <m/>
    <s v="accuweather.com"/>
    <s v="Google Ad Manager"/>
    <s v="Smartphone"/>
    <n v="7862"/>
    <n v="20"/>
    <n v="2152"/>
    <n v="6039"/>
    <n v="2"/>
    <n v="6506.4336869999997"/>
  </r>
  <r>
    <x v="20"/>
    <x v="93"/>
    <s v="Party Planning"/>
    <m/>
    <x v="0"/>
    <x v="1"/>
    <s v="San Francisco"/>
    <s v=" California"/>
    <m/>
    <m/>
    <s v="mayoclinic.org"/>
    <s v="Index Exchange"/>
    <s v="Smartphone"/>
    <n v="14398"/>
    <n v="30"/>
    <n v="2807"/>
    <n v="13393"/>
    <n v="7"/>
    <n v="5154.6445549999999"/>
  </r>
  <r>
    <x v="20"/>
    <x v="94"/>
    <m/>
    <m/>
    <x v="1"/>
    <x v="0"/>
    <s v="Grand Rapids-Kalamazoo"/>
    <s v=" Michigan"/>
    <m/>
    <m/>
    <s v="news.yahoo.com"/>
    <s v="TripleLift"/>
    <s v="Smartphone"/>
    <n v="41513"/>
    <n v="113"/>
    <n v="20872"/>
    <n v="39250"/>
    <n v="9"/>
    <n v="6789.5334009999997"/>
  </r>
  <r>
    <x v="20"/>
    <x v="95"/>
    <m/>
    <m/>
    <x v="0"/>
    <x v="0"/>
    <s v="Los Angeles"/>
    <s v=" California"/>
    <m/>
    <m/>
    <s v="geeksforgeeks.org"/>
    <s v="BidSwitch"/>
    <s v="Apple PC"/>
    <n v="120902"/>
    <n v="333"/>
    <n v="9964"/>
    <n v="70015"/>
    <n v="15"/>
    <n v="4669.0136689999999"/>
  </r>
  <r>
    <x v="20"/>
    <x v="96"/>
    <m/>
    <m/>
    <x v="2"/>
    <x v="0"/>
    <s v="Chicago"/>
    <s v=" Illinois"/>
    <m/>
    <m/>
    <s v="weather.com"/>
    <s v="Google Ad Manager"/>
    <s v="Smartphone"/>
    <n v="207823"/>
    <n v="600"/>
    <n v="33602"/>
    <n v="167814"/>
    <n v="13"/>
    <n v="6048.9556110000003"/>
  </r>
  <r>
    <x v="20"/>
    <x v="92"/>
    <s v="Hiking and Camping"/>
    <m/>
    <x v="0"/>
    <x v="1"/>
    <s v="Chicago"/>
    <s v=" Illinois"/>
    <m/>
    <m/>
    <s v="ebay.com"/>
    <s v="Magnite DV+"/>
    <s v="Apple PC"/>
    <n v="27592"/>
    <n v="80"/>
    <n v="10901"/>
    <n v="24980"/>
    <n v="17"/>
    <n v="6809.3560219999999"/>
  </r>
  <r>
    <x v="20"/>
    <x v="97"/>
    <m/>
    <m/>
    <x v="1"/>
    <x v="3"/>
    <s v="Charleston"/>
    <s v=" South Carolina"/>
    <m/>
    <m/>
    <s v="weather.com"/>
    <s v="Google Ad Manager"/>
    <s v="Smartphone"/>
    <n v="156427"/>
    <n v="512"/>
    <n v="61821"/>
    <n v="145505"/>
    <n v="3"/>
    <n v="5159.7474940000002"/>
  </r>
  <r>
    <x v="21"/>
    <x v="98"/>
    <s v="Single"/>
    <m/>
    <x v="1"/>
    <x v="0"/>
    <s v="New York City"/>
    <s v=" New York"/>
    <m/>
    <m/>
    <s v="realtor.com"/>
    <s v="BidSwitch"/>
    <s v="Smartphone"/>
    <n v="15318"/>
    <n v="30"/>
    <n v="5928"/>
    <n v="13298"/>
    <n v="19"/>
    <n v="1570.29739"/>
  </r>
  <r>
    <x v="21"/>
    <x v="99"/>
    <s v="Single-Family"/>
    <m/>
    <x v="0"/>
    <x v="1"/>
    <s v="Chicago"/>
    <s v=" Illinois"/>
    <m/>
    <m/>
    <s v="gamerant.com"/>
    <s v="Google Ad Manager"/>
    <s v="Windows PC"/>
    <n v="16202"/>
    <n v="80"/>
    <n v="11786"/>
    <n v="15365"/>
    <n v="2"/>
    <n v="1570.34276"/>
  </r>
  <r>
    <x v="22"/>
    <x v="100"/>
    <m/>
    <m/>
    <x v="0"/>
    <x v="3"/>
    <s v="Chicago"/>
    <s v=" Illinois"/>
    <m/>
    <m/>
    <s v="thesaltymarshmallow.com"/>
    <s v="Google Ad Manager"/>
    <s v="Smartphone"/>
    <n v="15547"/>
    <n v="70"/>
    <n v="7615"/>
    <n v="14939"/>
    <n v="3"/>
    <n v="1767.4644559999999"/>
  </r>
  <r>
    <x v="23"/>
    <x v="101"/>
    <m/>
    <m/>
    <x v="0"/>
    <x v="1"/>
    <s v="Los Angeles"/>
    <s v=" California"/>
    <m/>
    <m/>
    <s v="dailymail.co.uk/news"/>
    <s v="Google Ad Manager"/>
    <s v="Smartphone"/>
    <n v="7921"/>
    <n v="50"/>
    <n v="4727"/>
    <n v="6513"/>
    <n v="11"/>
    <n v="5379.00144"/>
  </r>
  <r>
    <x v="23"/>
    <x v="102"/>
    <m/>
    <m/>
    <x v="1"/>
    <x v="1"/>
    <s v="New York City"/>
    <s v=" New York"/>
    <m/>
    <m/>
    <s v="finance.yahoo.com"/>
    <s v="Magnite DV+"/>
    <s v="Smartphone"/>
    <n v="76049"/>
    <n v="199"/>
    <n v="34921"/>
    <n v="69138"/>
    <n v="8"/>
    <n v="6942.8004579999997"/>
  </r>
  <r>
    <x v="23"/>
    <x v="103"/>
    <m/>
    <m/>
    <x v="1"/>
    <x v="3"/>
    <s v="Chicago"/>
    <s v=" Illinois"/>
    <m/>
    <m/>
    <s v="nypost.com"/>
    <s v="Google Ad Manager"/>
    <s v="Smartphone"/>
    <n v="25377"/>
    <n v="101"/>
    <n v="16698"/>
    <n v="23798"/>
    <n v="2"/>
    <n v="5175.1429189999999"/>
  </r>
  <r>
    <x v="23"/>
    <x v="104"/>
    <m/>
    <m/>
    <x v="0"/>
    <x v="1"/>
    <s v="Tampa-St Petersburg (Sarasota)"/>
    <s v=" Florida"/>
    <m/>
    <m/>
    <s v="news.yahoo.com"/>
    <s v="BidSwitch"/>
    <s v="Smartphone"/>
    <n v="8420"/>
    <n v="80"/>
    <n v="4430"/>
    <n v="7869"/>
    <n v="8"/>
    <n v="5184.5854239999999"/>
  </r>
  <r>
    <x v="23"/>
    <x v="105"/>
    <m/>
    <m/>
    <x v="0"/>
    <x v="0"/>
    <s v="Los Angeles"/>
    <s v=" California"/>
    <m/>
    <m/>
    <s v="w3schools.com"/>
    <s v="Index Exchange"/>
    <s v="Smartphone"/>
    <n v="11607"/>
    <n v="184"/>
    <n v="5218"/>
    <n v="10763"/>
    <n v="12"/>
    <n v="6909.7323180000003"/>
  </r>
  <r>
    <x v="23"/>
    <x v="106"/>
    <m/>
    <m/>
    <x v="0"/>
    <x v="1"/>
    <s v="Los Angeles"/>
    <s v=" California"/>
    <m/>
    <m/>
    <s v="streetinsider.com"/>
    <s v="Google Ad Manager"/>
    <s v="Apple PC"/>
    <n v="28888"/>
    <n v="85"/>
    <n v="21437"/>
    <n v="27586"/>
    <n v="19"/>
    <n v="6858.5781180000004"/>
  </r>
  <r>
    <x v="23"/>
    <x v="107"/>
    <m/>
    <m/>
    <x v="0"/>
    <x v="0"/>
    <s v="Grand Rapids-Kalamazoo"/>
    <s v=" Michigan"/>
    <m/>
    <m/>
    <s v="poshland.com"/>
    <s v="Index Exchange"/>
    <s v="Apple PC"/>
    <n v="123430"/>
    <n v="360"/>
    <n v="45294"/>
    <n v="77646"/>
    <n v="15"/>
    <n v="6808.5625840000002"/>
  </r>
  <r>
    <x v="24"/>
    <x v="108"/>
    <s v="Food Enthusiasts"/>
    <m/>
    <x v="1"/>
    <x v="0"/>
    <s v="Ft. Myers-Naples"/>
    <s v=" Florida"/>
    <m/>
    <m/>
    <s v="ajc.com"/>
    <s v="PubMatic"/>
    <s v="Smartphone"/>
    <n v="12592"/>
    <n v="63"/>
    <n v="7472"/>
    <n v="11687"/>
    <n v="4"/>
    <n v="1521.185189"/>
  </r>
  <r>
    <x v="24"/>
    <x v="109"/>
    <m/>
    <m/>
    <x v="0"/>
    <x v="0"/>
    <s v="Jacksonville"/>
    <s v=" Florida"/>
    <m/>
    <m/>
    <s v="mail.aol.com"/>
    <s v="Index Exchange"/>
    <s v="Smartphone"/>
    <n v="15033"/>
    <n v="76"/>
    <n v="5495"/>
    <n v="7050"/>
    <n v="3"/>
    <n v="1650.7230099999999"/>
  </r>
  <r>
    <x v="25"/>
    <x v="110"/>
    <s v="Home Improvement"/>
    <s v="Home Improvement Grouping"/>
    <x v="1"/>
    <x v="0"/>
    <s v="Chicago"/>
    <s v=" Illinois"/>
    <m/>
    <m/>
    <s v="cbsnews.com"/>
    <s v="Google Ad Manager"/>
    <s v="Smartphone"/>
    <n v="21478"/>
    <n v="50"/>
    <n v="15548"/>
    <n v="20651"/>
    <n v="24"/>
    <n v="1541.2140469999999"/>
  </r>
  <r>
    <x v="25"/>
    <x v="111"/>
    <m/>
    <m/>
    <x v="1"/>
    <x v="3"/>
    <s v="New York City"/>
    <s v=" New York"/>
    <m/>
    <m/>
    <s v="forbes.com"/>
    <s v="Google Ad Manager"/>
    <s v="Smartphone"/>
    <n v="15441"/>
    <n v="48"/>
    <n v="7626"/>
    <n v="14456"/>
    <n v="19"/>
    <n v="1614.309013"/>
  </r>
  <r>
    <x v="25"/>
    <x v="112"/>
    <m/>
    <m/>
    <x v="0"/>
    <x v="0"/>
    <s v="West Palm Beach-Ft. Pierce"/>
    <s v=" Florida"/>
    <m/>
    <m/>
    <s v="nypost.com"/>
    <s v="PubMatic"/>
    <s v="Apple PC"/>
    <n v="73567"/>
    <n v="197"/>
    <n v="28800"/>
    <n v="68566"/>
    <n v="2"/>
    <n v="1567.3660709999999"/>
  </r>
  <r>
    <x v="25"/>
    <x v="108"/>
    <s v="General"/>
    <m/>
    <x v="1"/>
    <x v="3"/>
    <s v="Chicago"/>
    <s v=" Illinois"/>
    <m/>
    <m/>
    <s v="ew.com"/>
    <s v="Xandr - Monetize SSP (AppNexus)"/>
    <s v="Smartphone"/>
    <n v="9920"/>
    <n v="20"/>
    <n v="6702"/>
    <n v="9096"/>
    <n v="10"/>
    <n v="1453.11439"/>
  </r>
  <r>
    <x v="26"/>
    <x v="63"/>
    <s v="Humana"/>
    <m/>
    <x v="2"/>
    <x v="2"/>
    <s v="Ft. Myers-Naples"/>
    <s v=" Florida"/>
    <m/>
    <m/>
    <s v="mlb.com"/>
    <s v="Kargo"/>
    <s v="Smartphone"/>
    <n v="12459"/>
    <n v="84"/>
    <n v="7290"/>
    <n v="11731"/>
    <n v="14"/>
    <n v="1593.010399"/>
  </r>
  <r>
    <x v="26"/>
    <x v="113"/>
    <s v="Buying and Selling Homes"/>
    <s v="Real Estate"/>
    <x v="0"/>
    <x v="0"/>
    <s v="Miami-Ft. Lauderdale"/>
    <s v=" Florida"/>
    <m/>
    <m/>
    <s v="the-sun.com"/>
    <s v="Google Ad Manager"/>
    <s v="Smartphone"/>
    <n v="14799"/>
    <n v="59"/>
    <n v="1403"/>
    <n v="13410"/>
    <n v="9"/>
    <n v="1693.7604349999999"/>
  </r>
  <r>
    <x v="26"/>
    <x v="113"/>
    <s v="Fashion"/>
    <m/>
    <x v="0"/>
    <x v="3"/>
    <s v="West Palm Beach-Ft. Pierce"/>
    <s v=" Florida"/>
    <m/>
    <m/>
    <s v="ebay.com"/>
    <s v="PubMatic"/>
    <s v="Windows PC"/>
    <n v="61442"/>
    <n v="190"/>
    <n v="17048"/>
    <n v="54166"/>
    <n v="1"/>
    <n v="1609.1499329999999"/>
  </r>
  <r>
    <x v="26"/>
    <x v="113"/>
    <s v="International News"/>
    <m/>
    <x v="2"/>
    <x v="0"/>
    <s v="Rockford"/>
    <s v=" Illinois"/>
    <m/>
    <m/>
    <s v="bridesblush.com"/>
    <s v="Google Ad Manager"/>
    <s v="Smartphone"/>
    <n v="9946"/>
    <n v="20"/>
    <n v="4818"/>
    <n v="7382"/>
    <n v="3"/>
    <n v="1525.962329"/>
  </r>
  <r>
    <x v="26"/>
    <x v="63"/>
    <s v="Aetna Group"/>
    <m/>
    <x v="0"/>
    <x v="1"/>
    <s v="Nashville"/>
    <s v=" Tennessee"/>
    <m/>
    <m/>
    <s v="foxbusiness.com"/>
    <s v="Google Ad Manager"/>
    <s v="Apple PC"/>
    <n v="12436"/>
    <n v="84"/>
    <n v="7055"/>
    <n v="11497"/>
    <n v="9"/>
    <n v="1720.870126"/>
  </r>
  <r>
    <x v="26"/>
    <x v="113"/>
    <s v="College Life"/>
    <m/>
    <x v="1"/>
    <x v="0"/>
    <s v="Jackson"/>
    <s v=" Mississippi"/>
    <m/>
    <m/>
    <s v="msn.com"/>
    <s v="Xandr - Monetize SSP (AppNexus)"/>
    <s v="Smartphone"/>
    <n v="171575"/>
    <n v="499"/>
    <n v="101487"/>
    <n v="136036"/>
    <n v="8"/>
    <n v="1658.3324259999999"/>
  </r>
  <r>
    <x v="26"/>
    <x v="113"/>
    <s v="Financial Aid"/>
    <m/>
    <x v="0"/>
    <x v="1"/>
    <s v="Los Angeles"/>
    <s v=" California"/>
    <m/>
    <m/>
    <s v="apnews.com"/>
    <s v="Google Ad Manager"/>
    <s v="Smartphone"/>
    <n v="12864"/>
    <n v="84"/>
    <n v="5549"/>
    <n v="11852"/>
    <n v="5"/>
    <n v="1905.8896930000001"/>
  </r>
  <r>
    <x v="26"/>
    <x v="63"/>
    <s v="New York Life"/>
    <m/>
    <x v="0"/>
    <x v="0"/>
    <s v="Chicago"/>
    <s v=" Illinois"/>
    <m/>
    <m/>
    <s v="nytimes.com"/>
    <s v="Magnite DV+"/>
    <s v="Smartphone"/>
    <n v="14932"/>
    <n v="90"/>
    <n v="8947"/>
    <n v="14256"/>
    <n v="3"/>
    <n v="1724.417704"/>
  </r>
  <r>
    <x v="26"/>
    <x v="63"/>
    <s v="Lincoln Heritage"/>
    <m/>
    <x v="1"/>
    <x v="2"/>
    <s v="New York City"/>
    <s v=" New York"/>
    <m/>
    <m/>
    <s v="weather.com"/>
    <s v="PubMatic"/>
    <s v="Smartphone"/>
    <n v="61848"/>
    <n v="213"/>
    <n v="6581"/>
    <n v="44917"/>
    <n v="15"/>
    <n v="1819.8936020000001"/>
  </r>
  <r>
    <x v="26"/>
    <x v="63"/>
    <s v="Northwestern Mutual"/>
    <m/>
    <x v="0"/>
    <x v="2"/>
    <s v="Chicago"/>
    <s v=" Illinois"/>
    <m/>
    <m/>
    <s v="ebay.com"/>
    <s v="GumGum"/>
    <s v="Smartphone"/>
    <n v="229908"/>
    <n v="489"/>
    <n v="98259"/>
    <n v="212073"/>
    <n v="4"/>
    <n v="1464.3489440000001"/>
  </r>
  <r>
    <x v="26"/>
    <x v="113"/>
    <s v="National News"/>
    <m/>
    <x v="1"/>
    <x v="1"/>
    <s v="New York City"/>
    <s v=" New York"/>
    <m/>
    <m/>
    <s v="nbcnews.com"/>
    <s v="BidSwitch"/>
    <s v="Smartphone"/>
    <n v="20486"/>
    <n v="42"/>
    <n v="14583"/>
    <n v="19860"/>
    <n v="2"/>
    <n v="1718.513762"/>
  </r>
  <r>
    <x v="26"/>
    <x v="63"/>
    <s v="MassMutual"/>
    <m/>
    <x v="0"/>
    <x v="1"/>
    <s v="New York City"/>
    <s v=" New York"/>
    <m/>
    <m/>
    <s v="bbc.com"/>
    <s v="Google Ad Manager"/>
    <s v="Windows PC"/>
    <n v="32845"/>
    <n v="164"/>
    <n v="16163"/>
    <n v="30368"/>
    <n v="5"/>
    <n v="1910.436686"/>
  </r>
  <r>
    <x v="26"/>
    <x v="113"/>
    <s v="B2B Job Search"/>
    <m/>
    <x v="1"/>
    <x v="2"/>
    <s v="Memphis"/>
    <s v=" Tennessee"/>
    <m/>
    <m/>
    <s v="mlb.com"/>
    <s v="BidSwitch"/>
    <s v="Smartphone"/>
    <n v="32714"/>
    <n v="69"/>
    <n v="3756"/>
    <n v="30764"/>
    <n v="15"/>
    <n v="1506.6243039999999"/>
  </r>
  <r>
    <x v="26"/>
    <x v="63"/>
    <s v="Unitedhealth Group"/>
    <m/>
    <x v="1"/>
    <x v="2"/>
    <s v="New York City"/>
    <s v=" New York"/>
    <m/>
    <m/>
    <s v="forbes.com"/>
    <s v="Google Ad Manager"/>
    <s v="Smartphone"/>
    <n v="33069"/>
    <n v="140"/>
    <n v="17744"/>
    <n v="31192"/>
    <n v="14"/>
    <n v="1543.3106110000001"/>
  </r>
  <r>
    <x v="26"/>
    <x v="114"/>
    <s v="Hip Hop and Rap"/>
    <m/>
    <x v="1"/>
    <x v="2"/>
    <s v="Knoxville"/>
    <s v=" Tennessee"/>
    <m/>
    <m/>
    <s v="weather.com"/>
    <s v="Google Ad Manager"/>
    <s v="Smartphone"/>
    <n v="254780"/>
    <n v="699"/>
    <n v="19169"/>
    <n v="182583"/>
    <n v="4"/>
    <n v="1561.021915"/>
  </r>
  <r>
    <x v="26"/>
    <x v="115"/>
    <s v="Sports TV"/>
    <m/>
    <x v="0"/>
    <x v="2"/>
    <s v="Los Angeles"/>
    <s v=" California"/>
    <m/>
    <m/>
    <s v="accuweather.com"/>
    <s v="Yahoo Exchange"/>
    <s v="Smartphone"/>
    <n v="15200"/>
    <n v="60"/>
    <n v="5375"/>
    <n v="12040"/>
    <n v="4"/>
    <n v="1970.3573449999999"/>
  </r>
  <r>
    <x v="26"/>
    <x v="114"/>
    <s v="Country"/>
    <m/>
    <x v="0"/>
    <x v="1"/>
    <s v="Jacksonville"/>
    <s v=" Florida"/>
    <m/>
    <m/>
    <s v="aol.com"/>
    <s v="Google Ad Manager"/>
    <s v="Smartphone"/>
    <n v="8716"/>
    <n v="40"/>
    <n v="6490"/>
    <n v="7862"/>
    <n v="2"/>
    <n v="2100.8201370000002"/>
  </r>
  <r>
    <x v="26"/>
    <x v="116"/>
    <s v="Premium User Generated Content"/>
    <m/>
    <x v="0"/>
    <x v="0"/>
    <s v="Los Angeles"/>
    <s v=" California"/>
    <m/>
    <m/>
    <s v="cnn.com"/>
    <s v="Google Ad Manager"/>
    <s v="Smartphone"/>
    <n v="88499"/>
    <n v="186"/>
    <n v="18950"/>
    <n v="71458"/>
    <n v="5"/>
    <n v="1803.1398119999999"/>
  </r>
  <r>
    <x v="26"/>
    <x v="18"/>
    <s v="Quick Service Restaurants"/>
    <m/>
    <x v="1"/>
    <x v="3"/>
    <s v="Ft. Myers-Naples"/>
    <s v=" Florida"/>
    <m/>
    <m/>
    <s v="accuweather.com"/>
    <s v="BidSwitch"/>
    <s v="Smartphone"/>
    <n v="213699"/>
    <n v="270"/>
    <n v="18395"/>
    <n v="164487"/>
    <n v="4"/>
    <n v="2194.9871250000001"/>
  </r>
  <r>
    <x v="26"/>
    <x v="117"/>
    <s v="American Cuisine"/>
    <m/>
    <x v="1"/>
    <x v="2"/>
    <s v="Chicago"/>
    <s v=" Illinois"/>
    <m/>
    <m/>
    <s v="realtor.com"/>
    <s v="Google Ad Manager"/>
    <s v="Smartphone"/>
    <n v="85280"/>
    <n v="211"/>
    <n v="35860"/>
    <n v="79837"/>
    <n v="5"/>
    <n v="2217.932092"/>
  </r>
  <r>
    <x v="26"/>
    <x v="18"/>
    <s v="Big Box Retail"/>
    <m/>
    <x v="1"/>
    <x v="2"/>
    <s v="Jacksonville"/>
    <s v=" Florida"/>
    <m/>
    <m/>
    <s v="yellowpages.com"/>
    <s v="Google Ad Manager"/>
    <s v="Smartphone"/>
    <n v="61474"/>
    <n v="250"/>
    <n v="31245"/>
    <n v="49089"/>
    <n v="15"/>
    <n v="2189.3413489999998"/>
  </r>
  <r>
    <x v="26"/>
    <x v="118"/>
    <s v="Celebrity Fan Gossip"/>
    <m/>
    <x v="1"/>
    <x v="0"/>
    <s v="New York City"/>
    <s v=" New York"/>
    <m/>
    <m/>
    <s v="mlb.com"/>
    <s v="Google Ad Manager"/>
    <s v="Smartphone"/>
    <n v="10012"/>
    <n v="25"/>
    <n v="5734"/>
    <n v="9413"/>
    <n v="4"/>
    <n v="1805.9260859999999"/>
  </r>
  <r>
    <x v="26"/>
    <x v="119"/>
    <s v="QuickTrip"/>
    <m/>
    <x v="1"/>
    <x v="0"/>
    <s v="Huntsville-Decatur (Florence)"/>
    <s v=" Alabama"/>
    <m/>
    <m/>
    <s v="cargurus.com"/>
    <s v="Index Exchange"/>
    <s v="Smartphone"/>
    <n v="16227"/>
    <n v="40"/>
    <n v="9438"/>
    <n v="15611"/>
    <n v="3"/>
    <n v="1991.9438399999999"/>
  </r>
  <r>
    <x v="26"/>
    <x v="63"/>
    <s v="Transamerica"/>
    <m/>
    <x v="0"/>
    <x v="3"/>
    <s v="Chicago"/>
    <s v=" Illinois"/>
    <m/>
    <m/>
    <s v="yahoo.com"/>
    <s v="Google Ad Manager"/>
    <s v="Apple PC"/>
    <n v="598460"/>
    <n v="1654"/>
    <n v="201153"/>
    <n v="557263"/>
    <n v="13"/>
    <n v="1689.7445070000001"/>
  </r>
  <r>
    <x v="26"/>
    <x v="115"/>
    <s v="Drama"/>
    <m/>
    <x v="0"/>
    <x v="1"/>
    <s v="Los Angeles"/>
    <s v=" California"/>
    <m/>
    <m/>
    <s v="yahoo.com"/>
    <s v="PubMatic"/>
    <s v="Smartphone"/>
    <n v="556152"/>
    <n v="1867"/>
    <n v="221833"/>
    <n v="480882"/>
    <n v="7"/>
    <n v="1818.100044"/>
  </r>
  <r>
    <x v="26"/>
    <x v="115"/>
    <s v="Network TV"/>
    <m/>
    <x v="1"/>
    <x v="0"/>
    <s v="Miami-Ft. Lauderdale"/>
    <s v=" Florida"/>
    <m/>
    <m/>
    <s v="realtor.com"/>
    <s v="Google Ad Manager"/>
    <s v="Smartphone"/>
    <n v="104814"/>
    <n v="369"/>
    <n v="55984"/>
    <n v="99432"/>
    <n v="5"/>
    <n v="1942.8475129999999"/>
  </r>
  <r>
    <x v="26"/>
    <x v="115"/>
    <s v="Reality"/>
    <s v="Game Shows"/>
    <x v="0"/>
    <x v="1"/>
    <s v="Chicago"/>
    <s v=" Illinois"/>
    <m/>
    <m/>
    <s v="nbcsports.com"/>
    <s v="Index Exchange"/>
    <s v="Smartphone"/>
    <n v="15047"/>
    <n v="84"/>
    <n v="5653"/>
    <n v="14459"/>
    <n v="4"/>
    <n v="2127.495962"/>
  </r>
  <r>
    <x v="26"/>
    <x v="113"/>
    <s v="Local News"/>
    <m/>
    <x v="1"/>
    <x v="2"/>
    <s v="Grand Rapids-Kalamazoo"/>
    <s v=" Michigan"/>
    <m/>
    <m/>
    <s v="activebeat.com"/>
    <s v="Magnite DV+"/>
    <s v="Smartphone"/>
    <n v="16151"/>
    <n v="54"/>
    <n v="4360"/>
    <n v="11358"/>
    <n v="3"/>
    <n v="1706.224318"/>
  </r>
  <r>
    <x v="26"/>
    <x v="114"/>
    <s v="Classic Rock"/>
    <m/>
    <x v="0"/>
    <x v="1"/>
    <s v="Chicago"/>
    <s v=" Illinois"/>
    <m/>
    <m/>
    <s v="screenrant.com"/>
    <s v="Google Ad Manager"/>
    <s v="Windows PC"/>
    <n v="62040"/>
    <n v="174"/>
    <n v="43853"/>
    <n v="58642"/>
    <n v="15"/>
    <n v="2139.0657930000002"/>
  </r>
  <r>
    <x v="26"/>
    <x v="113"/>
    <s v="Ecommerce"/>
    <m/>
    <x v="0"/>
    <x v="0"/>
    <s v="New York City"/>
    <s v=" New York"/>
    <m/>
    <m/>
    <s v="wsj.com"/>
    <s v="Google Ad Manager"/>
    <s v="Windows PC"/>
    <n v="20459"/>
    <n v="40"/>
    <n v="12668"/>
    <n v="18613"/>
    <n v="4"/>
    <n v="1842.6065129999999"/>
  </r>
  <r>
    <x v="27"/>
    <x v="120"/>
    <m/>
    <m/>
    <x v="1"/>
    <x v="1"/>
    <s v="Lansing"/>
    <s v=" Michigan"/>
    <m/>
    <m/>
    <s v="weather.com"/>
    <s v="Google Ad Manager"/>
    <s v="Smartphone"/>
    <n v="96508"/>
    <n v="351"/>
    <n v="47065"/>
    <n v="73640"/>
    <n v="15"/>
    <n v="5310.7695720000002"/>
  </r>
  <r>
    <x v="27"/>
    <x v="121"/>
    <m/>
    <m/>
    <x v="0"/>
    <x v="2"/>
    <s v="New York City"/>
    <s v=" New York"/>
    <m/>
    <m/>
    <s v="realtor.com"/>
    <s v="BidSwitch"/>
    <s v="Windows PC"/>
    <n v="109372"/>
    <n v="364"/>
    <n v="58336"/>
    <n v="103569"/>
    <n v="21"/>
    <n v="6928.0062019999996"/>
  </r>
  <r>
    <x v="27"/>
    <x v="122"/>
    <m/>
    <m/>
    <x v="1"/>
    <x v="0"/>
    <s v="Miami-Ft. Lauderdale"/>
    <s v=" Florida"/>
    <m/>
    <m/>
    <s v="realtor.com"/>
    <s v="Magnite DV+"/>
    <s v="Smartphone"/>
    <n v="14581"/>
    <n v="45"/>
    <n v="3821"/>
    <n v="12741"/>
    <n v="6"/>
    <n v="5296.9700910000001"/>
  </r>
  <r>
    <x v="27"/>
    <x v="123"/>
    <m/>
    <m/>
    <x v="1"/>
    <x v="3"/>
    <s v="Nashville"/>
    <s v=" Tennessee"/>
    <m/>
    <m/>
    <s v="forbes.com"/>
    <s v="Google Ad Manager"/>
    <s v="Smartphone"/>
    <n v="15326"/>
    <n v="68"/>
    <n v="7941"/>
    <n v="14331"/>
    <n v="8"/>
    <n v="6943.5158240000001"/>
  </r>
  <r>
    <x v="27"/>
    <x v="124"/>
    <m/>
    <m/>
    <x v="0"/>
    <x v="1"/>
    <s v="Chicago"/>
    <s v=" Illinois"/>
    <m/>
    <m/>
    <s v="weather.com"/>
    <s v="PubMatic"/>
    <s v="Windows PC"/>
    <n v="26439"/>
    <n v="95"/>
    <n v="7093"/>
    <n v="19681"/>
    <n v="7"/>
    <n v="5330.7819689999997"/>
  </r>
  <r>
    <x v="27"/>
    <x v="125"/>
    <m/>
    <m/>
    <x v="1"/>
    <x v="0"/>
    <s v="Miami-Ft. Lauderdale"/>
    <s v=" Florida"/>
    <m/>
    <m/>
    <s v="dexerto.com"/>
    <s v="OpenX"/>
    <s v="Smartphone"/>
    <n v="14553"/>
    <n v="47"/>
    <n v="6119"/>
    <n v="12505"/>
    <n v="11"/>
    <n v="6968.00047"/>
  </r>
  <r>
    <x v="28"/>
    <x v="55"/>
    <m/>
    <m/>
    <x v="0"/>
    <x v="3"/>
    <s v="Chicago"/>
    <s v=" Illinois"/>
    <m/>
    <m/>
    <s v="biblegateway.com"/>
    <s v="Google Ad Manager"/>
    <s v="Windows PC"/>
    <n v="113420"/>
    <n v="333"/>
    <n v="33557"/>
    <n v="104929"/>
    <n v="11"/>
    <n v="5124.4359340000001"/>
  </r>
  <r>
    <x v="28"/>
    <x v="126"/>
    <m/>
    <m/>
    <x v="0"/>
    <x v="2"/>
    <s v="Jacksonville"/>
    <s v=" Florida"/>
    <m/>
    <m/>
    <s v="people.com"/>
    <s v="PubMatic"/>
    <s v="Smartphone"/>
    <n v="21280"/>
    <n v="70"/>
    <n v="15309"/>
    <n v="20244"/>
    <n v="6"/>
    <n v="6837.5106020000003"/>
  </r>
  <r>
    <x v="29"/>
    <x v="127"/>
    <m/>
    <m/>
    <x v="0"/>
    <x v="2"/>
    <s v="Chicago"/>
    <s v=" Illinois"/>
    <m/>
    <m/>
    <s v="slickdeals.net"/>
    <s v="OpenX"/>
    <s v="Windows PC"/>
    <n v="18537"/>
    <n v="95"/>
    <n v="6473"/>
    <n v="17081"/>
    <n v="4"/>
    <n v="5206.2389679999997"/>
  </r>
  <r>
    <x v="29"/>
    <x v="128"/>
    <m/>
    <m/>
    <x v="1"/>
    <x v="0"/>
    <s v="Augusta"/>
    <s v=" Georgia"/>
    <m/>
    <m/>
    <s v="biblegateway.com"/>
    <s v="Taboola"/>
    <s v="Smartphone"/>
    <n v="43367"/>
    <n v="111"/>
    <n v="14306"/>
    <n v="39750"/>
    <n v="12"/>
    <n v="5214.2986929999997"/>
  </r>
  <r>
    <x v="29"/>
    <x v="129"/>
    <m/>
    <m/>
    <x v="1"/>
    <x v="1"/>
    <s v="Chicago"/>
    <s v=" Illinois"/>
    <m/>
    <m/>
    <s v="washingtonpost.com"/>
    <s v="Xandr - Monetize SSP (AppNexus)"/>
    <s v="Smartphone"/>
    <n v="9867"/>
    <n v="30"/>
    <n v="6867"/>
    <n v="9347"/>
    <n v="12"/>
    <n v="6839.5690860000004"/>
  </r>
  <r>
    <x v="29"/>
    <x v="130"/>
    <m/>
    <m/>
    <x v="1"/>
    <x v="2"/>
    <s v="Grand Rapids-Kalamazoo"/>
    <s v=" Michigan"/>
    <m/>
    <m/>
    <s v="cars.com"/>
    <s v="Google Ad Manager"/>
    <s v="Smartphone"/>
    <n v="17582"/>
    <n v="56"/>
    <n v="9848"/>
    <n v="16558"/>
    <n v="12"/>
    <n v="6846.4479149999997"/>
  </r>
  <r>
    <x v="30"/>
    <x v="131"/>
    <m/>
    <m/>
    <x v="0"/>
    <x v="2"/>
    <s v="New York City"/>
    <s v=" New York"/>
    <m/>
    <m/>
    <s v="yahoo.com"/>
    <s v="Google Ad Manager"/>
    <s v="Smartphone"/>
    <n v="1221746"/>
    <n v="3874"/>
    <n v="512107"/>
    <n v="1088748"/>
    <n v="19"/>
    <n v="7483.8871870000003"/>
  </r>
  <r>
    <x v="30"/>
    <x v="132"/>
    <m/>
    <m/>
    <x v="1"/>
    <x v="0"/>
    <s v="Nashville"/>
    <s v=" Tennessee"/>
    <m/>
    <m/>
    <s v="businessinsider.com"/>
    <s v="TripleLift"/>
    <s v="Smartphone"/>
    <n v="11919"/>
    <n v="69"/>
    <n v="8100"/>
    <n v="11524"/>
    <n v="2"/>
    <n v="6350.916905"/>
  </r>
  <r>
    <x v="30"/>
    <x v="133"/>
    <m/>
    <m/>
    <x v="1"/>
    <x v="0"/>
    <s v="Chicago"/>
    <s v=" Illinois"/>
    <m/>
    <m/>
    <s v="yahoo.com"/>
    <s v="Xandr - Monetize SSP (AppNexus)"/>
    <s v="Smartphone"/>
    <n v="446774"/>
    <n v="1245"/>
    <n v="163786"/>
    <n v="374116"/>
    <n v="12"/>
    <n v="7248.2316119999996"/>
  </r>
  <r>
    <x v="30"/>
    <x v="134"/>
    <m/>
    <m/>
    <x v="1"/>
    <x v="1"/>
    <s v="Los Angeles"/>
    <s v=" California"/>
    <m/>
    <m/>
    <s v="msn.com"/>
    <s v="Google Ad Manager"/>
    <s v="Smartphone"/>
    <n v="1515751"/>
    <n v="3874"/>
    <n v="1151776"/>
    <n v="1396230"/>
    <n v="49"/>
    <n v="7850.6442440000001"/>
  </r>
  <r>
    <x v="30"/>
    <x v="135"/>
    <m/>
    <m/>
    <x v="0"/>
    <x v="0"/>
    <s v="Grand Rapids-Kalamazoo"/>
    <s v=" Michigan"/>
    <m/>
    <m/>
    <s v="yahoo.com"/>
    <s v="Google Ad Manager"/>
    <s v="Smartphone"/>
    <n v="310255"/>
    <n v="970"/>
    <n v="105054"/>
    <n v="260998"/>
    <n v="14"/>
    <n v="6057.8567220000004"/>
  </r>
  <r>
    <x v="30"/>
    <x v="136"/>
    <m/>
    <m/>
    <x v="1"/>
    <x v="1"/>
    <s v="New York City"/>
    <s v=" New York"/>
    <m/>
    <m/>
    <s v="thesaurus.com"/>
    <s v="Google Ad Manager"/>
    <s v="Smartphone"/>
    <n v="18081"/>
    <n v="44"/>
    <n v="4545"/>
    <n v="15617"/>
    <n v="15"/>
    <n v="6522.6375260000004"/>
  </r>
  <r>
    <x v="30"/>
    <x v="137"/>
    <m/>
    <m/>
    <x v="1"/>
    <x v="2"/>
    <s v="Miami-Ft. Lauderdale"/>
    <s v=" Florida"/>
    <m/>
    <m/>
    <s v="businessinsider.com"/>
    <s v="Google Ad Manager"/>
    <s v="Smartphone"/>
    <n v="35163"/>
    <n v="250"/>
    <n v="21222"/>
    <n v="33671"/>
    <n v="15"/>
    <n v="6336.7181"/>
  </r>
  <r>
    <x v="30"/>
    <x v="138"/>
    <m/>
    <m/>
    <x v="0"/>
    <x v="1"/>
    <s v="Nashville"/>
    <s v=" Tennessee"/>
    <m/>
    <m/>
    <s v="ebay.com"/>
    <s v="Xandr - Monetize SSP (AppNexus)"/>
    <s v="Smartphone"/>
    <n v="569171"/>
    <n v="1354"/>
    <n v="343050"/>
    <n v="541133"/>
    <n v="78"/>
    <n v="7129.6332869999997"/>
  </r>
  <r>
    <x v="30"/>
    <x v="139"/>
    <m/>
    <m/>
    <x v="0"/>
    <x v="3"/>
    <s v="Chicago"/>
    <s v=" Illinois"/>
    <m/>
    <m/>
    <s v="news.yahoo.com"/>
    <s v="BidSwitch"/>
    <s v="Smartphone"/>
    <n v="16503"/>
    <n v="69"/>
    <n v="8595"/>
    <n v="14466"/>
    <n v="7"/>
    <n v="5714.5238669999999"/>
  </r>
  <r>
    <x v="30"/>
    <x v="140"/>
    <m/>
    <m/>
    <x v="0"/>
    <x v="0"/>
    <s v="New York City"/>
    <s v=" New York"/>
    <m/>
    <m/>
    <s v="topclassactions.com"/>
    <s v="PubMatic"/>
    <s v="Smartphone"/>
    <n v="9362"/>
    <n v="39"/>
    <n v="5202"/>
    <n v="8928"/>
    <n v="6"/>
    <n v="7312.492757"/>
  </r>
  <r>
    <x v="31"/>
    <x v="141"/>
    <m/>
    <m/>
    <x v="0"/>
    <x v="3"/>
    <s v="Chicago"/>
    <s v=" Illinois"/>
    <m/>
    <m/>
    <s v="msn.com"/>
    <s v="Google Ad Manager"/>
    <s v="Smartphone"/>
    <n v="554980"/>
    <n v="1542"/>
    <n v="323498"/>
    <n v="467646"/>
    <n v="8"/>
    <n v="1600.7695880000001"/>
  </r>
  <r>
    <x v="31"/>
    <x v="142"/>
    <s v="Estate Planning"/>
    <m/>
    <x v="1"/>
    <x v="0"/>
    <s v="Los Angeles"/>
    <s v=" California"/>
    <m/>
    <m/>
    <s v="businessinsider.com"/>
    <s v="Google Ad Manager"/>
    <s v="Smartphone"/>
    <n v="59782"/>
    <n v="212"/>
    <n v="28235"/>
    <n v="57543"/>
    <n v="13"/>
    <n v="1455.7035539999999"/>
  </r>
  <r>
    <x v="31"/>
    <x v="143"/>
    <s v="Clothing Shoppers"/>
    <m/>
    <x v="0"/>
    <x v="0"/>
    <s v="Nashville"/>
    <s v=" Tennessee"/>
    <m/>
    <m/>
    <s v="mail.yahoo.com"/>
    <s v="Index Exchange"/>
    <s v="Smartphone"/>
    <n v="19464"/>
    <n v="68"/>
    <n v="11814"/>
    <n v="17040"/>
    <n v="9"/>
    <n v="1540.4693500000001"/>
  </r>
  <r>
    <x v="31"/>
    <x v="16"/>
    <s v="International Travel"/>
    <m/>
    <x v="0"/>
    <x v="1"/>
    <s v="San Francisco"/>
    <s v=" California"/>
    <m/>
    <m/>
    <s v="eonline.com"/>
    <s v="Google Ad Manager"/>
    <s v="Smartphone"/>
    <n v="13464"/>
    <n v="84"/>
    <n v="1698"/>
    <n v="11234"/>
    <n v="1"/>
    <n v="1466.285104"/>
  </r>
  <r>
    <x v="31"/>
    <x v="143"/>
    <s v="Children's Clothing Shoppers"/>
    <m/>
    <x v="1"/>
    <x v="2"/>
    <s v="Knoxville"/>
    <s v=" Tennessee"/>
    <m/>
    <m/>
    <s v="lensvid.com"/>
    <s v="Yieldmo"/>
    <s v="Smartphone"/>
    <n v="9014"/>
    <n v="26"/>
    <n v="5054"/>
    <n v="7227"/>
    <n v="4"/>
    <n v="1539.60069"/>
  </r>
  <r>
    <x v="31"/>
    <x v="144"/>
    <s v="Online Shoppers"/>
    <m/>
    <x v="0"/>
    <x v="2"/>
    <s v="Grand Rapids-Kalamazoo"/>
    <s v=" Michigan"/>
    <m/>
    <m/>
    <s v="sciencealert.com"/>
    <s v="BidSwitch"/>
    <s v="Smartphone"/>
    <n v="13347"/>
    <n v="80"/>
    <n v="8357"/>
    <n v="11461"/>
    <n v="10"/>
    <n v="1543.6614199999999"/>
  </r>
  <r>
    <x v="31"/>
    <x v="143"/>
    <s v="Women's Clothing Shoppers"/>
    <m/>
    <x v="1"/>
    <x v="0"/>
    <s v="Orlando-Daytona Beach"/>
    <s v=" Florida"/>
    <m/>
    <m/>
    <s v="jdpower.com"/>
    <s v="Magnite DV+"/>
    <s v="Smartphone"/>
    <n v="9040"/>
    <n v="21"/>
    <n v="3585"/>
    <n v="8450"/>
    <n v="3"/>
    <n v="1473.192464"/>
  </r>
  <r>
    <x v="31"/>
    <x v="143"/>
    <m/>
    <m/>
    <x v="1"/>
    <x v="0"/>
    <s v="Tri-Cities"/>
    <s v=" Tennessee"/>
    <s v="Virginia"/>
    <m/>
    <s v="rvtrader.com"/>
    <s v="Google Ad Manager"/>
    <s v="Smartphone"/>
    <n v="13168"/>
    <n v="84"/>
    <n v="8527"/>
    <n v="12625"/>
    <n v="4"/>
    <n v="1639.72335"/>
  </r>
  <r>
    <x v="31"/>
    <x v="143"/>
    <s v="Men's Clothing Shoppers"/>
    <m/>
    <x v="1"/>
    <x v="2"/>
    <s v="Chicago"/>
    <s v=" Illinois"/>
    <m/>
    <m/>
    <s v="zone.msn.com"/>
    <s v="PubMatic"/>
    <s v="Smartphone"/>
    <n v="10903"/>
    <n v="35"/>
    <n v="3776"/>
    <n v="9581"/>
    <n v="2"/>
    <n v="1460.0097539999999"/>
  </r>
  <r>
    <x v="31"/>
    <x v="145"/>
    <s v="Product Segment"/>
    <m/>
    <x v="0"/>
    <x v="0"/>
    <s v="New York City"/>
    <s v=" New York"/>
    <m/>
    <m/>
    <s v="mail.aol.com"/>
    <s v="Google Ad Manager"/>
    <s v="Smartphone"/>
    <n v="92806"/>
    <n v="212"/>
    <n v="67534"/>
    <n v="85013"/>
    <n v="11"/>
    <n v="1579.379602"/>
  </r>
  <r>
    <x v="31"/>
    <x v="145"/>
    <s v="Product Segment"/>
    <s v="Home Supplies"/>
    <x v="0"/>
    <x v="2"/>
    <s v="Los Angeles"/>
    <s v=" California"/>
    <m/>
    <m/>
    <s v="ebay.com"/>
    <s v="PubMatic"/>
    <s v="Smartphone"/>
    <n v="13326"/>
    <n v="98"/>
    <n v="3568"/>
    <n v="11388"/>
    <n v="2"/>
    <n v="1442.032183"/>
  </r>
  <r>
    <x v="31"/>
    <x v="146"/>
    <s v="Mobile Phones"/>
    <m/>
    <x v="0"/>
    <x v="2"/>
    <s v="Champaign &amp; Springfield-Decatur"/>
    <s v="Illinois"/>
    <m/>
    <m/>
    <s v="insider.com"/>
    <s v="PubMatic"/>
    <s v="Smartphone"/>
    <n v="39705"/>
    <n v="190"/>
    <n v="12950"/>
    <n v="38030"/>
    <n v="3"/>
    <n v="1476.4195090000001"/>
  </r>
  <r>
    <x v="31"/>
    <x v="146"/>
    <m/>
    <m/>
    <x v="1"/>
    <x v="0"/>
    <s v="San Francisco"/>
    <s v=" California"/>
    <m/>
    <m/>
    <s v="m.timesofindia.com"/>
    <s v="Google Ad Manager"/>
    <s v="Smartphone"/>
    <n v="9059"/>
    <n v="22"/>
    <n v="589"/>
    <n v="7480"/>
    <n v="4"/>
    <n v="1908.5261170000001"/>
  </r>
  <r>
    <x v="31"/>
    <x v="146"/>
    <s v="Electronics &amp; Gadgets"/>
    <m/>
    <x v="0"/>
    <x v="1"/>
    <s v="Flint-Saginaw-Bay City"/>
    <s v=" Michigan"/>
    <m/>
    <m/>
    <s v="kbb.com"/>
    <s v="Google Ad Manager"/>
    <s v="Apple PC"/>
    <n v="16236"/>
    <n v="50"/>
    <n v="8669"/>
    <n v="15208"/>
    <n v="11"/>
    <n v="1639.8136959999999"/>
  </r>
  <r>
    <x v="31"/>
    <x v="16"/>
    <s v="Summer Travel"/>
    <m/>
    <x v="0"/>
    <x v="3"/>
    <s v="Tampa-St Petersburg (Sarasota)"/>
    <s v=" Florida"/>
    <m/>
    <m/>
    <s v="ajc.com"/>
    <s v="Google Ad Manager"/>
    <s v="Apple PC"/>
    <n v="16719"/>
    <n v="35"/>
    <n v="9944"/>
    <n v="15714"/>
    <n v="13"/>
    <n v="1588.6475"/>
  </r>
  <r>
    <x v="31"/>
    <x v="16"/>
    <s v="Winter Holiday Travel"/>
    <m/>
    <x v="0"/>
    <x v="3"/>
    <s v="San Francisco"/>
    <s v=" California"/>
    <m/>
    <m/>
    <s v="investing.com"/>
    <s v="Magnite DV+"/>
    <s v="Apple PC"/>
    <n v="81486"/>
    <n v="193"/>
    <n v="57653"/>
    <n v="76803"/>
    <n v="6"/>
    <n v="1463.8428739999999"/>
  </r>
  <r>
    <x v="31"/>
    <x v="142"/>
    <s v="Stocks"/>
    <m/>
    <x v="0"/>
    <x v="3"/>
    <s v="New York City"/>
    <s v=" New York"/>
    <m/>
    <m/>
    <s v="repairlinkshop.com"/>
    <s v="Yahoo Exchange"/>
    <s v="Smartphone"/>
    <n v="13382"/>
    <n v="68"/>
    <n v="3340"/>
    <n v="11662"/>
    <n v="1"/>
    <n v="1447.927193"/>
  </r>
  <r>
    <x v="31"/>
    <x v="16"/>
    <s v="Thanksgiving Travel"/>
    <m/>
    <x v="1"/>
    <x v="3"/>
    <s v="Cincinnati"/>
    <s v=" Ohio"/>
    <m/>
    <m/>
    <s v="weather.com"/>
    <s v="Google Ad Manager"/>
    <s v="Smartphone"/>
    <n v="36543"/>
    <n v="147"/>
    <n v="18046"/>
    <n v="27358"/>
    <n v="6"/>
    <n v="1513.0887279999999"/>
  </r>
  <r>
    <x v="32"/>
    <x v="50"/>
    <m/>
    <m/>
    <x v="1"/>
    <x v="3"/>
    <s v="New York City"/>
    <s v=" New York"/>
    <m/>
    <m/>
    <s v="upworthy.com"/>
    <s v="PubMatic"/>
    <s v="Smartphone"/>
    <n v="16137"/>
    <n v="40"/>
    <n v="7938"/>
    <n v="14030"/>
    <n v="4"/>
    <n v="1835.048738"/>
  </r>
  <r>
    <x v="33"/>
    <x v="50"/>
    <m/>
    <m/>
    <x v="1"/>
    <x v="0"/>
    <s v="New York City"/>
    <s v=" New York"/>
    <m/>
    <m/>
    <s v="weather.com"/>
    <s v="Google Ad Manager"/>
    <s v="Smartphone"/>
    <n v="78433"/>
    <n v="204"/>
    <n v="24067"/>
    <n v="58308"/>
    <n v="16"/>
    <n v="1612.5493269999999"/>
  </r>
  <r>
    <x v="34"/>
    <x v="50"/>
    <m/>
    <m/>
    <x v="0"/>
    <x v="1"/>
    <s v="Los Angeles"/>
    <s v=" California"/>
    <m/>
    <m/>
    <s v="healthyrecipesblogs.com"/>
    <s v="Yieldmo"/>
    <s v="Smartphone"/>
    <n v="9149"/>
    <n v="40"/>
    <n v="4568"/>
    <n v="8648"/>
    <n v="4"/>
    <n v="1758.0983650000001"/>
  </r>
  <r>
    <x v="34"/>
    <x v="147"/>
    <s v="Open For Business B2B"/>
    <m/>
    <x v="1"/>
    <x v="3"/>
    <s v="Los Angeles"/>
    <s v=" California"/>
    <m/>
    <m/>
    <s v="tomsguide.com"/>
    <s v="OpenX"/>
    <s v="Smartphone"/>
    <n v="21737"/>
    <n v="80"/>
    <n v="11206"/>
    <n v="19459"/>
    <n v="4"/>
    <n v="1521.576648"/>
  </r>
  <r>
    <x v="35"/>
    <x v="148"/>
    <m/>
    <m/>
    <x v="0"/>
    <x v="3"/>
    <s v="Los Angeles"/>
    <s v=" California"/>
    <m/>
    <m/>
    <s v="nbcnews.com"/>
    <s v="Google Ad Manager"/>
    <s v="Smartphone"/>
    <n v="183208"/>
    <n v="620"/>
    <n v="131164"/>
    <n v="177952"/>
    <n v="43"/>
    <n v="2682.4366230000001"/>
  </r>
  <r>
    <x v="35"/>
    <x v="149"/>
    <s v="Interest (Affinity)"/>
    <s v="Olympics Winter Olympics"/>
    <x v="1"/>
    <x v="1"/>
    <s v="Toledo"/>
    <s v=" Ohio"/>
    <m/>
    <m/>
    <s v="outlook.live.com"/>
    <s v="Google Ad Manager"/>
    <s v="Smartphone"/>
    <n v="21229"/>
    <n v="80"/>
    <n v="18073"/>
    <n v="19655"/>
    <n v="10"/>
    <n v="1550.0766550000001"/>
  </r>
  <r>
    <x v="35"/>
    <x v="149"/>
    <s v="Interest (Affinity)"/>
    <s v="Team Sports Baseball"/>
    <x v="0"/>
    <x v="0"/>
    <s v="Champaign &amp; Springfield-Decatur"/>
    <s v="Illinois"/>
    <m/>
    <m/>
    <s v="aol.com"/>
    <s v="OpenX"/>
    <s v="Smartphone"/>
    <n v="11062"/>
    <n v="78"/>
    <n v="6539"/>
    <n v="9391"/>
    <n v="2"/>
    <n v="1500.09932"/>
  </r>
  <r>
    <x v="35"/>
    <x v="148"/>
    <s v="Online News Websites"/>
    <m/>
    <x v="1"/>
    <x v="3"/>
    <s v="Grand Rapids-Kalamazoo"/>
    <s v=" Michigan"/>
    <m/>
    <m/>
    <s v="newsharper.com"/>
    <s v="TripleLift"/>
    <s v="Smartphone"/>
    <n v="16288"/>
    <n v="56"/>
    <n v="5304"/>
    <n v="10731"/>
    <n v="3"/>
    <n v="2030.142709"/>
  </r>
  <r>
    <x v="35"/>
    <x v="150"/>
    <s v="Streaming Video"/>
    <s v="Interest (Affinity)"/>
    <x v="1"/>
    <x v="2"/>
    <s v="Chicago"/>
    <s v=" Illinois"/>
    <m/>
    <m/>
    <s v="nytimes.com"/>
    <s v="Google Ad Manager"/>
    <s v="Smartphone"/>
    <n v="16239"/>
    <n v="78"/>
    <n v="9375"/>
    <n v="15562"/>
    <n v="5"/>
    <n v="2387.686295"/>
  </r>
  <r>
    <x v="35"/>
    <x v="114"/>
    <m/>
    <m/>
    <x v="0"/>
    <x v="1"/>
    <s v="New York City"/>
    <s v=" New York"/>
    <m/>
    <m/>
    <s v="cnn.com"/>
    <s v="Yahoo Exchange"/>
    <s v="Smartphone"/>
    <n v="45402"/>
    <n v="122"/>
    <n v="17284"/>
    <n v="27542"/>
    <n v="5"/>
    <n v="2163.2653460000001"/>
  </r>
  <r>
    <x v="35"/>
    <x v="5"/>
    <s v="Enthusiasts"/>
    <m/>
    <x v="1"/>
    <x v="0"/>
    <s v="Jacksonville"/>
    <s v=" Florida"/>
    <m/>
    <m/>
    <s v="wsvn.com"/>
    <s v="BidSwitch"/>
    <s v="Smartphone"/>
    <n v="13466"/>
    <n v="150"/>
    <n v="8684"/>
    <n v="11766"/>
    <n v="1"/>
    <n v="1527.1762739999999"/>
  </r>
  <r>
    <x v="35"/>
    <x v="149"/>
    <s v="Interest (Affinity)"/>
    <s v="Team Sports Baseball"/>
    <x v="1"/>
    <x v="3"/>
    <s v="Los Angeles"/>
    <s v=" California"/>
    <m/>
    <m/>
    <s v="news.yahoo.com"/>
    <s v="PubMatic"/>
    <s v="Smartphone"/>
    <n v="73544"/>
    <n v="223"/>
    <n v="40405"/>
    <n v="67406"/>
    <n v="1"/>
    <n v="1465.8722660000001"/>
  </r>
  <r>
    <x v="35"/>
    <x v="149"/>
    <s v="Interest (Affinity)"/>
    <s v="Individual Sports"/>
    <x v="1"/>
    <x v="0"/>
    <s v="Chicago"/>
    <s v=" Illinois"/>
    <m/>
    <m/>
    <s v="yahoo.com"/>
    <s v="TripleLift"/>
    <s v="Smartphone"/>
    <n v="37227"/>
    <n v="130"/>
    <n v="13542"/>
    <n v="32456"/>
    <n v="4"/>
    <n v="1901.094691"/>
  </r>
  <r>
    <x v="35"/>
    <x v="149"/>
    <s v="Interest (Affinity)"/>
    <s v="Individual Sports Tennis and Racquet Sports"/>
    <x v="0"/>
    <x v="3"/>
    <s v="Orlando-Daytona Beach"/>
    <s v=" Florida"/>
    <m/>
    <m/>
    <s v="investopedia.com"/>
    <s v="BidSwitch"/>
    <s v="Apple PC"/>
    <n v="17228"/>
    <n v="30"/>
    <n v="11116"/>
    <n v="16044"/>
    <n v="3"/>
    <n v="1547.513459"/>
  </r>
  <r>
    <x v="35"/>
    <x v="149"/>
    <s v="Interest (Affinity)"/>
    <s v="Olympics Summer Olympics"/>
    <x v="1"/>
    <x v="2"/>
    <s v="Tampa-St Petersburg (Sarasota)"/>
    <s v=" Florida"/>
    <m/>
    <m/>
    <s v="att.yahoo.com"/>
    <s v="BidSwitch"/>
    <s v="Smartphone"/>
    <n v="10992"/>
    <n v="97"/>
    <n v="6677"/>
    <n v="10132"/>
    <n v="3"/>
    <n v="1675.987427"/>
  </r>
  <r>
    <x v="35"/>
    <x v="150"/>
    <s v="Streaming Audio"/>
    <m/>
    <x v="0"/>
    <x v="3"/>
    <s v="Chicago"/>
    <s v=" Illinois"/>
    <m/>
    <m/>
    <s v="cnbc.com"/>
    <s v="Google Ad Manager"/>
    <s v="Smartphone"/>
    <n v="42451"/>
    <n v="122"/>
    <n v="29142"/>
    <n v="41093"/>
    <n v="7"/>
    <n v="1530.553686"/>
  </r>
  <r>
    <x v="35"/>
    <x v="149"/>
    <s v="Interest (Affinity)"/>
    <s v="Olympics"/>
    <x v="0"/>
    <x v="0"/>
    <s v="Panama City"/>
    <s v=" Florida"/>
    <m/>
    <m/>
    <s v="nba.com"/>
    <s v="Google Ad Manager"/>
    <s v="Smartphone"/>
    <n v="10883"/>
    <n v="46"/>
    <n v="1652"/>
    <n v="8869"/>
    <n v="16"/>
    <n v="1942.482395"/>
  </r>
  <r>
    <x v="35"/>
    <x v="150"/>
    <s v="Streaming Video"/>
    <m/>
    <x v="1"/>
    <x v="0"/>
    <s v="Grand Rapids-Kalamazoo"/>
    <s v=" Michigan"/>
    <m/>
    <m/>
    <s v="wunderground.com"/>
    <s v="OpenX"/>
    <s v="Smartphone"/>
    <n v="13713"/>
    <n v="151"/>
    <n v="8339"/>
    <n v="13051"/>
    <n v="5"/>
    <n v="1490.0061969999999"/>
  </r>
  <r>
    <x v="35"/>
    <x v="149"/>
    <s v="Interest (Affinity)"/>
    <s v="Team Sports Soccer (Football)"/>
    <x v="0"/>
    <x v="2"/>
    <s v="Nashville"/>
    <s v=" Tennessee"/>
    <m/>
    <m/>
    <s v="merriam-webster.com/dictionary"/>
    <s v="BidSwitch"/>
    <s v="Smartphone"/>
    <n v="7402"/>
    <n v="9"/>
    <n v="3860"/>
    <n v="6406"/>
    <n v="1"/>
    <n v="1560.449936"/>
  </r>
  <r>
    <x v="35"/>
    <x v="149"/>
    <s v="Interest (Affinity)"/>
    <m/>
    <x v="0"/>
    <x v="3"/>
    <s v="Chicago"/>
    <s v=" Illinois"/>
    <m/>
    <m/>
    <s v="cheapoair.com"/>
    <s v="Google Ad Manager"/>
    <s v="Smartphone"/>
    <n v="14581"/>
    <n v="85"/>
    <n v="6970"/>
    <n v="8882"/>
    <n v="4"/>
    <n v="2636.2021239999999"/>
  </r>
  <r>
    <x v="35"/>
    <x v="149"/>
    <s v="Interest (Affinity)"/>
    <s v="Team Sports Football (American)"/>
    <x v="1"/>
    <x v="0"/>
    <s v="Tallahassee"/>
    <s v=" Florida"/>
    <s v="Thomasville"/>
    <s v=" Georgia"/>
    <s v="msn.com"/>
    <s v="Google Ad Manager"/>
    <s v="Smartphone"/>
    <n v="47931"/>
    <n v="170"/>
    <n v="15989"/>
    <n v="38916"/>
    <n v="4"/>
    <n v="1487.228625"/>
  </r>
  <r>
    <x v="35"/>
    <x v="149"/>
    <s v="Interest (Affinity)"/>
    <s v="Combat Sports"/>
    <x v="1"/>
    <x v="3"/>
    <s v="Los Angeles"/>
    <s v=" California"/>
    <m/>
    <m/>
    <s v="npr.org"/>
    <s v="Smart RTB+ (Smartadserver)"/>
    <s v="Smartphone"/>
    <n v="13592"/>
    <n v="85"/>
    <n v="7747"/>
    <n v="10690"/>
    <n v="1"/>
    <n v="1555.1120780000001"/>
  </r>
  <r>
    <x v="35"/>
    <x v="151"/>
    <s v="Viewership"/>
    <m/>
    <x v="0"/>
    <x v="2"/>
    <s v="New York City"/>
    <s v=" New York"/>
    <m/>
    <m/>
    <s v="womenshealthmag.com"/>
    <s v="BidSwitch"/>
    <s v="Smartphone"/>
    <n v="14693"/>
    <n v="70"/>
    <n v="6597"/>
    <n v="13508"/>
    <n v="4"/>
    <n v="2047.3489239999999"/>
  </r>
  <r>
    <x v="35"/>
    <x v="151"/>
    <m/>
    <m/>
    <x v="0"/>
    <x v="0"/>
    <s v="Grand Rapids-Kalamazoo"/>
    <s v=" Michigan"/>
    <m/>
    <m/>
    <s v="poshland.com"/>
    <s v="Google Ad Manager"/>
    <s v="Smartphone"/>
    <n v="9130"/>
    <n v="33"/>
    <n v="3721"/>
    <n v="5564"/>
    <n v="1"/>
    <n v="1655.7928569999999"/>
  </r>
  <r>
    <x v="35"/>
    <x v="151"/>
    <s v="Viewership"/>
    <s v="TV Genres Drama"/>
    <x v="0"/>
    <x v="2"/>
    <s v="Orlando-Daytona Beach"/>
    <s v=" Florida"/>
    <m/>
    <m/>
    <s v="semana.com"/>
    <s v="OpenX"/>
    <s v="Windows PC"/>
    <n v="16325"/>
    <n v="78"/>
    <n v="9558"/>
    <n v="15426"/>
    <n v="21"/>
    <n v="1814.098581"/>
  </r>
  <r>
    <x v="35"/>
    <x v="152"/>
    <s v="In-Market"/>
    <m/>
    <x v="0"/>
    <x v="2"/>
    <s v="San Francisco"/>
    <s v=" California"/>
    <m/>
    <m/>
    <s v="moneyppl.com"/>
    <s v="Xandr - Monetize SSP (AppNexus)"/>
    <s v="Windows PC"/>
    <n v="37076"/>
    <n v="113"/>
    <n v="9246"/>
    <n v="22565"/>
    <n v="12"/>
    <n v="1487.9960779999999"/>
  </r>
  <r>
    <x v="35"/>
    <x v="150"/>
    <s v="Streaming Video"/>
    <s v="Interest (Affinity) Streaming Services"/>
    <x v="0"/>
    <x v="2"/>
    <s v="Orlando-Daytona Beach"/>
    <s v=" Florida"/>
    <m/>
    <m/>
    <s v="yahoo.com"/>
    <s v="Google Ad Manager"/>
    <s v="Apple PC"/>
    <n v="17049"/>
    <n v="84"/>
    <n v="191"/>
    <n v="15564"/>
    <n v="15"/>
    <n v="2144.489587"/>
  </r>
  <r>
    <x v="35"/>
    <x v="50"/>
    <m/>
    <m/>
    <x v="0"/>
    <x v="0"/>
    <s v="Chicago"/>
    <s v=" Illinois"/>
    <m/>
    <m/>
    <s v="yahoo.com"/>
    <s v="Google Ad Manager"/>
    <s v="Smartphone"/>
    <n v="421110"/>
    <n v="984"/>
    <n v="212140"/>
    <n v="389474"/>
    <n v="4"/>
    <n v="1635.920216"/>
  </r>
  <r>
    <x v="35"/>
    <x v="50"/>
    <m/>
    <m/>
    <x v="1"/>
    <x v="1"/>
    <s v="New York City"/>
    <s v=" New York"/>
    <m/>
    <m/>
    <s v="weather.com"/>
    <s v="Google Ad Manager"/>
    <s v="Smartphone"/>
    <n v="654902"/>
    <n v="1874"/>
    <n v="40733"/>
    <n v="477114"/>
    <n v="14"/>
    <n v="3178.6103149999999"/>
  </r>
  <r>
    <x v="35"/>
    <x v="152"/>
    <s v="Interest (Affinity)"/>
    <s v="Video Games"/>
    <x v="1"/>
    <x v="0"/>
    <s v="Tallahassee"/>
    <s v=" Florida"/>
    <s v="Thomasville"/>
    <s v=" Georgia"/>
    <s v="bleacherbreaker.com"/>
    <s v="OpenX"/>
    <s v="Smartphone"/>
    <n v="9078"/>
    <n v="21"/>
    <n v="4051"/>
    <n v="6215"/>
    <n v="1"/>
    <n v="1700.795736"/>
  </r>
  <r>
    <x v="35"/>
    <x v="153"/>
    <m/>
    <m/>
    <x v="0"/>
    <x v="3"/>
    <s v="New York City"/>
    <s v=" New York"/>
    <m/>
    <m/>
    <s v="editorsnation.com"/>
    <s v="Google Ad Manager"/>
    <s v="Smartphone"/>
    <n v="10942"/>
    <n v="66"/>
    <n v="4578"/>
    <n v="9155"/>
    <n v="3"/>
    <n v="1595.752624"/>
  </r>
  <r>
    <x v="35"/>
    <x v="154"/>
    <s v="Streaming Television and Film Viewership"/>
    <s v="OTT Movie Viewers Genre"/>
    <x v="0"/>
    <x v="3"/>
    <s v="Chicago"/>
    <s v=" Illinois"/>
    <m/>
    <m/>
    <s v="cars.com"/>
    <s v="BidSwitch"/>
    <s v="Windows PC"/>
    <n v="69757"/>
    <n v="199"/>
    <n v="41258"/>
    <n v="65374"/>
    <n v="20"/>
    <n v="1510.6153200000001"/>
  </r>
  <r>
    <x v="35"/>
    <x v="154"/>
    <m/>
    <m/>
    <x v="0"/>
    <x v="2"/>
    <s v="Chicago"/>
    <s v=" Illinois"/>
    <m/>
    <m/>
    <s v="streetinsider.com"/>
    <s v="Google Ad Manager"/>
    <s v="Smartphone"/>
    <n v="756687"/>
    <n v="1984"/>
    <n v="442979"/>
    <n v="611813"/>
    <n v="14"/>
    <n v="2452.9975039999999"/>
  </r>
  <r>
    <x v="35"/>
    <x v="155"/>
    <m/>
    <m/>
    <x v="0"/>
    <x v="1"/>
    <s v="Flint-Saginaw-Bay City"/>
    <s v=" Michigan"/>
    <m/>
    <m/>
    <s v="motor-junkie.com"/>
    <s v="PubMatic"/>
    <s v="Windows PC"/>
    <n v="70506"/>
    <n v="270"/>
    <n v="26779"/>
    <n v="48902"/>
    <n v="3"/>
    <n v="1912.9668819999999"/>
  </r>
  <r>
    <x v="35"/>
    <x v="149"/>
    <s v="Interest (Affinity)"/>
    <s v="Motorsports"/>
    <x v="0"/>
    <x v="0"/>
    <s v="Nashville"/>
    <s v=" Tennessee"/>
    <m/>
    <m/>
    <s v="biblegateway.com"/>
    <s v="Google Ad Manager"/>
    <s v="Windows PC"/>
    <n v="21531"/>
    <n v="55"/>
    <n v="15593"/>
    <n v="18617"/>
    <n v="6"/>
    <n v="1470.9719250000001"/>
  </r>
  <r>
    <x v="36"/>
    <x v="156"/>
    <s v="Arts Enthusiasts"/>
    <m/>
    <x v="0"/>
    <x v="1"/>
    <s v="Miami-Ft. Lauderdale"/>
    <s v=" Florida"/>
    <m/>
    <m/>
    <s v="weather.com"/>
    <s v="PubMatic"/>
    <s v="Smartphone"/>
    <n v="40519"/>
    <n v="111"/>
    <n v="6105"/>
    <n v="26283"/>
    <n v="10"/>
    <n v="1582.410977"/>
  </r>
  <r>
    <x v="37"/>
    <x v="157"/>
    <m/>
    <m/>
    <x v="0"/>
    <x v="0"/>
    <s v="New York City"/>
    <s v=" New York"/>
    <m/>
    <m/>
    <s v="baseball.fantasysports.yahoo.com"/>
    <s v="BidSwitch"/>
    <s v="Apple PC"/>
    <n v="12770"/>
    <n v="84"/>
    <n v="6224"/>
    <n v="11110"/>
    <n v="21"/>
    <n v="2087.5098269999999"/>
  </r>
  <r>
    <x v="37"/>
    <x v="158"/>
    <s v="Pastimes Multibuyer"/>
    <m/>
    <x v="0"/>
    <x v="3"/>
    <s v="Orlando-Daytona Beach"/>
    <s v=" Florida"/>
    <m/>
    <m/>
    <s v="rent.com"/>
    <s v="BidSwitch"/>
    <s v="Smartphone"/>
    <n v="15277"/>
    <n v="69"/>
    <n v="3089"/>
    <n v="13644"/>
    <n v="4"/>
    <n v="1904.5643459999999"/>
  </r>
  <r>
    <x v="37"/>
    <x v="159"/>
    <s v="Continuity Buyers"/>
    <m/>
    <x v="1"/>
    <x v="0"/>
    <s v="Miami-Ft. Lauderdale"/>
    <s v=" Florida"/>
    <m/>
    <m/>
    <s v="zdnet.com"/>
    <s v="Index Exchange"/>
    <s v="Smartphone"/>
    <n v="12692"/>
    <n v="105"/>
    <n v="9048"/>
    <n v="12326"/>
    <n v="14"/>
    <n v="1541.7195979999999"/>
  </r>
  <r>
    <x v="38"/>
    <x v="160"/>
    <m/>
    <m/>
    <x v="1"/>
    <x v="1"/>
    <s v="New York City"/>
    <s v=" New York"/>
    <m/>
    <m/>
    <s v="calculator.net"/>
    <s v="PubMatic"/>
    <s v="Smartphone"/>
    <n v="37176"/>
    <n v="100"/>
    <n v="31829"/>
    <n v="35639"/>
    <n v="21"/>
    <n v="6753.5952420000003"/>
  </r>
  <r>
    <x v="38"/>
    <x v="161"/>
    <m/>
    <m/>
    <x v="1"/>
    <x v="2"/>
    <s v="Memphis"/>
    <s v=" Tennessee"/>
    <m/>
    <m/>
    <s v="realtor.com"/>
    <s v="Yahoo Exchange"/>
    <s v="Smartphone"/>
    <n v="44889"/>
    <n v="125"/>
    <n v="17477"/>
    <n v="38621"/>
    <n v="25"/>
    <n v="6644.954146"/>
  </r>
  <r>
    <x v="38"/>
    <x v="162"/>
    <m/>
    <m/>
    <x v="1"/>
    <x v="2"/>
    <s v="New York City"/>
    <s v=" New York"/>
    <m/>
    <m/>
    <s v="thesaurus.com"/>
    <s v="Google Ad Manager"/>
    <s v="Smartphone"/>
    <n v="55445"/>
    <n v="155"/>
    <n v="4565"/>
    <n v="53407"/>
    <n v="36"/>
    <n v="7948.4807520000004"/>
  </r>
  <r>
    <x v="38"/>
    <x v="163"/>
    <m/>
    <m/>
    <x v="2"/>
    <x v="1"/>
    <s v="Miami-Ft. Lauderdale"/>
    <s v=" Florida"/>
    <m/>
    <m/>
    <s v="femanin.com"/>
    <s v="BidSwitch"/>
    <s v="Smartphone"/>
    <n v="115412"/>
    <n v="490"/>
    <n v="71564"/>
    <n v="81785"/>
    <n v="21"/>
    <n v="6861.5363799999996"/>
  </r>
  <r>
    <x v="38"/>
    <x v="164"/>
    <m/>
    <m/>
    <x v="1"/>
    <x v="0"/>
    <s v="Knoxville"/>
    <s v=" Tennessee"/>
    <m/>
    <m/>
    <s v="finance.yahoo.com"/>
    <s v="OpenX"/>
    <s v="Smartphone"/>
    <n v="44505"/>
    <n v="125"/>
    <n v="18993"/>
    <n v="39522"/>
    <n v="16"/>
    <n v="6766.4753680000003"/>
  </r>
  <r>
    <x v="38"/>
    <x v="165"/>
    <m/>
    <m/>
    <x v="0"/>
    <x v="3"/>
    <s v="New York City"/>
    <s v=" New York"/>
    <m/>
    <m/>
    <s v="wikihow.com"/>
    <s v="Google Ad Manager"/>
    <s v="Smartphone"/>
    <n v="9404"/>
    <n v="30"/>
    <n v="4781"/>
    <n v="7943"/>
    <n v="4"/>
    <n v="1345.3689999999999"/>
  </r>
  <r>
    <x v="38"/>
    <x v="166"/>
    <m/>
    <m/>
    <x v="1"/>
    <x v="0"/>
    <s v="Chicago"/>
    <s v=" Illinois"/>
    <m/>
    <m/>
    <s v="biblegateway.com"/>
    <s v="Google Ad Manager"/>
    <s v="Smartphone"/>
    <n v="26715"/>
    <n v="100"/>
    <n v="12287"/>
    <n v="25003"/>
    <n v="6"/>
    <n v="4623.0896720000001"/>
  </r>
  <r>
    <x v="39"/>
    <x v="43"/>
    <s v="Baby &amp; Toddler"/>
    <m/>
    <x v="0"/>
    <x v="3"/>
    <s v="Memphis"/>
    <s v=" Tennessee"/>
    <m/>
    <m/>
    <s v="topclassactions.com"/>
    <s v="Index Exchange"/>
    <s v="Windows PC"/>
    <n v="16628"/>
    <n v="70"/>
    <n v="7974"/>
    <n v="15969"/>
    <n v="13"/>
    <n v="1665.9658509999999"/>
  </r>
  <r>
    <x v="39"/>
    <x v="43"/>
    <s v="Sporting Goods"/>
    <s v="Team Sports"/>
    <x v="0"/>
    <x v="1"/>
    <s v="Charleston"/>
    <s v=" South Carolina"/>
    <m/>
    <m/>
    <s v="cbssports.com"/>
    <s v="Magnite DV+"/>
    <s v="Apple PC"/>
    <n v="94340"/>
    <n v="250"/>
    <n v="16955"/>
    <n v="76971"/>
    <n v="13"/>
    <n v="1517.244377"/>
  </r>
  <r>
    <x v="39"/>
    <x v="43"/>
    <s v="Software"/>
    <s v="Video Game Software"/>
    <x v="0"/>
    <x v="2"/>
    <s v="San Francisco"/>
    <s v=" California"/>
    <m/>
    <m/>
    <s v="activebeat.com"/>
    <s v="Google Ad Manager"/>
    <s v="Windows PC"/>
    <n v="76439"/>
    <n v="100"/>
    <n v="58269"/>
    <n v="66924"/>
    <n v="8"/>
    <n v="1524.8102240000001"/>
  </r>
  <r>
    <x v="39"/>
    <x v="43"/>
    <s v="Animals &amp; Pet"/>
    <m/>
    <x v="0"/>
    <x v="0"/>
    <s v="New York City"/>
    <s v=" New York"/>
    <m/>
    <m/>
    <s v="a-z-animals.com"/>
    <s v="OpenX"/>
    <s v="Smartphone"/>
    <n v="75161"/>
    <n v="280"/>
    <n v="40385"/>
    <n v="70325"/>
    <n v="3"/>
    <n v="1506.461108"/>
  </r>
  <r>
    <x v="39"/>
    <x v="43"/>
    <s v="Electronics"/>
    <s v="Video Televisions"/>
    <x v="1"/>
    <x v="1"/>
    <s v="Los Angeles"/>
    <s v=" California"/>
    <m/>
    <m/>
    <s v="accuweather.com"/>
    <s v="OpenX"/>
    <s v="Smartphone"/>
    <n v="19826"/>
    <n v="39"/>
    <n v="6511"/>
    <n v="15752"/>
    <n v="10"/>
    <n v="1447.873298"/>
  </r>
  <r>
    <x v="39"/>
    <x v="167"/>
    <m/>
    <m/>
    <x v="1"/>
    <x v="1"/>
    <s v="Chicago"/>
    <s v=" Illinois"/>
    <m/>
    <m/>
    <s v="slickdeals.net"/>
    <s v="Google Ad Manager"/>
    <s v="Smartphone"/>
    <n v="19212"/>
    <n v="54"/>
    <n v="6872"/>
    <n v="14248"/>
    <n v="10"/>
    <n v="2133.0771129999998"/>
  </r>
  <r>
    <x v="39"/>
    <x v="43"/>
    <s v="Software"/>
    <m/>
    <x v="0"/>
    <x v="2"/>
    <s v="Miami-Ft. Lauderdale"/>
    <s v=" Florida"/>
    <m/>
    <m/>
    <s v="politico.com"/>
    <s v="Google Ad Manager"/>
    <s v="Windows PC"/>
    <n v="22501"/>
    <n v="120"/>
    <n v="13003"/>
    <n v="21286"/>
    <n v="9"/>
    <n v="1522.517949"/>
  </r>
  <r>
    <x v="39"/>
    <x v="90"/>
    <s v="News &amp; Magazines"/>
    <m/>
    <x v="1"/>
    <x v="3"/>
    <s v="Chicago"/>
    <s v=" Illinois"/>
    <m/>
    <m/>
    <s v="msn.com"/>
    <s v="Google Ad Manager"/>
    <s v="Smartphone"/>
    <n v="80456"/>
    <n v="204"/>
    <n v="46039"/>
    <n v="65383"/>
    <n v="3"/>
    <n v="2039.848792"/>
  </r>
  <r>
    <x v="39"/>
    <x v="43"/>
    <s v="Education"/>
    <m/>
    <x v="1"/>
    <x v="0"/>
    <s v="Flint-Saginaw-Bay City"/>
    <s v=" Michigan"/>
    <m/>
    <m/>
    <s v="icy-veins.com"/>
    <s v="PubMatic"/>
    <s v="Smartphone"/>
    <n v="19344"/>
    <n v="68"/>
    <n v="2353"/>
    <n v="18261"/>
    <n v="10"/>
    <n v="1500.722291"/>
  </r>
  <r>
    <x v="39"/>
    <x v="43"/>
    <s v="Travel"/>
    <m/>
    <x v="0"/>
    <x v="0"/>
    <s v="Chicago"/>
    <s v=" Illinois"/>
    <m/>
    <m/>
    <s v="msn.com"/>
    <s v="BidSwitch"/>
    <s v="Apple PC"/>
    <n v="96031"/>
    <n v="311"/>
    <n v="57187"/>
    <n v="78396"/>
    <n v="21"/>
    <n v="1508.9076700000001"/>
  </r>
  <r>
    <x v="39"/>
    <x v="50"/>
    <m/>
    <m/>
    <x v="0"/>
    <x v="2"/>
    <s v="San Francisco"/>
    <s v=" California"/>
    <m/>
    <m/>
    <s v="clutchpoints.com"/>
    <s v="Google Ad Manager"/>
    <s v="Smartphone"/>
    <n v="7472"/>
    <n v="10"/>
    <n v="1191"/>
    <n v="5883"/>
    <n v="1"/>
    <n v="2183.952037"/>
  </r>
  <r>
    <x v="39"/>
    <x v="43"/>
    <s v="Electronics"/>
    <s v="Video Game Consoles"/>
    <x v="1"/>
    <x v="3"/>
    <s v="Chicago"/>
    <s v=" Illinois"/>
    <m/>
    <m/>
    <s v="reuters.com"/>
    <s v="Taboola"/>
    <s v="Smartphone"/>
    <n v="16791"/>
    <n v="40"/>
    <n v="11402"/>
    <n v="14231"/>
    <n v="3"/>
    <n v="1522.5122719999999"/>
  </r>
  <r>
    <x v="39"/>
    <x v="90"/>
    <s v="News"/>
    <s v="International News"/>
    <x v="0"/>
    <x v="3"/>
    <s v="Tallahassee"/>
    <s v=" Florida"/>
    <s v="Thomasville"/>
    <s v=" Georgia"/>
    <s v="weather.com"/>
    <s v="Index Exchange"/>
    <s v="Smartphone"/>
    <n v="197192"/>
    <n v="519"/>
    <n v="80623"/>
    <n v="181763"/>
    <n v="5"/>
    <n v="1584.731757"/>
  </r>
  <r>
    <x v="39"/>
    <x v="43"/>
    <s v="Auto"/>
    <s v="Vehicle Parts &amp; Accessories"/>
    <x v="1"/>
    <x v="0"/>
    <s v="Grand Rapids-Kalamazoo"/>
    <s v=" Michigan"/>
    <m/>
    <m/>
    <s v="ebay.com"/>
    <s v="BidSwitch"/>
    <s v="Smartphone"/>
    <n v="37269"/>
    <n v="106"/>
    <n v="11667"/>
    <n v="33260"/>
    <n v="6"/>
    <n v="1453.075462"/>
  </r>
  <r>
    <x v="39"/>
    <x v="90"/>
    <s v="Games"/>
    <m/>
    <x v="1"/>
    <x v="3"/>
    <s v="Los Angeles"/>
    <s v=" California"/>
    <m/>
    <m/>
    <s v="gamespot.com"/>
    <s v="BidSwitch"/>
    <s v="Smartphone"/>
    <n v="13779"/>
    <n v="96"/>
    <n v="3482"/>
    <n v="12487"/>
    <n v="4"/>
    <n v="1530.041892"/>
  </r>
  <r>
    <x v="39"/>
    <x v="90"/>
    <s v="Arts &amp; Entertainment"/>
    <s v="Movies"/>
    <x v="0"/>
    <x v="0"/>
    <s v="Grand Rapids-Kalamazoo"/>
    <s v=" Michigan"/>
    <m/>
    <m/>
    <s v="realtor.com"/>
    <s v="BidSwitch"/>
    <s v="Smartphone"/>
    <n v="30714"/>
    <n v="111"/>
    <n v="12531"/>
    <n v="28461"/>
    <n v="9"/>
    <n v="1503.4843109999999"/>
  </r>
  <r>
    <x v="39"/>
    <x v="90"/>
    <s v="Life Stage"/>
    <m/>
    <x v="0"/>
    <x v="1"/>
    <s v="Tallahassee"/>
    <s v=" Florida"/>
    <s v="Thomasville"/>
    <s v=" Georgia"/>
    <s v="ebay.com"/>
    <s v="Google Ad Manager"/>
    <s v="Smartphone"/>
    <n v="189462"/>
    <n v="478"/>
    <n v="53431"/>
    <n v="163634"/>
    <n v="5"/>
    <n v="1625.17488"/>
  </r>
  <r>
    <x v="39"/>
    <x v="90"/>
    <s v="Shopping"/>
    <m/>
    <x v="2"/>
    <x v="0"/>
    <s v="Ft. Myers-Naples"/>
    <s v=" Florida"/>
    <m/>
    <m/>
    <s v="news.yahoo.com"/>
    <s v="Google Ad Manager"/>
    <s v="Smartphone"/>
    <n v="63415"/>
    <n v="185"/>
    <n v="28161"/>
    <n v="59169"/>
    <n v="9"/>
    <n v="1924.162675"/>
  </r>
  <r>
    <x v="39"/>
    <x v="90"/>
    <s v="Science"/>
    <s v="Weather Forecast"/>
    <x v="0"/>
    <x v="2"/>
    <s v="Los Angeles"/>
    <s v=" California"/>
    <m/>
    <m/>
    <s v="biblegateway.com"/>
    <s v="Google Ad Manager"/>
    <s v="Windows PC"/>
    <n v="16808"/>
    <n v="43"/>
    <n v="9211"/>
    <n v="13372"/>
    <n v="3"/>
    <n v="1574.7912799999999"/>
  </r>
  <r>
    <x v="39"/>
    <x v="90"/>
    <s v="Arts &amp; Entertainment"/>
    <s v="Television"/>
    <x v="0"/>
    <x v="1"/>
    <s v="Augusta"/>
    <s v=" Georgia"/>
    <m/>
    <m/>
    <s v="forbes.com"/>
    <s v="Google Ad Manager"/>
    <s v="Windows PC"/>
    <n v="22800"/>
    <n v="79"/>
    <n v="8298"/>
    <n v="21161"/>
    <n v="24"/>
    <n v="1620.1655000000001"/>
  </r>
  <r>
    <x v="39"/>
    <x v="90"/>
    <s v="Arts &amp; Entertainment"/>
    <s v="Fine Art"/>
    <x v="2"/>
    <x v="3"/>
    <s v="West Palm Beach-Ft. Pierce"/>
    <s v=" Florida"/>
    <m/>
    <m/>
    <s v="kbb.com"/>
    <s v="BidSwitch"/>
    <s v="Smartphone"/>
    <n v="37717"/>
    <n v="69"/>
    <n v="26541"/>
    <n v="35126"/>
    <n v="5"/>
    <n v="1725.2713630000001"/>
  </r>
  <r>
    <x v="39"/>
    <x v="90"/>
    <s v="Sports"/>
    <m/>
    <x v="0"/>
    <x v="3"/>
    <s v="Chicago"/>
    <s v=" Illinois"/>
    <m/>
    <m/>
    <s v="femanin.com"/>
    <s v="Google Ad Manager"/>
    <s v="Smartphone"/>
    <n v="11375"/>
    <n v="87"/>
    <n v="7171"/>
    <n v="8151"/>
    <n v="4"/>
    <n v="1763.7840610000001"/>
  </r>
  <r>
    <x v="39"/>
    <x v="90"/>
    <s v="Food &amp; Drink"/>
    <m/>
    <x v="0"/>
    <x v="1"/>
    <s v="Birmingham"/>
    <s v=" Alabama"/>
    <m/>
    <m/>
    <s v="w3schools.com"/>
    <s v="Google Ad Manager"/>
    <s v="Windows PC"/>
    <n v="38070"/>
    <n v="146"/>
    <n v="15253"/>
    <n v="35453"/>
    <n v="8"/>
    <n v="1653.510777"/>
  </r>
  <r>
    <x v="39"/>
    <x v="90"/>
    <s v="Education"/>
    <m/>
    <x v="1"/>
    <x v="2"/>
    <s v="Miami-Ft. Lauderdale"/>
    <s v=" Florida"/>
    <m/>
    <m/>
    <s v="politico.com"/>
    <s v="BidSwitch"/>
    <s v="Smartphone"/>
    <n v="20165"/>
    <n v="60"/>
    <n v="6601"/>
    <n v="18909"/>
    <n v="10"/>
    <n v="1743.0786869999999"/>
  </r>
  <r>
    <x v="39"/>
    <x v="90"/>
    <s v="Shopping"/>
    <s v="Luxurious Brands"/>
    <x v="1"/>
    <x v="1"/>
    <s v="Ft. Myers-Naples"/>
    <s v=" Florida"/>
    <m/>
    <m/>
    <s v="the-sun.com"/>
    <s v="Google Ad Manager"/>
    <s v="Smartphone"/>
    <n v="97346"/>
    <n v="790"/>
    <n v="44118"/>
    <n v="91080"/>
    <n v="19"/>
    <n v="1657.5648699999999"/>
  </r>
  <r>
    <x v="39"/>
    <x v="90"/>
    <s v="Travel"/>
    <m/>
    <x v="0"/>
    <x v="0"/>
    <s v="New York City"/>
    <s v=" New York"/>
    <m/>
    <m/>
    <s v="mail.yahoo.com"/>
    <s v="BidSwitch"/>
    <s v="Smartphone"/>
    <n v="7540"/>
    <n v="10"/>
    <n v="1475"/>
    <n v="2054"/>
    <n v="1"/>
    <n v="1713.978863"/>
  </r>
  <r>
    <x v="39"/>
    <x v="90"/>
    <s v="News"/>
    <s v="National News"/>
    <x v="2"/>
    <x v="3"/>
    <s v="Los Angeles"/>
    <s v=" California"/>
    <m/>
    <m/>
    <s v="greedyfinance.com"/>
    <s v="Google Ad Manager"/>
    <s v="Smartphone"/>
    <n v="20537"/>
    <n v="84"/>
    <n v="15587"/>
    <n v="19288"/>
    <n v="10"/>
    <n v="1609.880674"/>
  </r>
  <r>
    <x v="39"/>
    <x v="90"/>
    <s v="Technology &amp; Computing"/>
    <m/>
    <x v="2"/>
    <x v="1"/>
    <s v="Flint-Saginaw-Bay City"/>
    <s v=" Michigan"/>
    <m/>
    <m/>
    <s v="wunderground.com"/>
    <s v="PubMatic"/>
    <s v="Smartphone"/>
    <n v="23410"/>
    <n v="66"/>
    <n v="13626"/>
    <n v="22109"/>
    <n v="6"/>
    <n v="1930.180523"/>
  </r>
  <r>
    <x v="39"/>
    <x v="90"/>
    <s v="News"/>
    <s v="Local News"/>
    <x v="2"/>
    <x v="3"/>
    <s v="West Palm Beach-Ft. Pierce"/>
    <s v=" Florida"/>
    <m/>
    <m/>
    <s v="foxnews.com"/>
    <s v="BidSwitch"/>
    <s v="Smartphone"/>
    <n v="69722"/>
    <n v="194"/>
    <n v="40640"/>
    <n v="64819"/>
    <n v="10"/>
    <n v="1667.6558950000001"/>
  </r>
  <r>
    <x v="39"/>
    <x v="90"/>
    <s v="Careers"/>
    <m/>
    <x v="1"/>
    <x v="0"/>
    <s v="Flint-Saginaw-Bay City"/>
    <s v=" Michigan"/>
    <m/>
    <m/>
    <s v="biblegateway.com"/>
    <s v="Google Ad Manager"/>
    <s v="Smartphone"/>
    <n v="77313"/>
    <n v="191"/>
    <n v="40366"/>
    <n v="71128"/>
    <n v="3"/>
    <n v="1790.3901980000001"/>
  </r>
  <r>
    <x v="39"/>
    <x v="90"/>
    <s v="Personal Finance"/>
    <m/>
    <x v="1"/>
    <x v="0"/>
    <s v="Chicago"/>
    <s v=" Illinois"/>
    <m/>
    <m/>
    <s v="essentiallysports.com"/>
    <s v="Google Ad Manager"/>
    <s v="Smartphone"/>
    <n v="80408"/>
    <n v="199"/>
    <n v="13127"/>
    <n v="67027"/>
    <n v="9"/>
    <n v="1788.1116179999999"/>
  </r>
  <r>
    <x v="39"/>
    <x v="90"/>
    <s v="Social life"/>
    <m/>
    <x v="0"/>
    <x v="1"/>
    <s v="New York City"/>
    <s v=" New York"/>
    <m/>
    <m/>
    <s v="screenrant.com"/>
    <s v="BidSwitch"/>
    <s v="Smartphone"/>
    <n v="83537"/>
    <n v="222"/>
    <n v="67987"/>
    <n v="79409"/>
    <n v="4"/>
    <n v="1761.0793229999999"/>
  </r>
  <r>
    <x v="39"/>
    <x v="90"/>
    <s v="Business"/>
    <m/>
    <x v="0"/>
    <x v="2"/>
    <s v="San Francisco"/>
    <s v=" California"/>
    <m/>
    <m/>
    <s v="cbsnews.com"/>
    <s v="PubMatic"/>
    <s v="Smartphone"/>
    <n v="13700"/>
    <n v="63"/>
    <n v="3609"/>
    <n v="12644"/>
    <n v="4"/>
    <n v="2032.700147"/>
  </r>
  <r>
    <x v="39"/>
    <x v="90"/>
    <s v="Shopping"/>
    <s v="Shopping Mall Buyers"/>
    <x v="0"/>
    <x v="3"/>
    <s v="Memphis"/>
    <s v=" Tennessee"/>
    <m/>
    <m/>
    <s v="cargurus.com"/>
    <s v="Sharethrough"/>
    <s v="Smartphone"/>
    <n v="7409"/>
    <n v="10"/>
    <n v="5009"/>
    <n v="7160"/>
    <n v="12"/>
    <n v="1472.110115"/>
  </r>
  <r>
    <x v="39"/>
    <x v="90"/>
    <s v="Arts &amp; Entertainment"/>
    <s v="Celebrity Fan Gossip"/>
    <x v="0"/>
    <x v="0"/>
    <s v="Los Angeles"/>
    <s v=" California"/>
    <m/>
    <m/>
    <s v="ebay.com"/>
    <s v="BidSwitch"/>
    <s v="Smartphone"/>
    <n v="77703"/>
    <n v="204"/>
    <n v="33478"/>
    <n v="72874"/>
    <n v="3"/>
    <n v="1566.9124059999999"/>
  </r>
  <r>
    <x v="39"/>
    <x v="90"/>
    <s v="Pets"/>
    <m/>
    <x v="1"/>
    <x v="2"/>
    <s v="West Palm Beach-Ft. Pierce"/>
    <s v=" Florida"/>
    <m/>
    <m/>
    <s v="soaps.sheknows.com"/>
    <s v="Google Ad Manager"/>
    <s v="Smartphone"/>
    <n v="20572"/>
    <n v="90"/>
    <n v="2226"/>
    <n v="16510"/>
    <n v="10"/>
    <n v="1529.307229"/>
  </r>
  <r>
    <x v="39"/>
    <x v="90"/>
    <s v="Technology &amp; Computing"/>
    <s v="Email"/>
    <x v="1"/>
    <x v="2"/>
    <s v="Jacksonville"/>
    <s v=" Florida"/>
    <m/>
    <m/>
    <s v="sporcle.com"/>
    <s v="GumGum"/>
    <s v="Smartphone"/>
    <n v="16956"/>
    <n v="65"/>
    <n v="7553"/>
    <n v="15201"/>
    <n v="3"/>
    <n v="1502.6801390000001"/>
  </r>
  <r>
    <x v="39"/>
    <x v="90"/>
    <s v="Society"/>
    <m/>
    <x v="2"/>
    <x v="0"/>
    <s v="Tampa-St Petersburg (Sarasota)"/>
    <s v=" Florida"/>
    <m/>
    <m/>
    <s v="thehulltruth.com"/>
    <s v="PubMatic"/>
    <s v="Smartphone"/>
    <n v="7531"/>
    <n v="10"/>
    <n v="3059"/>
    <n v="6523"/>
    <n v="1"/>
    <n v="1937.0583879999999"/>
  </r>
  <r>
    <x v="39"/>
    <x v="90"/>
    <s v="Hobbies &amp; Interests"/>
    <s v="Art"/>
    <x v="0"/>
    <x v="0"/>
    <s v="Los Angeles"/>
    <s v=" California"/>
    <m/>
    <m/>
    <s v="timeanddate.com"/>
    <s v="Magnite DV+"/>
    <s v="Windows PC"/>
    <n v="22934"/>
    <n v="81"/>
    <n v="18536"/>
    <n v="21019"/>
    <n v="5"/>
    <n v="1711.1063380000001"/>
  </r>
  <r>
    <x v="39"/>
    <x v="43"/>
    <s v="Sporting Goods"/>
    <m/>
    <x v="0"/>
    <x v="3"/>
    <s v="Chicago"/>
    <s v=" Illinois"/>
    <m/>
    <m/>
    <s v="calculator.net"/>
    <s v="PubMatic"/>
    <s v="Smartphone"/>
    <n v="22004"/>
    <n v="80"/>
    <n v="18735"/>
    <n v="21127"/>
    <n v="4"/>
    <n v="1632.4727820000001"/>
  </r>
  <r>
    <x v="39"/>
    <x v="90"/>
    <s v="Technology &amp; Computing"/>
    <s v="Entertainment"/>
    <x v="0"/>
    <x v="2"/>
    <s v="Orlando-Daytona Beach"/>
    <s v=" Florida"/>
    <m/>
    <m/>
    <s v="yahoo.com"/>
    <s v="BidSwitch"/>
    <s v="Smartphone"/>
    <n v="85965"/>
    <n v="233"/>
    <n v="33865"/>
    <n v="78662"/>
    <n v="3"/>
    <n v="1555.5348120000001"/>
  </r>
  <r>
    <x v="39"/>
    <x v="90"/>
    <s v="Business"/>
    <s v="Economy"/>
    <x v="0"/>
    <x v="0"/>
    <s v="South Bend-Elkhart"/>
    <s v=" Indiana"/>
    <m/>
    <m/>
    <s v="cnn.com"/>
    <s v="Google Ad Manager"/>
    <s v="Smartphone"/>
    <n v="77748"/>
    <n v="227"/>
    <n v="6170"/>
    <n v="53603"/>
    <n v="3"/>
    <n v="1498.3009"/>
  </r>
  <r>
    <x v="39"/>
    <x v="90"/>
    <s v="Arts &amp; Entertainment"/>
    <m/>
    <x v="1"/>
    <x v="0"/>
    <s v="Los Angeles"/>
    <s v=" California"/>
    <m/>
    <m/>
    <s v="redfin.com"/>
    <s v="OpenX"/>
    <s v="Smartphone"/>
    <n v="37617"/>
    <n v="85"/>
    <n v="5092"/>
    <n v="34373"/>
    <n v="6"/>
    <n v="1608.8829519999999"/>
  </r>
  <r>
    <x v="39"/>
    <x v="43"/>
    <s v="Toys &amp; Games"/>
    <m/>
    <x v="1"/>
    <x v="0"/>
    <s v="Chicago"/>
    <s v=" Illinois"/>
    <m/>
    <m/>
    <s v="kbb.com"/>
    <s v="Google Ad Manager"/>
    <s v="Smartphone"/>
    <n v="9222"/>
    <n v="33"/>
    <n v="5352"/>
    <n v="8141"/>
    <n v="2"/>
    <n v="1583.1643019999999"/>
  </r>
  <r>
    <x v="39"/>
    <x v="90"/>
    <s v="Technology"/>
    <m/>
    <x v="2"/>
    <x v="3"/>
    <s v="Chicago"/>
    <s v=" Illinois"/>
    <m/>
    <m/>
    <s v="cnn.com"/>
    <s v="Google Ad Manager"/>
    <s v="Smartphone"/>
    <n v="84306"/>
    <n v="185"/>
    <n v="45376"/>
    <n v="79935"/>
    <n v="3"/>
    <n v="1809.5909610000001"/>
  </r>
  <r>
    <x v="39"/>
    <x v="43"/>
    <s v="Baby &amp; Toddler"/>
    <s v="Baby Toys"/>
    <x v="0"/>
    <x v="1"/>
    <s v="Augusta"/>
    <s v=" Georgia"/>
    <m/>
    <m/>
    <s v="poshland.com"/>
    <s v="Magnite DV+"/>
    <s v="Windows PC"/>
    <n v="16669"/>
    <n v="26"/>
    <n v="10961"/>
    <n v="15451"/>
    <n v="5"/>
    <n v="1658.358536"/>
  </r>
  <r>
    <x v="39"/>
    <x v="90"/>
    <s v="News"/>
    <m/>
    <x v="1"/>
    <x v="1"/>
    <s v="Grand Rapids-Kalamazoo"/>
    <s v=" Michigan"/>
    <m/>
    <m/>
    <s v="outlook.live.com"/>
    <s v="Google Ad Manager"/>
    <s v="Smartphone"/>
    <n v="42833"/>
    <n v="120"/>
    <n v="37438"/>
    <n v="40447"/>
    <n v="9"/>
    <n v="2040.9348190000001"/>
  </r>
  <r>
    <x v="39"/>
    <x v="90"/>
    <m/>
    <m/>
    <x v="0"/>
    <x v="2"/>
    <s v="New York City"/>
    <s v=" New York"/>
    <m/>
    <m/>
    <s v="tomsguide.com"/>
    <s v="Magnite DV+"/>
    <s v="Smartphone"/>
    <n v="11343"/>
    <n v="69"/>
    <n v="5900"/>
    <n v="10175"/>
    <n v="3"/>
    <n v="2178.1537750000002"/>
  </r>
  <r>
    <x v="39"/>
    <x v="90"/>
    <s v="Science"/>
    <s v="Weather"/>
    <x v="0"/>
    <x v="2"/>
    <s v="Orlando-Daytona Beach"/>
    <s v=" Florida"/>
    <m/>
    <m/>
    <s v="omnicalculator.com"/>
    <s v="Magnite DV+"/>
    <s v="Smartphone"/>
    <n v="13823"/>
    <n v="58"/>
    <n v="10671"/>
    <n v="12937"/>
    <n v="3"/>
    <n v="1574.709734"/>
  </r>
  <r>
    <x v="39"/>
    <x v="90"/>
    <s v="Arts &amp; Entertainment"/>
    <s v="Music Lovers"/>
    <x v="0"/>
    <x v="2"/>
    <s v="West Palm Beach-Ft. Pierce"/>
    <s v=" Florida"/>
    <m/>
    <m/>
    <s v="foxnews.com"/>
    <s v="OpenX"/>
    <s v="Windows PC"/>
    <n v="76724"/>
    <n v="187"/>
    <n v="43209"/>
    <n v="69530"/>
    <n v="9"/>
    <n v="1493.204528"/>
  </r>
  <r>
    <x v="39"/>
    <x v="90"/>
    <s v="Technology &amp; Computing"/>
    <s v="Internet Technology"/>
    <x v="0"/>
    <x v="0"/>
    <s v="Panama City"/>
    <s v=" Florida"/>
    <m/>
    <m/>
    <s v="ign.com"/>
    <s v="OpenX"/>
    <s v="Smartphone"/>
    <n v="13833"/>
    <n v="84"/>
    <n v="7693"/>
    <n v="13237"/>
    <n v="6"/>
    <n v="1526.7870660000001"/>
  </r>
  <r>
    <x v="40"/>
    <x v="168"/>
    <m/>
    <m/>
    <x v="1"/>
    <x v="2"/>
    <s v="San Francisco"/>
    <s v=" California"/>
    <m/>
    <m/>
    <s v="ebay.com"/>
    <s v="Index Exchange"/>
    <s v="Smartphone"/>
    <n v="39794"/>
    <n v="101"/>
    <n v="17539"/>
    <n v="37664"/>
    <n v="12"/>
    <n v="5328.5245139999997"/>
  </r>
  <r>
    <x v="40"/>
    <x v="169"/>
    <m/>
    <m/>
    <x v="1"/>
    <x v="1"/>
    <s v="Chicago"/>
    <s v=" Illinois"/>
    <m/>
    <m/>
    <s v="flightaware.com"/>
    <s v="Google Ad Manager"/>
    <s v="Smartphone"/>
    <n v="9463"/>
    <n v="56"/>
    <n v="1518"/>
    <n v="8191"/>
    <n v="4"/>
    <n v="6879.6017069999998"/>
  </r>
  <r>
    <x v="40"/>
    <x v="170"/>
    <m/>
    <m/>
    <x v="1"/>
    <x v="3"/>
    <s v="Jacksonville"/>
    <s v=" Florida"/>
    <m/>
    <m/>
    <s v="signin.ebay.com"/>
    <s v="Yahoo Exchange"/>
    <s v="Smartphone"/>
    <n v="18136"/>
    <n v="69"/>
    <n v="10842"/>
    <n v="14953"/>
    <n v="9"/>
    <n v="6860.3595969999997"/>
  </r>
  <r>
    <x v="40"/>
    <x v="171"/>
    <m/>
    <m/>
    <x v="1"/>
    <x v="2"/>
    <s v="Nashville"/>
    <s v=" Tennessee"/>
    <m/>
    <m/>
    <s v="weather.com"/>
    <s v="Google Ad Manager"/>
    <s v="Smartphone"/>
    <n v="39844"/>
    <n v="99"/>
    <n v="11077"/>
    <n v="30190"/>
    <n v="9"/>
    <n v="6367.8699290000004"/>
  </r>
  <r>
    <x v="40"/>
    <x v="172"/>
    <m/>
    <m/>
    <x v="0"/>
    <x v="0"/>
    <s v="Chicago"/>
    <s v=" Illinois"/>
    <m/>
    <m/>
    <s v="flightaware.com"/>
    <s v="PubMatic"/>
    <s v="Smartphone"/>
    <n v="12136"/>
    <n v="97"/>
    <n v="2089"/>
    <n v="11500"/>
    <n v="3"/>
    <n v="5224.9324630000001"/>
  </r>
  <r>
    <x v="40"/>
    <x v="173"/>
    <m/>
    <m/>
    <x v="0"/>
    <x v="1"/>
    <s v="Miami-Ft. Lauderdale"/>
    <s v=" Florida"/>
    <m/>
    <m/>
    <s v="people.com"/>
    <s v="OpenX"/>
    <s v="Smartphone"/>
    <n v="8187"/>
    <n v="20"/>
    <n v="4888"/>
    <n v="7510"/>
    <n v="3"/>
    <n v="6980.2293040000004"/>
  </r>
  <r>
    <x v="41"/>
    <x v="174"/>
    <m/>
    <m/>
    <x v="1"/>
    <x v="3"/>
    <s v="West Palm Beach-Ft. Pierce"/>
    <s v=" Florida"/>
    <m/>
    <m/>
    <s v="healthline.com"/>
    <s v="Google Ad Manager"/>
    <s v="Smartphone"/>
    <n v="26820"/>
    <n v="80"/>
    <n v="13553"/>
    <n v="21192"/>
    <n v="12"/>
    <n v="6745.1034399999999"/>
  </r>
  <r>
    <x v="41"/>
    <x v="175"/>
    <s v="Parents"/>
    <m/>
    <x v="1"/>
    <x v="0"/>
    <s v="West Palm Beach-Ft. Pierce"/>
    <s v=" Florida"/>
    <m/>
    <m/>
    <s v="cbsnews.com"/>
    <s v="BidSwitch"/>
    <s v="Smartphone"/>
    <n v="115544"/>
    <n v="412"/>
    <n v="79182"/>
    <n v="109463"/>
    <n v="56"/>
    <n v="6721.0944529999997"/>
  </r>
  <r>
    <x v="41"/>
    <x v="176"/>
    <m/>
    <m/>
    <x v="0"/>
    <x v="2"/>
    <s v="Miami-Ft. Lauderdale"/>
    <s v=" Florida"/>
    <m/>
    <m/>
    <s v="accuweather.com"/>
    <s v="BidSwitch"/>
    <s v="Smartphone"/>
    <n v="23829"/>
    <n v="75"/>
    <n v="8326"/>
    <n v="18812"/>
    <n v="5"/>
    <n v="1534.6980000000001"/>
  </r>
  <r>
    <x v="41"/>
    <x v="175"/>
    <s v="Moms"/>
    <m/>
    <x v="1"/>
    <x v="0"/>
    <s v="Flint-Saginaw-Bay City"/>
    <s v=" Michigan"/>
    <m/>
    <m/>
    <s v="my.yahoo.com"/>
    <s v="BidSwitch"/>
    <s v="Smartphone"/>
    <n v="26784"/>
    <n v="85"/>
    <n v="12708"/>
    <n v="22261"/>
    <n v="9"/>
    <n v="6643.1616469999999"/>
  </r>
  <r>
    <x v="42"/>
    <x v="177"/>
    <m/>
    <m/>
    <x v="0"/>
    <x v="0"/>
    <s v="Chicago"/>
    <s v=" Illinois"/>
    <m/>
    <m/>
    <s v="finance.yahoo.com"/>
    <s v="PubMatic"/>
    <s v="Smartphone"/>
    <n v="109567"/>
    <n v="345"/>
    <n v="57620"/>
    <n v="97903"/>
    <n v="5"/>
    <n v="1616.7147219999999"/>
  </r>
  <r>
    <x v="43"/>
    <x v="178"/>
    <s v="Males"/>
    <m/>
    <x v="1"/>
    <x v="2"/>
    <s v="Chicago"/>
    <s v=" Illinois"/>
    <m/>
    <m/>
    <s v="behindthevoiceactors.com"/>
    <s v="Google Ad Manager"/>
    <s v="Smartphone"/>
    <n v="15322"/>
    <n v="55"/>
    <n v="6416"/>
    <n v="14049"/>
    <n v="5"/>
    <n v="1850.464205"/>
  </r>
  <r>
    <x v="44"/>
    <x v="50"/>
    <m/>
    <m/>
    <x v="0"/>
    <x v="1"/>
    <s v="Knoxville"/>
    <s v=" Tennessee"/>
    <m/>
    <m/>
    <s v="screenrant.com"/>
    <s v="Sovrn"/>
    <s v="Windows PC"/>
    <n v="35043"/>
    <n v="140"/>
    <n v="20942"/>
    <n v="33479"/>
    <n v="24"/>
    <n v="1527.9762800000001"/>
  </r>
  <r>
    <x v="45"/>
    <x v="179"/>
    <m/>
    <m/>
    <x v="1"/>
    <x v="3"/>
    <s v="Nashville"/>
    <s v=" Tennessee"/>
    <m/>
    <m/>
    <s v="cars.com"/>
    <s v="Sovrn"/>
    <s v="Smartphone"/>
    <n v="66554"/>
    <n v="169"/>
    <n v="39206"/>
    <n v="62109"/>
    <n v="6"/>
    <n v="1890.885935"/>
  </r>
  <r>
    <x v="45"/>
    <x v="180"/>
    <m/>
    <m/>
    <x v="1"/>
    <x v="0"/>
    <s v="Jackson"/>
    <s v=" Mississippi"/>
    <m/>
    <m/>
    <s v="usatoday.com"/>
    <s v="BidSwitch"/>
    <s v="Smartphone"/>
    <n v="19549"/>
    <n v="84"/>
    <n v="6187"/>
    <n v="17166"/>
    <n v="2"/>
    <n v="1844.9869209999999"/>
  </r>
  <r>
    <x v="46"/>
    <x v="50"/>
    <m/>
    <m/>
    <x v="0"/>
    <x v="1"/>
    <s v="Chicago"/>
    <s v=" Illinois"/>
    <m/>
    <m/>
    <s v="scitechdaily.com"/>
    <s v="Index Exchange"/>
    <s v="Smartphone"/>
    <n v="11289"/>
    <n v="97"/>
    <n v="1345"/>
    <n v="8187"/>
    <n v="3"/>
    <n v="1665.160445"/>
  </r>
  <r>
    <x v="46"/>
    <x v="181"/>
    <s v="Office Supplies Buyers"/>
    <m/>
    <x v="0"/>
    <x v="0"/>
    <s v="Chicago"/>
    <s v=" Illinois"/>
    <m/>
    <m/>
    <s v="weather.com"/>
    <s v="Sharethrough"/>
    <s v="Smartphone"/>
    <n v="12280"/>
    <n v="90"/>
    <n v="7633"/>
    <n v="11053"/>
    <n v="5"/>
    <n v="1452.207361"/>
  </r>
  <r>
    <x v="47"/>
    <x v="50"/>
    <m/>
    <m/>
    <x v="0"/>
    <x v="1"/>
    <s v="Nashville"/>
    <s v=" Tennessee"/>
    <m/>
    <m/>
    <s v="wikihow.com"/>
    <s v="Google Ad Manager"/>
    <s v="Windows PC"/>
    <n v="16142"/>
    <n v="30"/>
    <n v="7064"/>
    <n v="15433"/>
    <n v="5"/>
    <n v="2209.6509569999998"/>
  </r>
  <r>
    <x v="48"/>
    <x v="182"/>
    <s v="Household Consumer Expenditures"/>
    <s v="Lawn and Garden"/>
    <x v="0"/>
    <x v="2"/>
    <s v="New York City"/>
    <s v=" New York"/>
    <m/>
    <m/>
    <s v="cbsnews.com"/>
    <s v="Google Ad Manager"/>
    <s v="Windows PC"/>
    <n v="65983"/>
    <n v="212"/>
    <n v="8536"/>
    <n v="57434"/>
    <n v="3"/>
    <n v="1599.076249"/>
  </r>
  <r>
    <x v="48"/>
    <x v="182"/>
    <s v="Hobbies and Interest"/>
    <s v="Food and Drinks Eats at Family Restaurants"/>
    <x v="1"/>
    <x v="0"/>
    <s v="Flint-Saginaw-Bay City"/>
    <s v=" Michigan"/>
    <m/>
    <m/>
    <s v="poshland.com"/>
    <s v="Google Ad Manager"/>
    <s v="Smartphone"/>
    <n v="268811"/>
    <n v="799"/>
    <n v="95989"/>
    <n v="173923"/>
    <n v="4"/>
    <n v="2549.1151580000001"/>
  </r>
  <r>
    <x v="48"/>
    <x v="182"/>
    <s v="Hobbies and Interest"/>
    <s v="Music Streaming"/>
    <x v="1"/>
    <x v="0"/>
    <s v="Chattanooga"/>
    <s v=" Tennessee"/>
    <m/>
    <m/>
    <s v="mail.aol.com"/>
    <s v="Magnite DV+"/>
    <s v="Smartphone"/>
    <n v="15399"/>
    <n v="35"/>
    <n v="3398"/>
    <n v="4324"/>
    <n v="3"/>
    <n v="3434.7311530000002"/>
  </r>
  <r>
    <x v="48"/>
    <x v="182"/>
    <s v="Real Estate"/>
    <s v="Mortgage Amount $120,000-$159,999"/>
    <x v="0"/>
    <x v="2"/>
    <s v="Ft. Myers-Naples"/>
    <s v=" Florida"/>
    <m/>
    <m/>
    <s v="m.timesofindia.com"/>
    <s v="Sovrn"/>
    <s v="Windows PC"/>
    <n v="15904"/>
    <n v="190"/>
    <n v="7523"/>
    <n v="14815"/>
    <n v="2"/>
    <n v="1825.7257079999999"/>
  </r>
  <r>
    <x v="48"/>
    <x v="182"/>
    <s v="Online"/>
    <s v="Pets"/>
    <x v="1"/>
    <x v="0"/>
    <s v="Los Angeles"/>
    <s v=" California"/>
    <m/>
    <m/>
    <s v="weather.com"/>
    <s v="Google Ad Manager"/>
    <s v="Smartphone"/>
    <n v="68008"/>
    <n v="204"/>
    <n v="2996"/>
    <n v="49686"/>
    <n v="9"/>
    <n v="1923.808141"/>
  </r>
  <r>
    <x v="48"/>
    <x v="182"/>
    <s v="Hobbies and Interest"/>
    <s v="Sports NASCAR Enthusiast"/>
    <x v="0"/>
    <x v="3"/>
    <s v="Miami-Ft. Lauderdale"/>
    <s v=" Florida"/>
    <m/>
    <m/>
    <s v="mail.yahoo.com"/>
    <s v="Google Ad Manager"/>
    <s v="Smartphone"/>
    <n v="12988"/>
    <n v="69"/>
    <n v="6514"/>
    <n v="9378"/>
    <n v="4"/>
    <n v="2236.485099"/>
  </r>
  <r>
    <x v="48"/>
    <x v="182"/>
    <s v="Finance"/>
    <s v="Credit Debit Card"/>
    <x v="1"/>
    <x v="2"/>
    <s v="Chicago"/>
    <s v=" Illinois"/>
    <m/>
    <m/>
    <s v="m.timesofindia.com"/>
    <s v="BidSwitch"/>
    <s v="Smartphone"/>
    <n v="12868"/>
    <n v="80"/>
    <n v="6472"/>
    <n v="11922"/>
    <n v="6"/>
    <n v="3137.143043"/>
  </r>
  <r>
    <x v="48"/>
    <x v="183"/>
    <s v="Household Income"/>
    <s v="$50,000-$74,999"/>
    <x v="1"/>
    <x v="3"/>
    <s v="South Bend-Elkhart"/>
    <s v=" Indiana"/>
    <m/>
    <m/>
    <s v="zillow.com"/>
    <s v="PubMatic"/>
    <s v="Smartphone"/>
    <n v="14181"/>
    <n v="65"/>
    <n v="7106"/>
    <n v="13189"/>
    <n v="17"/>
    <n v="2912.4671560000002"/>
  </r>
  <r>
    <x v="48"/>
    <x v="182"/>
    <s v="Online"/>
    <s v="Electronics and Gadgets"/>
    <x v="0"/>
    <x v="3"/>
    <s v="Orlando-Daytona Beach"/>
    <s v=" Florida"/>
    <m/>
    <m/>
    <s v="screenrant.com"/>
    <s v="Magnite DV+"/>
    <s v="Smartphone"/>
    <n v="10389"/>
    <n v="55"/>
    <n v="8161"/>
    <n v="9951"/>
    <n v="2"/>
    <n v="2582.4938470000002"/>
  </r>
  <r>
    <x v="48"/>
    <x v="182"/>
    <s v="Hobbies and Interest"/>
    <s v="Sports NFL Enthusiast"/>
    <x v="0"/>
    <x v="3"/>
    <s v="Grand Rapids-Kalamazoo"/>
    <s v=" Michigan"/>
    <m/>
    <m/>
    <s v="medicalnewstoday.com"/>
    <s v="Google Ad Manager"/>
    <s v="Smartphone"/>
    <n v="22444"/>
    <n v="160"/>
    <n v="12672"/>
    <n v="21345"/>
    <n v="5"/>
    <n v="2539.2005629999999"/>
  </r>
  <r>
    <x v="48"/>
    <x v="183"/>
    <s v="Dwelling Type"/>
    <s v="Multi-family Dwelling Unit"/>
    <x v="2"/>
    <x v="3"/>
    <s v="San Francisco"/>
    <s v=" California"/>
    <m/>
    <m/>
    <s v="activebeat.com"/>
    <s v="BidSwitch"/>
    <s v="Smartphone"/>
    <n v="68704"/>
    <n v="185"/>
    <n v="31283"/>
    <n v="59462"/>
    <n v="16"/>
    <n v="1605.5660310000001"/>
  </r>
  <r>
    <x v="48"/>
    <x v="183"/>
    <s v="Estimated Current Home Value"/>
    <s v="$160,000-$199,999"/>
    <x v="0"/>
    <x v="0"/>
    <s v="Chicago"/>
    <s v=" Illinois"/>
    <m/>
    <m/>
    <s v="boattrader.com"/>
    <s v="Google Ad Manager"/>
    <s v="Smartphone"/>
    <n v="13132"/>
    <n v="67"/>
    <n v="6133"/>
    <n v="12377"/>
    <n v="4"/>
    <n v="1807.6931420000001"/>
  </r>
  <r>
    <x v="48"/>
    <x v="183"/>
    <s v="Homeowner Status"/>
    <s v="Renter"/>
    <x v="1"/>
    <x v="2"/>
    <s v="Knoxville"/>
    <s v=" Tennessee"/>
    <m/>
    <m/>
    <s v="foxnews.com"/>
    <s v="Google Ad Manager"/>
    <s v="Smartphone"/>
    <n v="70134"/>
    <n v="169"/>
    <n v="48862"/>
    <n v="66739"/>
    <n v="14"/>
    <n v="2514.8681160000001"/>
  </r>
  <r>
    <x v="48"/>
    <x v="183"/>
    <s v="Age"/>
    <s v="45-49"/>
    <x v="0"/>
    <x v="0"/>
    <s v="Nashville"/>
    <s v=" Tennessee"/>
    <m/>
    <m/>
    <s v="forbes.com"/>
    <s v="Google Ad Manager"/>
    <s v="Windows PC"/>
    <n v="69239"/>
    <n v="160"/>
    <n v="23112"/>
    <n v="65390"/>
    <n v="1"/>
    <n v="4514.9527239999998"/>
  </r>
  <r>
    <x v="48"/>
    <x v="183"/>
    <s v="Dwelling Size"/>
    <s v="1 Unit"/>
    <x v="2"/>
    <x v="1"/>
    <s v="San Francisco"/>
    <s v=" California"/>
    <m/>
    <m/>
    <s v="bbc.com"/>
    <s v="BidSwitch"/>
    <s v="Smartphone"/>
    <n v="13686"/>
    <n v="66"/>
    <n v="7928"/>
    <n v="11931"/>
    <n v="11"/>
    <n v="4660.5603689999998"/>
  </r>
  <r>
    <x v="48"/>
    <x v="182"/>
    <s v="Hobbies and Interest"/>
    <s v="Sports Boating"/>
    <x v="0"/>
    <x v="0"/>
    <s v="Chicago"/>
    <s v=" Illinois"/>
    <m/>
    <m/>
    <s v="weather.com"/>
    <s v="Magnite DV+"/>
    <s v="Smartphone"/>
    <n v="564387"/>
    <n v="1984"/>
    <n v="78234"/>
    <n v="438695"/>
    <n v="6"/>
    <n v="2712.3796779999998"/>
  </r>
  <r>
    <x v="48"/>
    <x v="182"/>
    <s v="Hobbies and Interest"/>
    <s v="Sports Hunting Enthusiasts"/>
    <x v="0"/>
    <x v="2"/>
    <s v="Los Angeles"/>
    <s v=" California"/>
    <m/>
    <m/>
    <s v="ranker.com"/>
    <s v="BidSwitch"/>
    <s v="Windows PC"/>
    <n v="65243"/>
    <n v="120"/>
    <n v="39543"/>
    <n v="54290"/>
    <n v="4"/>
    <n v="3754.6852469999999"/>
  </r>
  <r>
    <x v="48"/>
    <x v="182"/>
    <s v="Hobbies and Interest"/>
    <s v="Pets Cat Owners"/>
    <x v="0"/>
    <x v="2"/>
    <s v="Los Angeles"/>
    <s v=" California"/>
    <m/>
    <m/>
    <s v="ebay.com"/>
    <s v="BidSwitch"/>
    <s v="Apple PC"/>
    <n v="63460"/>
    <n v="212"/>
    <n v="26978"/>
    <n v="59516"/>
    <n v="4"/>
    <n v="1945.433188"/>
  </r>
  <r>
    <x v="48"/>
    <x v="182"/>
    <s v="Hobbies and Interest"/>
    <s v="Cultural Arts"/>
    <x v="0"/>
    <x v="0"/>
    <s v="Peoria-Bloomington"/>
    <s v=" Illinois"/>
    <m/>
    <m/>
    <s v="people.com"/>
    <s v="Google Ad Manager"/>
    <s v="Smartphone"/>
    <n v="17620"/>
    <n v="52"/>
    <n v="11197"/>
    <n v="16687"/>
    <n v="9"/>
    <n v="2407.7943249999998"/>
  </r>
  <r>
    <x v="48"/>
    <x v="182"/>
    <s v="Real Estate"/>
    <s v="Monthly Mortgage Payment $800-$999"/>
    <x v="0"/>
    <x v="3"/>
    <s v="Miami-Ft. Lauderdale"/>
    <s v=" Florida"/>
    <m/>
    <m/>
    <s v="cbsnews.com"/>
    <s v="Index Exchange"/>
    <s v="Apple PC"/>
    <n v="13075"/>
    <n v="74"/>
    <n v="5980"/>
    <n v="12114"/>
    <n v="15"/>
    <n v="1936.1307979999999"/>
  </r>
  <r>
    <x v="48"/>
    <x v="182"/>
    <s v="Lifestyle"/>
    <s v="Healthy Living"/>
    <x v="0"/>
    <x v="0"/>
    <s v="Peoria-Bloomington"/>
    <s v=" Illinois"/>
    <m/>
    <m/>
    <s v="realtor.com"/>
    <s v="Google Ad Manager"/>
    <s v="Smartphone"/>
    <n v="15449"/>
    <n v="50"/>
    <n v="4595"/>
    <n v="13765"/>
    <n v="1"/>
    <n v="3122.9425740000001"/>
  </r>
  <r>
    <x v="48"/>
    <x v="182"/>
    <s v="Hobbies and Interest"/>
    <s v="Sports NBA Enthusiast"/>
    <x v="1"/>
    <x v="1"/>
    <s v="New York City"/>
    <s v=" New York"/>
    <m/>
    <m/>
    <s v="jdpower.com"/>
    <s v="OpenX"/>
    <s v="Smartphone"/>
    <n v="21482"/>
    <n v="67"/>
    <n v="10473"/>
    <n v="19679"/>
    <n v="3"/>
    <n v="3563.098841"/>
  </r>
  <r>
    <x v="48"/>
    <x v="182"/>
    <s v="Hobbies and Interest"/>
    <s v="Sports NHL Enthusiast"/>
    <x v="0"/>
    <x v="3"/>
    <s v="New York City"/>
    <s v=" New York"/>
    <m/>
    <m/>
    <s v="realtor.com"/>
    <s v="Sovrn"/>
    <s v="Smartphone"/>
    <n v="114267"/>
    <n v="110"/>
    <n v="60964"/>
    <n v="108301"/>
    <n v="5"/>
    <n v="2679.1540679999998"/>
  </r>
  <r>
    <x v="48"/>
    <x v="182"/>
    <s v="Hobbies and Interest"/>
    <s v="Sports Plays Soccer"/>
    <x v="0"/>
    <x v="3"/>
    <s v="Savannah"/>
    <s v=" Georgia"/>
    <m/>
    <m/>
    <s v="health.usnews.com"/>
    <s v="Google Ad Manager"/>
    <s v="Smartphone"/>
    <n v="8730"/>
    <n v="22"/>
    <n v="3725"/>
    <n v="7413"/>
    <n v="3"/>
    <n v="3268.007134"/>
  </r>
  <r>
    <x v="48"/>
    <x v="182"/>
    <s v="Online"/>
    <s v="Home Office"/>
    <x v="1"/>
    <x v="0"/>
    <s v="Nashville"/>
    <s v=" Tennessee"/>
    <m/>
    <m/>
    <s v="outlook.live.com"/>
    <s v="Magnite DV+"/>
    <s v="Smartphone"/>
    <n v="481526"/>
    <n v="1235"/>
    <n v="396802"/>
    <n v="437639"/>
    <n v="23"/>
    <n v="2037.8655940000001"/>
  </r>
  <r>
    <x v="48"/>
    <x v="182"/>
    <s v="Hobbies and Interest"/>
    <s v="Music Listens to Country Music"/>
    <x v="0"/>
    <x v="1"/>
    <s v="San Francisco"/>
    <s v=" California"/>
    <m/>
    <m/>
    <s v="microsoftcasualgames.com"/>
    <s v="PulsePoint"/>
    <s v="Smartphone"/>
    <n v="292578"/>
    <n v="812"/>
    <n v="6474"/>
    <n v="12323"/>
    <n v="4"/>
    <n v="1826.3187379999999"/>
  </r>
  <r>
    <x v="48"/>
    <x v="182"/>
    <s v="Finance"/>
    <s v="Credit Debit Card"/>
    <x v="1"/>
    <x v="0"/>
    <s v="Chicago"/>
    <s v=" Illinois"/>
    <m/>
    <m/>
    <s v="realtor.com"/>
    <s v="Magnite DV+"/>
    <s v="Smartphone"/>
    <n v="51515"/>
    <n v="144"/>
    <n v="18304"/>
    <n v="44891"/>
    <n v="14"/>
    <n v="2160.3073250000002"/>
  </r>
  <r>
    <x v="48"/>
    <x v="182"/>
    <s v="Hobbies and Interest"/>
    <s v="Food and Drinks Wine Lovers"/>
    <x v="0"/>
    <x v="0"/>
    <s v="Nashville"/>
    <s v=" Tennessee"/>
    <m/>
    <m/>
    <s v="biblegateway.com"/>
    <s v="Google Ad Manager"/>
    <s v="Windows PC"/>
    <n v="64892"/>
    <n v="214"/>
    <n v="34731"/>
    <n v="59369"/>
    <n v="24"/>
    <n v="2096.2855490000002"/>
  </r>
  <r>
    <x v="48"/>
    <x v="182"/>
    <s v="Hobbies and Interest"/>
    <s v="Music Listens to Pop Music"/>
    <x v="1"/>
    <x v="2"/>
    <s v="San Francisco"/>
    <s v=" California"/>
    <m/>
    <m/>
    <s v="merriam-webster.com/dictionary"/>
    <s v="Google Ad Manager"/>
    <s v="Smartphone"/>
    <n v="18771"/>
    <n v="69"/>
    <n v="10871"/>
    <n v="17138"/>
    <n v="6"/>
    <n v="3827.3663809999998"/>
  </r>
  <r>
    <x v="48"/>
    <x v="182"/>
    <s v="Hobbies and Interest"/>
    <s v="Photography"/>
    <x v="0"/>
    <x v="3"/>
    <s v="Los Angeles"/>
    <s v=" California"/>
    <m/>
    <m/>
    <s v="boattrader.com"/>
    <s v="BidSwitch"/>
    <s v="Smartphone"/>
    <n v="20278"/>
    <n v="74"/>
    <n v="14227"/>
    <n v="19480"/>
    <n v="3"/>
    <n v="2921.1102070000002"/>
  </r>
  <r>
    <x v="48"/>
    <x v="182"/>
    <s v="Household Consumer Expenditures"/>
    <s v="Furniture"/>
    <x v="1"/>
    <x v="0"/>
    <s v="Louisville"/>
    <s v=" Kentucky"/>
    <m/>
    <m/>
    <s v="microsoftcasualgames.com"/>
    <s v="PubMatic"/>
    <s v="Smartphone"/>
    <n v="68114"/>
    <n v="174"/>
    <n v="569"/>
    <n v="2059"/>
    <n v="15"/>
    <n v="2753.7119859999998"/>
  </r>
  <r>
    <x v="48"/>
    <x v="182"/>
    <s v="Lifestyle"/>
    <s v="Charities Contributes by Volunteering"/>
    <x v="2"/>
    <x v="0"/>
    <s v="San Francisco"/>
    <s v=" California"/>
    <m/>
    <m/>
    <s v="sneakertoast.com"/>
    <s v="PubMatic"/>
    <s v="Smartphone"/>
    <n v="15475"/>
    <n v="110"/>
    <n v="6019"/>
    <n v="10952"/>
    <n v="9"/>
    <n v="4156.7133830000002"/>
  </r>
  <r>
    <x v="48"/>
    <x v="182"/>
    <s v="Hobbies and Interest"/>
    <s v="Sports Canoeing"/>
    <x v="0"/>
    <x v="0"/>
    <s v="San Francisco"/>
    <s v=" California"/>
    <m/>
    <m/>
    <s v="thebigmansworld.com"/>
    <s v="BidSwitch"/>
    <s v="Smartphone"/>
    <n v="10653"/>
    <n v="68"/>
    <n v="5263"/>
    <n v="9921"/>
    <n v="11"/>
    <n v="2641.4783969999999"/>
  </r>
  <r>
    <x v="48"/>
    <x v="182"/>
    <s v="Lifestyle"/>
    <s v="Loyalty Programs Loyalty Card User"/>
    <x v="0"/>
    <x v="2"/>
    <s v="New York City"/>
    <s v=" New York"/>
    <m/>
    <m/>
    <s v="findagrave.com"/>
    <s v="PubMatic"/>
    <s v="Smartphone"/>
    <n v="13100"/>
    <n v="80"/>
    <n v="6507"/>
    <n v="10895"/>
    <n v="5"/>
    <n v="3411.590029"/>
  </r>
  <r>
    <x v="48"/>
    <x v="182"/>
    <s v="Hobbies and Interest"/>
    <s v="Sports Fishing"/>
    <x v="0"/>
    <x v="0"/>
    <s v="Knoxville"/>
    <s v=" Tennessee"/>
    <m/>
    <m/>
    <s v="realtor.com"/>
    <s v="PubMatic"/>
    <s v="Apple PC"/>
    <n v="65043"/>
    <n v="160"/>
    <n v="25871"/>
    <n v="53969"/>
    <n v="4"/>
    <n v="2347.9185309999998"/>
  </r>
  <r>
    <x v="48"/>
    <x v="182"/>
    <s v="Hobbies and Interest"/>
    <s v="Books E-Book Reader"/>
    <x v="0"/>
    <x v="1"/>
    <s v="Charleston"/>
    <s v=" South Carolina"/>
    <m/>
    <m/>
    <s v="yahoo.com"/>
    <s v="Magnite DV+"/>
    <s v="Smartphone"/>
    <n v="90123"/>
    <n v="60"/>
    <n v="33421"/>
    <n v="66729"/>
    <n v="9"/>
    <n v="3433.9142870000001"/>
  </r>
  <r>
    <x v="48"/>
    <x v="182"/>
    <s v="Lifestyle"/>
    <s v="Charities Contributes to Charities"/>
    <x v="1"/>
    <x v="1"/>
    <s v="Chicago"/>
    <s v=" Illinois"/>
    <m/>
    <m/>
    <s v="commercialappeal.com"/>
    <s v="Google Ad Manager"/>
    <s v="Smartphone"/>
    <n v="10191"/>
    <n v="75"/>
    <n v="1243"/>
    <n v="8897"/>
    <n v="3"/>
    <n v="2365.9143720000002"/>
  </r>
  <r>
    <x v="48"/>
    <x v="182"/>
    <s v="Hobbies and Interest"/>
    <s v="Sports PGA Tour Enthusiast"/>
    <x v="1"/>
    <x v="3"/>
    <s v="New York City"/>
    <s v=" New York"/>
    <m/>
    <m/>
    <s v="mail.yahoo.com"/>
    <s v="PubMatic"/>
    <s v="Smartphone"/>
    <n v="65257"/>
    <n v="201"/>
    <n v="12749"/>
    <n v="19274"/>
    <n v="3"/>
    <n v="2468.1358369999998"/>
  </r>
  <r>
    <x v="48"/>
    <x v="182"/>
    <s v="Hobbies and Interest"/>
    <s v="Sports Avid Runners"/>
    <x v="0"/>
    <x v="1"/>
    <s v="Lansing"/>
    <s v=" Michigan"/>
    <m/>
    <m/>
    <s v="cbsnews.com"/>
    <s v="BidSwitch"/>
    <s v="Smartphone"/>
    <n v="510778"/>
    <n v="1290"/>
    <n v="70777"/>
    <n v="436133"/>
    <n v="6"/>
    <n v="3870.2538669999999"/>
  </r>
  <r>
    <x v="48"/>
    <x v="182"/>
    <s v="Travel"/>
    <s v="High Frequency Travel Foreign Vacationer"/>
    <x v="1"/>
    <x v="1"/>
    <s v="New York City"/>
    <s v=" New York"/>
    <m/>
    <m/>
    <s v="nsfas-applications.co.za"/>
    <s v="PubMatic"/>
    <s v="Smartphone"/>
    <n v="15588"/>
    <n v="80"/>
    <n v="2089"/>
    <n v="14526"/>
    <n v="9"/>
    <n v="3518.5334819999998"/>
  </r>
  <r>
    <x v="48"/>
    <x v="182"/>
    <s v="Young Adult Clothing Shoppers"/>
    <m/>
    <x v="1"/>
    <x v="3"/>
    <s v="New York City"/>
    <s v=" New York"/>
    <m/>
    <m/>
    <s v="sciencesensei.com"/>
    <s v="OpenX"/>
    <s v="Smartphone"/>
    <n v="20885"/>
    <n v="99"/>
    <n v="9901"/>
    <n v="16266"/>
    <n v="15"/>
    <n v="2496.7854360000001"/>
  </r>
  <r>
    <x v="48"/>
    <x v="182"/>
    <s v="Hobbies and Interest"/>
    <s v="Food and Drinks High-end Spirit Drinkers"/>
    <x v="1"/>
    <x v="2"/>
    <s v="Chicago"/>
    <s v=" Illinois"/>
    <m/>
    <m/>
    <s v="cbssports.com"/>
    <s v="OpenX"/>
    <s v="Smartphone"/>
    <n v="20548"/>
    <n v="40"/>
    <n v="14259"/>
    <n v="19654"/>
    <n v="13"/>
    <n v="3060.4247690000002"/>
  </r>
  <r>
    <x v="48"/>
    <x v="182"/>
    <s v="Household Consumer Expenditures"/>
    <s v="Kitchen"/>
    <x v="1"/>
    <x v="3"/>
    <s v="San Francisco"/>
    <s v=" California"/>
    <m/>
    <m/>
    <s v="culinaryhill.com"/>
    <s v="Google Ad Manager"/>
    <s v="Smartphone"/>
    <n v="10093"/>
    <n v="65"/>
    <n v="3901"/>
    <n v="9645"/>
    <n v="2"/>
    <n v="3105.2830039999999"/>
  </r>
  <r>
    <x v="48"/>
    <x v="182"/>
    <s v="Hobbies and Interest"/>
    <s v="Sports Fitness Enthusiasts"/>
    <x v="0"/>
    <x v="1"/>
    <s v="Chicago"/>
    <s v=" Illinois"/>
    <m/>
    <m/>
    <s v="fandomwire.com"/>
    <s v="Google Ad Manager"/>
    <s v="Windows PC"/>
    <n v="65238"/>
    <n v="240"/>
    <n v="23741"/>
    <n v="59893"/>
    <n v="15"/>
    <n v="3132.519209"/>
  </r>
  <r>
    <x v="48"/>
    <x v="182"/>
    <s v="Hobbies and Interest"/>
    <s v="Food and Drinks Coffee Connoisseurs"/>
    <x v="1"/>
    <x v="1"/>
    <s v="Miami-Ft. Lauderdale"/>
    <s v=" Florida"/>
    <m/>
    <m/>
    <s v="yahoo.com"/>
    <s v="Google Ad Manager"/>
    <s v="Smartphone"/>
    <n v="263752"/>
    <n v="702"/>
    <n v="127042"/>
    <n v="225121"/>
    <n v="4"/>
    <n v="1465.5147099999999"/>
  </r>
  <r>
    <x v="48"/>
    <x v="182"/>
    <s v="Luxury Home Goods Store Shopper"/>
    <m/>
    <x v="1"/>
    <x v="2"/>
    <s v="San Francisco"/>
    <s v=" California"/>
    <m/>
    <m/>
    <s v="classmates.com"/>
    <s v="Google Ad Manager"/>
    <s v="Smartphone"/>
    <n v="29107"/>
    <n v="64"/>
    <n v="4047"/>
    <n v="27357"/>
    <n v="9"/>
    <n v="3339.454322"/>
  </r>
  <r>
    <x v="48"/>
    <x v="182"/>
    <s v="Hobbies and Interest"/>
    <s v="Sports Plays Tennis"/>
    <x v="0"/>
    <x v="3"/>
    <s v="New York City"/>
    <s v=" New York"/>
    <m/>
    <m/>
    <s v="rollingstone.com"/>
    <s v="Google Ad Manager"/>
    <s v="Windows PC"/>
    <n v="33650"/>
    <n v="100"/>
    <n v="15621"/>
    <n v="32539"/>
    <n v="9"/>
    <n v="3844.9911649999999"/>
  </r>
  <r>
    <x v="48"/>
    <x v="182"/>
    <s v="Luxury Store Shoppers"/>
    <m/>
    <x v="2"/>
    <x v="0"/>
    <s v="Memphis"/>
    <s v=" Tennessee"/>
    <m/>
    <m/>
    <s v="newsmemory.com"/>
    <s v="Google Ad Manager"/>
    <s v="Smartphone"/>
    <n v="15602"/>
    <n v="50"/>
    <n v="7676"/>
    <n v="13775"/>
    <n v="1"/>
    <n v="2600.894327"/>
  </r>
  <r>
    <x v="48"/>
    <x v="182"/>
    <s v="Household Consumer Expenditures"/>
    <s v="Home Office"/>
    <x v="1"/>
    <x v="0"/>
    <s v="Mobile"/>
    <s v=" Alabama"/>
    <s v="Pensacola"/>
    <s v=" Florida"/>
    <s v="calculator.net"/>
    <s v="Index Exchange"/>
    <s v="Smartphone"/>
    <n v="36431"/>
    <n v="108"/>
    <n v="31262"/>
    <n v="35043"/>
    <n v="11"/>
    <n v="3285.8345220000001"/>
  </r>
  <r>
    <x v="48"/>
    <x v="182"/>
    <s v="Hobbies and Interest"/>
    <s v="Food and Drinks Eats at Fast Food Restaurants"/>
    <x v="0"/>
    <x v="0"/>
    <s v="New York City"/>
    <s v=" New York"/>
    <m/>
    <m/>
    <s v="bestbuy.com"/>
    <s v="BidSwitch"/>
    <s v="Smartphone"/>
    <n v="18458"/>
    <n v="111"/>
    <n v="3623"/>
    <n v="16934"/>
    <n v="6"/>
    <n v="2866.4966709999999"/>
  </r>
  <r>
    <x v="48"/>
    <x v="182"/>
    <s v="Hobbies and Interest"/>
    <s v="Pets Pet Enthusiast"/>
    <x v="0"/>
    <x v="3"/>
    <s v="Los Angeles"/>
    <s v=" California"/>
    <m/>
    <m/>
    <s v="msn.com"/>
    <s v="Google Ad Manager"/>
    <s v="Smartphone"/>
    <n v="321263"/>
    <n v="852"/>
    <n v="172887"/>
    <n v="263424"/>
    <n v="6"/>
    <n v="1576.051434"/>
  </r>
  <r>
    <x v="49"/>
    <x v="98"/>
    <s v="Residential"/>
    <m/>
    <x v="0"/>
    <x v="1"/>
    <s v="Peoria-Bloomington"/>
    <s v=" Illinois"/>
    <m/>
    <m/>
    <s v="tomsguide.com"/>
    <s v="Google Ad Manager"/>
    <s v="Apple PC"/>
    <n v="11043"/>
    <n v="125"/>
    <n v="4547"/>
    <n v="9666"/>
    <n v="13"/>
    <n v="1858.132171"/>
  </r>
  <r>
    <x v="49"/>
    <x v="184"/>
    <m/>
    <m/>
    <x v="1"/>
    <x v="3"/>
    <s v="New York City"/>
    <s v=" New York"/>
    <m/>
    <m/>
    <s v="cbssports.com"/>
    <s v="Google Ad Manager"/>
    <s v="Smartphone"/>
    <n v="9515"/>
    <n v="30"/>
    <n v="6169"/>
    <n v="9138"/>
    <n v="3"/>
    <n v="5776.508186"/>
  </r>
  <r>
    <x v="49"/>
    <x v="185"/>
    <s v="Cozy Outdoor Living Space (Less than  an Acre)"/>
    <m/>
    <x v="0"/>
    <x v="3"/>
    <s v="New York City"/>
    <s v=" New York"/>
    <m/>
    <m/>
    <s v="weather.com"/>
    <s v="Magnite DV+"/>
    <s v="Smartphone"/>
    <n v="232635"/>
    <n v="666"/>
    <n v="34008"/>
    <n v="195803"/>
    <n v="39"/>
    <n v="1773.991882"/>
  </r>
  <r>
    <x v="49"/>
    <x v="186"/>
    <s v="Owner Occupied"/>
    <m/>
    <x v="0"/>
    <x v="3"/>
    <s v="Chicago"/>
    <s v=" Illinois"/>
    <m/>
    <m/>
    <s v="accuweather.com"/>
    <s v="Google Ad Manager"/>
    <s v="Windows PC"/>
    <n v="49250"/>
    <n v="220"/>
    <n v="9205"/>
    <n v="43535"/>
    <n v="15"/>
    <n v="1694.4709769999999"/>
  </r>
  <r>
    <x v="49"/>
    <x v="187"/>
    <s v="Sensible  Rentals ($1000-$3000)"/>
    <m/>
    <x v="0"/>
    <x v="1"/>
    <s v="Los Angeles"/>
    <s v=" California"/>
    <m/>
    <m/>
    <s v="drugs.com"/>
    <s v="Smart RTB+ (Smartadserver)"/>
    <s v="Windows PC"/>
    <n v="49415"/>
    <n v="144"/>
    <n v="24692"/>
    <n v="45565"/>
    <n v="3"/>
    <n v="1471.1757279999999"/>
  </r>
  <r>
    <x v="49"/>
    <x v="188"/>
    <m/>
    <m/>
    <x v="0"/>
    <x v="1"/>
    <s v="New York City"/>
    <s v=" New York"/>
    <m/>
    <m/>
    <s v="ebay.com"/>
    <s v="Google Ad Manager"/>
    <s v="Smartphone"/>
    <n v="161178"/>
    <n v="492"/>
    <n v="70181"/>
    <n v="150003"/>
    <n v="11"/>
    <n v="5892.48218"/>
  </r>
  <r>
    <x v="49"/>
    <x v="189"/>
    <s v="Just Sold"/>
    <m/>
    <x v="1"/>
    <x v="3"/>
    <s v="Lafayette"/>
    <s v=" Indiana"/>
    <m/>
    <m/>
    <s v="forbes.com"/>
    <s v="Google Ad Manager"/>
    <s v="Smartphone"/>
    <n v="111884"/>
    <n v="220"/>
    <n v="53017"/>
    <n v="106432"/>
    <n v="7"/>
    <n v="1786.1051219999999"/>
  </r>
  <r>
    <x v="50"/>
    <x v="190"/>
    <m/>
    <m/>
    <x v="0"/>
    <x v="0"/>
    <s v="Champaign &amp; Springfield-Decatur"/>
    <s v="Illinois"/>
    <m/>
    <m/>
    <s v="gamingbible.com"/>
    <s v="Google Ad Manager"/>
    <s v="Smartphone"/>
    <n v="13183"/>
    <n v="100"/>
    <n v="4337"/>
    <n v="10596"/>
    <n v="1"/>
    <n v="2430.2436640000001"/>
  </r>
  <r>
    <x v="50"/>
    <x v="191"/>
    <m/>
    <m/>
    <x v="0"/>
    <x v="1"/>
    <s v="Chicago"/>
    <s v=" Illinois"/>
    <m/>
    <m/>
    <s v="baseball-reference.com"/>
    <s v="Xandr - Monetize SSP (AppNexus)"/>
    <s v="Smartphone"/>
    <n v="117713"/>
    <n v="374"/>
    <n v="16357"/>
    <n v="100222"/>
    <n v="5"/>
    <n v="2505.4035429999999"/>
  </r>
  <r>
    <x v="51"/>
    <x v="50"/>
    <m/>
    <m/>
    <x v="0"/>
    <x v="1"/>
    <s v="Nashville"/>
    <s v=" Tennessee"/>
    <m/>
    <m/>
    <s v="timeanddate.com"/>
    <s v="Google Ad Manager"/>
    <s v="Smartphone"/>
    <n v="12280"/>
    <n v="40"/>
    <n v="9613"/>
    <n v="11247"/>
    <n v="4"/>
    <n v="1765.3987099999999"/>
  </r>
  <r>
    <x v="52"/>
    <x v="50"/>
    <m/>
    <m/>
    <x v="1"/>
    <x v="2"/>
    <s v="South Bend-Elkhart"/>
    <s v=" Indiana"/>
    <m/>
    <m/>
    <s v="weather.com"/>
    <s v="PubMatic"/>
    <s v="Smartphone"/>
    <n v="239164"/>
    <n v="699"/>
    <n v="86250"/>
    <n v="198209"/>
    <n v="41"/>
    <n v="2819.935266"/>
  </r>
  <r>
    <x v="53"/>
    <x v="50"/>
    <m/>
    <m/>
    <x v="1"/>
    <x v="0"/>
    <s v="New York City"/>
    <s v=" New York"/>
    <m/>
    <m/>
    <s v="cnbc.com"/>
    <s v="Index Exchange"/>
    <s v="Smartphone"/>
    <n v="10677"/>
    <n v="88"/>
    <n v="7247"/>
    <n v="10338"/>
    <n v="3"/>
    <n v="1483.452706"/>
  </r>
  <r>
    <x v="54"/>
    <x v="192"/>
    <s v="Old Navy"/>
    <m/>
    <x v="0"/>
    <x v="3"/>
    <s v="Los Angeles"/>
    <s v=" California"/>
    <m/>
    <m/>
    <s v="autotrader.com"/>
    <s v="PubMatic"/>
    <s v="Smartphone"/>
    <n v="67752"/>
    <n v="174"/>
    <n v="47126"/>
    <n v="65080"/>
    <n v="3"/>
    <n v="1557.0157300000001"/>
  </r>
  <r>
    <x v="55"/>
    <x v="193"/>
    <s v="C2 City Centers"/>
    <m/>
    <x v="0"/>
    <x v="1"/>
    <s v="Lansing"/>
    <s v=" Michigan"/>
    <m/>
    <m/>
    <s v="rent.com"/>
    <s v="Google Ad Manager"/>
    <s v="Windows PC"/>
    <n v="34278"/>
    <n v="100"/>
    <n v="3704"/>
    <n v="30227"/>
    <n v="6"/>
    <n v="1689.0831860000001"/>
  </r>
  <r>
    <x v="55"/>
    <x v="194"/>
    <s v="M2 Wealthy Achievers"/>
    <m/>
    <x v="1"/>
    <x v="1"/>
    <s v="San Francisco"/>
    <s v=" California"/>
    <m/>
    <m/>
    <s v="dailymail.co.uk/tvshowbiz"/>
    <s v="Google Ad Manager"/>
    <s v="Smartphone"/>
    <n v="11025"/>
    <n v="50"/>
    <n v="7974"/>
    <n v="10311"/>
    <n v="4"/>
    <n v="1657.159766"/>
  </r>
  <r>
    <x v="55"/>
    <x v="195"/>
    <s v="M3 Offline Seniors"/>
    <m/>
    <x v="1"/>
    <x v="0"/>
    <s v="Jacksonville"/>
    <s v=" Florida"/>
    <m/>
    <m/>
    <s v="geeksforgeeks.org"/>
    <s v="Index Exchange"/>
    <s v="Smartphone"/>
    <n v="13293"/>
    <n v="74"/>
    <n v="9054"/>
    <n v="12676"/>
    <n v="5"/>
    <n v="2901.2095089999998"/>
  </r>
  <r>
    <x v="55"/>
    <x v="195"/>
    <s v="F2 Suburban Spenders"/>
    <m/>
    <x v="1"/>
    <x v="2"/>
    <s v="San Francisco"/>
    <s v=" California"/>
    <m/>
    <m/>
    <s v="weather.com"/>
    <s v="Google Ad Manager"/>
    <s v="Smartphone"/>
    <n v="292885"/>
    <n v="796"/>
    <n v="12733"/>
    <n v="203986"/>
    <n v="4"/>
    <n v="1503.9130540000001"/>
  </r>
  <r>
    <x v="55"/>
    <x v="195"/>
    <s v="Y2 Emerging Techies"/>
    <m/>
    <x v="0"/>
    <x v="2"/>
    <s v="Memphis"/>
    <s v=" Tennessee"/>
    <m/>
    <m/>
    <s v="shareably.net"/>
    <s v="Google Ad Manager"/>
    <s v="Smartphone"/>
    <n v="10485"/>
    <n v="84"/>
    <n v="4255"/>
    <n v="7669"/>
    <n v="2"/>
    <n v="2239.262819"/>
  </r>
  <r>
    <x v="55"/>
    <x v="195"/>
    <s v="F1 Early Adopting Elite"/>
    <m/>
    <x v="1"/>
    <x v="2"/>
    <s v="New York City"/>
    <s v=" New York"/>
    <m/>
    <m/>
    <s v="forbes.com"/>
    <s v="Google Ad Manager"/>
    <s v="Smartphone"/>
    <n v="20899"/>
    <n v="20"/>
    <n v="11394"/>
    <n v="19576"/>
    <n v="19"/>
    <n v="1649.459852"/>
  </r>
  <r>
    <x v="55"/>
    <x v="195"/>
    <s v="M4 Elderly Traditionalists"/>
    <m/>
    <x v="1"/>
    <x v="2"/>
    <s v="Tampa-St Petersburg (Sarasota)"/>
    <s v=" Florida"/>
    <m/>
    <m/>
    <s v="mail.yahoo.com"/>
    <s v="Google Ad Manager"/>
    <s v="Smartphone"/>
    <n v="31003"/>
    <n v="87"/>
    <n v="12591"/>
    <n v="22656"/>
    <n v="8"/>
    <n v="2294.0037779999998"/>
  </r>
  <r>
    <x v="55"/>
    <x v="194"/>
    <s v="Y3 Fiscal Fledglings"/>
    <m/>
    <x v="1"/>
    <x v="3"/>
    <s v="Chicago"/>
    <s v=" Illinois"/>
    <m/>
    <m/>
    <s v="msn.com"/>
    <s v="Google Ad Manager"/>
    <s v="Smartphone"/>
    <n v="297347"/>
    <n v="751"/>
    <n v="166412"/>
    <n v="251319"/>
    <n v="4"/>
    <n v="2255.5224090000002"/>
  </r>
  <r>
    <x v="55"/>
    <x v="194"/>
    <s v="M3 Upscale Empty Nests"/>
    <m/>
    <x v="1"/>
    <x v="2"/>
    <s v="Miami-Ft. Lauderdale"/>
    <s v=" Florida"/>
    <m/>
    <m/>
    <s v="historyallday.com"/>
    <s v="BidSwitch"/>
    <s v="Smartphone"/>
    <n v="14379"/>
    <n v="30"/>
    <n v="6272"/>
    <n v="11886"/>
    <n v="18"/>
    <n v="1973.5622330000001"/>
  </r>
  <r>
    <x v="55"/>
    <x v="196"/>
    <s v="F2 Young Accumulators"/>
    <m/>
    <x v="2"/>
    <x v="0"/>
    <s v="New York City"/>
    <s v=" New York"/>
    <m/>
    <m/>
    <s v="w3schools.com"/>
    <s v="Index Exchange"/>
    <s v="Smartphone"/>
    <n v="72117"/>
    <n v="187"/>
    <n v="9807"/>
    <n v="68568"/>
    <n v="16"/>
    <n v="1702.3172059999999"/>
  </r>
  <r>
    <x v="55"/>
    <x v="193"/>
    <s v="T2 Country Comfort"/>
    <m/>
    <x v="1"/>
    <x v="0"/>
    <s v="New York City"/>
    <s v=" New York"/>
    <m/>
    <m/>
    <s v="foxnews.com"/>
    <s v="PulsePoint"/>
    <s v="Smartphone"/>
    <n v="34959"/>
    <n v="122"/>
    <n v="17511"/>
    <n v="31974"/>
    <n v="5"/>
    <n v="1477.4933570000001"/>
  </r>
  <r>
    <x v="55"/>
    <x v="194"/>
    <s v="F4 Working-Class USA"/>
    <m/>
    <x v="1"/>
    <x v="1"/>
    <s v="San Francisco"/>
    <s v=" California"/>
    <m/>
    <m/>
    <s v="realtor.com"/>
    <s v="BidSwitch"/>
    <s v="Smartphone"/>
    <n v="64577"/>
    <n v="240"/>
    <n v="37732"/>
    <n v="60357"/>
    <n v="11"/>
    <n v="1801.3491309999999"/>
  </r>
  <r>
    <x v="56"/>
    <x v="197"/>
    <s v="NHL"/>
    <m/>
    <x v="0"/>
    <x v="3"/>
    <s v="Chicago"/>
    <s v=" Illinois"/>
    <m/>
    <m/>
    <s v="ebay.com"/>
    <s v="Index Exchange"/>
    <s v="Smartphone"/>
    <n v="56945"/>
    <n v="152"/>
    <n v="20750"/>
    <n v="50714"/>
    <n v="9"/>
    <n v="5144.4743710000002"/>
  </r>
  <r>
    <x v="56"/>
    <x v="197"/>
    <s v="NBA"/>
    <m/>
    <x v="1"/>
    <x v="1"/>
    <s v="Jacksonville"/>
    <s v=" Florida"/>
    <m/>
    <m/>
    <s v="biblegateway.com"/>
    <s v="Magnite DV+"/>
    <s v="Smartphone"/>
    <n v="149618"/>
    <n v="260"/>
    <n v="126031"/>
    <n v="140596"/>
    <n v="26"/>
    <n v="6605.5861580000001"/>
  </r>
  <r>
    <x v="56"/>
    <x v="197"/>
    <s v="NFL"/>
    <m/>
    <x v="1"/>
    <x v="3"/>
    <s v="Los Angeles"/>
    <s v=" California"/>
    <m/>
    <m/>
    <s v="alotfinance.com"/>
    <s v="OpenX"/>
    <s v="Smartphone"/>
    <n v="40447"/>
    <n v="177"/>
    <n v="16663"/>
    <n v="29774"/>
    <n v="12"/>
    <n v="5083.8862730000001"/>
  </r>
  <r>
    <x v="56"/>
    <x v="197"/>
    <s v="MLB"/>
    <m/>
    <x v="1"/>
    <x v="1"/>
    <s v="New York City"/>
    <s v=" New York"/>
    <m/>
    <m/>
    <s v="autotrader.com"/>
    <s v="Google Ad Manager"/>
    <s v="Smartphone"/>
    <n v="19093"/>
    <n v="50"/>
    <n v="9626"/>
    <n v="17815"/>
    <n v="10"/>
    <n v="6612.1456900000003"/>
  </r>
  <r>
    <x v="56"/>
    <x v="197"/>
    <s v="Premier League"/>
    <m/>
    <x v="0"/>
    <x v="2"/>
    <s v="Chicago"/>
    <s v=" Illinois"/>
    <m/>
    <m/>
    <s v="cnet.com"/>
    <s v="BidSwitch"/>
    <s v="Smartphone"/>
    <n v="8217"/>
    <n v="25"/>
    <n v="5740"/>
    <n v="8009"/>
    <n v="11"/>
    <n v="6051.3346229999997"/>
  </r>
  <r>
    <x v="56"/>
    <x v="198"/>
    <m/>
    <m/>
    <x v="1"/>
    <x v="3"/>
    <s v="Nashville"/>
    <s v=" Tennessee"/>
    <m/>
    <m/>
    <s v="calculator.net"/>
    <s v="Google Ad Manager"/>
    <s v="Smartphone"/>
    <n v="18633"/>
    <n v="60"/>
    <n v="9424"/>
    <n v="18087"/>
    <n v="15"/>
    <n v="6785.0632930000002"/>
  </r>
  <r>
    <x v="56"/>
    <x v="199"/>
    <s v="Surfing"/>
    <m/>
    <x v="0"/>
    <x v="2"/>
    <s v="Nashville"/>
    <s v=" Tennessee"/>
    <m/>
    <m/>
    <s v="ebay.com"/>
    <s v="Google Ad Manager"/>
    <s v="Smartphone"/>
    <n v="23983"/>
    <n v="0"/>
    <n v="464"/>
    <n v="19802"/>
    <n v="9"/>
    <n v="4574.3482700000004"/>
  </r>
  <r>
    <x v="56"/>
    <x v="200"/>
    <s v="Running and Walking"/>
    <m/>
    <x v="0"/>
    <x v="1"/>
    <s v="Nashville"/>
    <s v=" Tennessee"/>
    <m/>
    <m/>
    <s v="cbsnews.com"/>
    <s v="BidSwitch"/>
    <s v="Smartphone"/>
    <n v="7229"/>
    <n v="20"/>
    <n v="5668"/>
    <n v="6760"/>
    <n v="3"/>
    <n v="6812.588702"/>
  </r>
  <r>
    <x v="56"/>
    <x v="200"/>
    <s v="Bowling"/>
    <m/>
    <x v="0"/>
    <x v="2"/>
    <s v="Grand Rapids-Kalamazoo"/>
    <s v=" Michigan"/>
    <m/>
    <m/>
    <s v="mail.aol.com"/>
    <s v="Smart RTB+ (Smartadserver)"/>
    <s v="Windows PC"/>
    <n v="30460"/>
    <n v="95"/>
    <n v="21830"/>
    <n v="27750"/>
    <n v="25"/>
    <n v="6643.9665420000001"/>
  </r>
  <r>
    <x v="56"/>
    <x v="200"/>
    <s v="Skate Sports"/>
    <m/>
    <x v="1"/>
    <x v="2"/>
    <s v="Charleston"/>
    <s v=" South Carolina"/>
    <m/>
    <m/>
    <s v="medical-news.org"/>
    <s v="Yahoo Exchange"/>
    <s v="Smartphone"/>
    <n v="117879"/>
    <n v="390"/>
    <n v="52098"/>
    <n v="86127"/>
    <n v="1"/>
    <n v="5102.7067290000005"/>
  </r>
  <r>
    <x v="56"/>
    <x v="199"/>
    <s v="Boating"/>
    <m/>
    <x v="1"/>
    <x v="1"/>
    <s v="New York City"/>
    <s v=" New York"/>
    <m/>
    <m/>
    <s v="heraldweekly.com"/>
    <s v="Sharethrough"/>
    <s v="Smartphone"/>
    <n v="13655"/>
    <n v="66"/>
    <n v="9519"/>
    <n v="13041"/>
    <n v="3"/>
    <n v="1475.2451189999999"/>
  </r>
  <r>
    <x v="56"/>
    <x v="200"/>
    <s v="Track and Field"/>
    <m/>
    <x v="1"/>
    <x v="3"/>
    <s v="Chicago"/>
    <s v=" Illinois"/>
    <m/>
    <m/>
    <s v="mail.aol.com"/>
    <s v="Google Ad Manager"/>
    <s v="Smartphone"/>
    <n v="7514"/>
    <n v="20"/>
    <n v="2646"/>
    <n v="3373"/>
    <n v="3"/>
    <n v="6756.2951789999997"/>
  </r>
  <r>
    <x v="56"/>
    <x v="200"/>
    <s v="Cycling"/>
    <m/>
    <x v="0"/>
    <x v="1"/>
    <s v="Memphis"/>
    <s v=" Tennessee"/>
    <m/>
    <m/>
    <s v="msn.com"/>
    <s v="TripleLift"/>
    <s v="Windows PC"/>
    <n v="117518"/>
    <n v="299"/>
    <n v="66458"/>
    <n v="86571"/>
    <n v="1"/>
    <n v="5999.9937810000001"/>
  </r>
  <r>
    <x v="56"/>
    <x v="201"/>
    <m/>
    <m/>
    <x v="1"/>
    <x v="2"/>
    <s v="Peoria-Bloomington"/>
    <s v=" Illinois"/>
    <m/>
    <m/>
    <s v="ign.com"/>
    <s v="Google Ad Manager"/>
    <s v="Smartphone"/>
    <n v="22180"/>
    <n v="60"/>
    <n v="4835"/>
    <n v="19291"/>
    <n v="9"/>
    <n v="1441.631095"/>
  </r>
  <r>
    <x v="56"/>
    <x v="202"/>
    <m/>
    <m/>
    <x v="1"/>
    <x v="3"/>
    <s v="South Bend-Elkhart"/>
    <s v=" Indiana"/>
    <m/>
    <m/>
    <s v="forbes.com"/>
    <s v="BidSwitch"/>
    <s v="Smartphone"/>
    <n v="8204"/>
    <n v="20"/>
    <n v="1348"/>
    <n v="7832"/>
    <n v="1"/>
    <n v="5973.3798919999999"/>
  </r>
  <r>
    <x v="56"/>
    <x v="203"/>
    <s v="Volleyball"/>
    <m/>
    <x v="0"/>
    <x v="0"/>
    <s v="Nashville"/>
    <s v=" Tennessee"/>
    <m/>
    <m/>
    <s v="buzzfeed.com"/>
    <s v="Yieldmo"/>
    <s v="Apple PC"/>
    <n v="10066"/>
    <n v="63"/>
    <n v="6978"/>
    <n v="9369"/>
    <n v="19"/>
    <n v="6879.5870969999996"/>
  </r>
  <r>
    <x v="56"/>
    <x v="203"/>
    <s v="Basketball"/>
    <m/>
    <x v="0"/>
    <x v="2"/>
    <s v="New York City"/>
    <s v=" New York"/>
    <m/>
    <m/>
    <s v="aol.com"/>
    <s v="PubMatic"/>
    <s v="Windows PC"/>
    <n v="19379"/>
    <n v="49"/>
    <n v="12168"/>
    <n v="16616"/>
    <n v="97"/>
    <n v="7294.1000009999998"/>
  </r>
  <r>
    <x v="56"/>
    <x v="203"/>
    <s v="Rugby"/>
    <m/>
    <x v="0"/>
    <x v="1"/>
    <s v="New York City"/>
    <s v=" New York"/>
    <m/>
    <m/>
    <s v="mail.yahoo.com"/>
    <s v="BidSwitch"/>
    <s v="Smartphone"/>
    <n v="1956642"/>
    <n v="4563"/>
    <n v="981461"/>
    <n v="1731673"/>
    <n v="106"/>
    <n v="7730.240616"/>
  </r>
  <r>
    <x v="56"/>
    <x v="203"/>
    <s v="American Football"/>
    <m/>
    <x v="1"/>
    <x v="2"/>
    <s v="Nashville"/>
    <s v=" Tennessee"/>
    <m/>
    <m/>
    <s v="msn.com"/>
    <s v="PubMatic"/>
    <s v="Smartphone"/>
    <n v="458931"/>
    <n v="974"/>
    <n v="264325"/>
    <n v="378011"/>
    <n v="30"/>
    <n v="7462.6779349999997"/>
  </r>
  <r>
    <x v="56"/>
    <x v="203"/>
    <s v="Baseball"/>
    <m/>
    <x v="1"/>
    <x v="3"/>
    <s v="New York City"/>
    <s v=" New York"/>
    <m/>
    <m/>
    <s v="rollingstone.com"/>
    <s v="Smart RTB+ (Smartadserver)"/>
    <s v="Smartphone"/>
    <n v="19334"/>
    <n v="40"/>
    <n v="8673"/>
    <n v="18578"/>
    <n v="11"/>
    <n v="7292.1350590000002"/>
  </r>
  <r>
    <x v="56"/>
    <x v="202"/>
    <s v="NASCAR"/>
    <m/>
    <x v="1"/>
    <x v="3"/>
    <s v="Ft. Wayne"/>
    <s v=" Indiana"/>
    <m/>
    <m/>
    <s v="yahoo.com"/>
    <s v="Google Ad Manager"/>
    <s v="Smartphone"/>
    <n v="74516"/>
    <n v="200"/>
    <n v="23985"/>
    <n v="63853"/>
    <n v="24"/>
    <n v="1523.783909"/>
  </r>
  <r>
    <x v="56"/>
    <x v="204"/>
    <s v="Skiing and Snowboarding"/>
    <m/>
    <x v="1"/>
    <x v="1"/>
    <s v="Knoxville"/>
    <s v=" Tennessee"/>
    <m/>
    <m/>
    <s v="calculator.net"/>
    <s v="Google Ad Manager"/>
    <s v="Smartphone"/>
    <n v="29251"/>
    <n v="95"/>
    <n v="25060"/>
    <n v="28038"/>
    <n v="8"/>
    <n v="5994.7468339999996"/>
  </r>
  <r>
    <x v="56"/>
    <x v="204"/>
    <s v="Ice Skating"/>
    <m/>
    <x v="0"/>
    <x v="3"/>
    <s v="Chicago"/>
    <s v=" Illinois"/>
    <m/>
    <m/>
    <s v="mail.yahoo.com"/>
    <s v="Google Ad Manager"/>
    <s v="Smartphone"/>
    <n v="470192"/>
    <n v="940"/>
    <n v="336480"/>
    <n v="443202"/>
    <n v="3"/>
    <n v="4963.9662509999998"/>
  </r>
  <r>
    <x v="56"/>
    <x v="200"/>
    <s v="Golf"/>
    <m/>
    <x v="0"/>
    <x v="2"/>
    <s v="Miami-Ft. Lauderdale"/>
    <s v=" Florida"/>
    <m/>
    <m/>
    <s v="realtor.com"/>
    <s v="Index Exchange"/>
    <s v="Smartphone"/>
    <n v="69928"/>
    <n v="210"/>
    <n v="30196"/>
    <n v="62327"/>
    <n v="9"/>
    <n v="6318.4130850000001"/>
  </r>
  <r>
    <x v="56"/>
    <x v="205"/>
    <s v="NCAA College Basketball"/>
    <m/>
    <x v="0"/>
    <x v="0"/>
    <s v="New York City"/>
    <s v=" New York"/>
    <m/>
    <m/>
    <s v="wizofawes.com"/>
    <s v="Magnite DV+"/>
    <s v="Smartphone"/>
    <n v="13642"/>
    <n v="40"/>
    <n v="9830"/>
    <n v="11658"/>
    <n v="3"/>
    <n v="1731.2718480000001"/>
  </r>
  <r>
    <x v="56"/>
    <x v="206"/>
    <m/>
    <m/>
    <x v="0"/>
    <x v="0"/>
    <s v="Miami-Ft. Lauderdale"/>
    <s v=" Florida"/>
    <m/>
    <m/>
    <s v="webmd.com"/>
    <s v="Yahoo Exchange"/>
    <s v="Smartphone"/>
    <n v="14599"/>
    <n v="33"/>
    <n v="1779"/>
    <n v="12458"/>
    <n v="4"/>
    <n v="5092.5592150000002"/>
  </r>
  <r>
    <x v="56"/>
    <x v="207"/>
    <m/>
    <m/>
    <x v="1"/>
    <x v="3"/>
    <s v="Tallahassee"/>
    <s v=" Florida"/>
    <s v="Thomasville"/>
    <s v=" Georgia"/>
    <s v="cargurus.com"/>
    <s v="Index Exchange"/>
    <s v="Smartphone"/>
    <n v="45285"/>
    <n v="190"/>
    <n v="30225"/>
    <n v="43298"/>
    <n v="11"/>
    <n v="4728.0124059999998"/>
  </r>
  <r>
    <x v="56"/>
    <x v="208"/>
    <m/>
    <m/>
    <x v="0"/>
    <x v="3"/>
    <s v="Los Angeles"/>
    <s v=" California"/>
    <m/>
    <m/>
    <s v="weather.com"/>
    <s v="Magnite DV+"/>
    <s v="Smartphone"/>
    <n v="1109184"/>
    <n v="3142"/>
    <n v="83035"/>
    <n v="782482"/>
    <n v="25"/>
    <n v="7490.8607789999996"/>
  </r>
  <r>
    <x v="57"/>
    <x v="50"/>
    <m/>
    <m/>
    <x v="1"/>
    <x v="2"/>
    <s v="Miami-Ft. Lauderdale"/>
    <s v=" Florida"/>
    <m/>
    <m/>
    <s v="nypost.com"/>
    <s v="Google Ad Manager"/>
    <s v="Smartphone"/>
    <n v="29092"/>
    <n v="75"/>
    <n v="16986"/>
    <n v="26606"/>
    <n v="15"/>
    <n v="1801.0581110000001"/>
  </r>
  <r>
    <x v="58"/>
    <x v="141"/>
    <s v="Likely Behavior"/>
    <s v="Heavy Facebook User"/>
    <x v="0"/>
    <x v="1"/>
    <s v="New York City"/>
    <s v=" New York"/>
    <m/>
    <m/>
    <s v="zillow.com"/>
    <s v="Google Ad Manager"/>
    <s v="Smartphone"/>
    <n v="312206"/>
    <n v="841"/>
    <n v="35661"/>
    <n v="292992"/>
    <n v="5"/>
    <n v="1550.938318"/>
  </r>
  <r>
    <x v="59"/>
    <x v="50"/>
    <m/>
    <m/>
    <x v="1"/>
    <x v="3"/>
    <s v="Birmingham"/>
    <s v=" Alabama"/>
    <m/>
    <m/>
    <s v="biblegateway.com"/>
    <s v="Google Ad Manager"/>
    <s v="Smartphone"/>
    <n v="65380"/>
    <n v="208"/>
    <n v="30039"/>
    <n v="60482"/>
    <n v="5"/>
    <n v="2905.8841619999998"/>
  </r>
  <r>
    <x v="59"/>
    <x v="209"/>
    <m/>
    <m/>
    <x v="1"/>
    <x v="2"/>
    <s v="Tallahassee"/>
    <s v=" Florida"/>
    <s v="Thomasville"/>
    <s v=" Georgia"/>
    <s v="dailydot.com"/>
    <s v="Google Ad Manager"/>
    <s v="Smartphone"/>
    <n v="29393"/>
    <n v="70"/>
    <n v="3277"/>
    <n v="25959"/>
    <n v="19"/>
    <n v="2120.7576979999999"/>
  </r>
  <r>
    <x v="60"/>
    <x v="210"/>
    <m/>
    <m/>
    <x v="0"/>
    <x v="0"/>
    <s v="Grand Rapids-Kalamazoo"/>
    <s v=" Michigan"/>
    <m/>
    <m/>
    <s v="realtor.com"/>
    <s v="PubMatic"/>
    <s v="Apple PC"/>
    <n v="11269"/>
    <n v="63"/>
    <n v="4992"/>
    <n v="10245"/>
    <n v="3"/>
    <n v="1576.38921"/>
  </r>
  <r>
    <x v="61"/>
    <x v="211"/>
    <m/>
    <m/>
    <x v="0"/>
    <x v="0"/>
    <s v="Los Angeles"/>
    <s v=" California"/>
    <m/>
    <m/>
    <s v="mail.aol.com"/>
    <s v="PubMatic"/>
    <s v="Smartphone"/>
    <n v="103665"/>
    <n v="270"/>
    <n v="77283"/>
    <n v="94019"/>
    <n v="4"/>
    <n v="5284.6855649999998"/>
  </r>
  <r>
    <x v="61"/>
    <x v="212"/>
    <m/>
    <m/>
    <x v="1"/>
    <x v="2"/>
    <s v="Chattanooga"/>
    <s v=" Tennessee"/>
    <m/>
    <m/>
    <s v="cnet.com"/>
    <s v="TripleLift"/>
    <s v="Smartphone"/>
    <n v="7530"/>
    <n v="20"/>
    <n v="5468"/>
    <n v="7298"/>
    <n v="3"/>
    <n v="5038.7140669999999"/>
  </r>
  <r>
    <x v="61"/>
    <x v="213"/>
    <s v="Current Affairs - Social Justice"/>
    <m/>
    <x v="1"/>
    <x v="3"/>
    <s v="New York City"/>
    <s v=" New York"/>
    <m/>
    <m/>
    <s v="mail.yahoo.com"/>
    <s v="Magnite DV+"/>
    <s v="Smartphone"/>
    <n v="1010148"/>
    <n v="2874"/>
    <n v="699834"/>
    <n v="955905"/>
    <n v="31"/>
    <n v="7788.7016210000002"/>
  </r>
  <r>
    <x v="61"/>
    <x v="214"/>
    <m/>
    <m/>
    <x v="1"/>
    <x v="2"/>
    <s v="Grand Rapids-Kalamazoo"/>
    <s v=" Michigan"/>
    <m/>
    <m/>
    <s v="techradar.com"/>
    <s v="Google Ad Manager"/>
    <s v="Smartphone"/>
    <n v="12161"/>
    <n v="20"/>
    <n v="6284"/>
    <n v="10919"/>
    <n v="4"/>
    <n v="7273.2659880000001"/>
  </r>
  <r>
    <x v="61"/>
    <x v="215"/>
    <m/>
    <m/>
    <x v="1"/>
    <x v="0"/>
    <s v="Chicago"/>
    <s v=" Illinois"/>
    <m/>
    <m/>
    <s v="investing.com"/>
    <s v="Google Ad Manager"/>
    <s v="Smartphone"/>
    <n v="42759"/>
    <n v="177"/>
    <n v="17744"/>
    <n v="34812"/>
    <n v="12"/>
    <n v="6316.4880540000004"/>
  </r>
  <r>
    <x v="61"/>
    <x v="216"/>
    <m/>
    <m/>
    <x v="0"/>
    <x v="2"/>
    <s v="Chicago"/>
    <s v=" Illinois"/>
    <m/>
    <m/>
    <s v="outlook.live.com"/>
    <s v="Yahoo Exchange"/>
    <s v="Apple PC"/>
    <n v="42755"/>
    <n v="117"/>
    <n v="36503"/>
    <n v="40051"/>
    <n v="12"/>
    <n v="6550.3029699999997"/>
  </r>
  <r>
    <x v="61"/>
    <x v="217"/>
    <m/>
    <m/>
    <x v="0"/>
    <x v="2"/>
    <s v="San Francisco"/>
    <s v=" California"/>
    <m/>
    <m/>
    <s v="finance.yahoo.com"/>
    <s v="Google Ad Manager"/>
    <s v="Windows PC"/>
    <n v="127090"/>
    <n v="299"/>
    <n v="30178"/>
    <n v="113438"/>
    <n v="24"/>
    <n v="5808.9112539999996"/>
  </r>
  <r>
    <x v="61"/>
    <x v="218"/>
    <m/>
    <m/>
    <x v="2"/>
    <x v="2"/>
    <s v="Jacksonville"/>
    <s v=" Florida"/>
    <m/>
    <m/>
    <s v="slickdeals.net"/>
    <s v="Magnite DV+"/>
    <s v="Smartphone"/>
    <n v="19408"/>
    <n v="58"/>
    <n v="6596"/>
    <n v="13880"/>
    <n v="2"/>
    <n v="5492.8216480000001"/>
  </r>
  <r>
    <x v="61"/>
    <x v="219"/>
    <m/>
    <m/>
    <x v="0"/>
    <x v="1"/>
    <s v="Chicago"/>
    <s v=" Illinois"/>
    <m/>
    <m/>
    <s v="businessinsider.com"/>
    <s v="Google Ad Manager"/>
    <s v="Windows PC"/>
    <n v="27202"/>
    <n v="70"/>
    <n v="5202"/>
    <n v="23474"/>
    <n v="11"/>
    <n v="4253.9791160000004"/>
  </r>
  <r>
    <x v="61"/>
    <x v="220"/>
    <m/>
    <m/>
    <x v="1"/>
    <x v="2"/>
    <s v="Tri-Cities"/>
    <s v=" Tennessee"/>
    <s v="Virginia"/>
    <m/>
    <s v="mapquest.com"/>
    <s v="Magnite DV+"/>
    <s v="Smartphone"/>
    <n v="27371"/>
    <n v="60"/>
    <n v="22256"/>
    <n v="25986"/>
    <n v="5"/>
    <n v="4984.4855829999997"/>
  </r>
  <r>
    <x v="61"/>
    <x v="221"/>
    <m/>
    <m/>
    <x v="1"/>
    <x v="1"/>
    <s v="Jacksonville"/>
    <s v=" Florida"/>
    <m/>
    <m/>
    <s v="outlook.live.com"/>
    <s v="Index Exchange"/>
    <s v="Smartphone"/>
    <n v="113262"/>
    <n v="380"/>
    <n v="95762"/>
    <n v="104612"/>
    <n v="4"/>
    <n v="7443.4832329999999"/>
  </r>
  <r>
    <x v="61"/>
    <x v="222"/>
    <m/>
    <m/>
    <x v="1"/>
    <x v="2"/>
    <s v="Jacksonville"/>
    <s v=" Florida"/>
    <m/>
    <m/>
    <s v="sports.yahoo.com"/>
    <s v="Google Ad Manager"/>
    <s v="Smartphone"/>
    <n v="9709"/>
    <n v="58"/>
    <n v="3339"/>
    <n v="7891"/>
    <n v="3"/>
    <n v="6994.0853530000004"/>
  </r>
  <r>
    <x v="61"/>
    <x v="223"/>
    <m/>
    <m/>
    <x v="1"/>
    <x v="3"/>
    <s v="Chicago"/>
    <s v=" Illinois"/>
    <m/>
    <m/>
    <s v="whatismyipaddress.com"/>
    <s v="Google Ad Manager"/>
    <s v="Smartphone"/>
    <n v="12209"/>
    <n v="147"/>
    <n v="3976"/>
    <n v="5219"/>
    <n v="4"/>
    <n v="3818.9551820000001"/>
  </r>
  <r>
    <x v="61"/>
    <x v="224"/>
    <m/>
    <m/>
    <x v="0"/>
    <x v="2"/>
    <s v="Flint-Saginaw-Bay City"/>
    <s v=" Michigan"/>
    <m/>
    <m/>
    <s v="mail.yahoo.com"/>
    <s v="Google Ad Manager"/>
    <s v="Smartphone"/>
    <n v="14730"/>
    <n v="86"/>
    <n v="6410"/>
    <n v="10860"/>
    <n v="6"/>
    <n v="5287.5675279999996"/>
  </r>
  <r>
    <x v="61"/>
    <x v="225"/>
    <m/>
    <m/>
    <x v="1"/>
    <x v="1"/>
    <s v="New York City"/>
    <s v=" New York"/>
    <m/>
    <m/>
    <s v="geeksforgeeks.org"/>
    <s v="BidSwitch"/>
    <s v="Smartphone"/>
    <n v="45397"/>
    <n v="114"/>
    <n v="716"/>
    <n v="6867"/>
    <n v="15"/>
    <n v="4582.4532909999998"/>
  </r>
  <r>
    <x v="61"/>
    <x v="226"/>
    <m/>
    <m/>
    <x v="0"/>
    <x v="3"/>
    <s v="Los Angeles"/>
    <s v=" California"/>
    <m/>
    <m/>
    <s v="msn.com"/>
    <s v="Index Exchange"/>
    <s v="Smartphone"/>
    <n v="1575592"/>
    <n v="3874"/>
    <n v="1155869"/>
    <n v="1447900"/>
    <n v="88"/>
    <n v="7818.6482969999997"/>
  </r>
  <r>
    <x v="61"/>
    <x v="227"/>
    <m/>
    <m/>
    <x v="2"/>
    <x v="1"/>
    <s v="New York City"/>
    <s v=" New York"/>
    <m/>
    <m/>
    <s v="kbb.com"/>
    <s v="Google Ad Manager"/>
    <s v="Smartphone"/>
    <n v="58938"/>
    <n v="175"/>
    <n v="41861"/>
    <n v="55929"/>
    <n v="9"/>
    <n v="4881.1982690000004"/>
  </r>
  <r>
    <x v="61"/>
    <x v="228"/>
    <m/>
    <m/>
    <x v="0"/>
    <x v="0"/>
    <s v="Nashville"/>
    <s v=" Tennessee"/>
    <m/>
    <m/>
    <s v="realtor.com"/>
    <s v="Google Ad Manager"/>
    <s v="Smartphone"/>
    <n v="224877"/>
    <n v="805"/>
    <n v="121175"/>
    <n v="213280"/>
    <n v="11"/>
    <n v="7360.9929689999999"/>
  </r>
  <r>
    <x v="61"/>
    <x v="229"/>
    <m/>
    <m/>
    <x v="0"/>
    <x v="0"/>
    <s v="Tampa-St Petersburg (Sarasota)"/>
    <s v=" Florida"/>
    <m/>
    <m/>
    <s v="weather.com"/>
    <s v="Google Ad Manager"/>
    <s v="Apple PC"/>
    <n v="45668"/>
    <n v="130"/>
    <n v="16872"/>
    <n v="32085"/>
    <n v="9"/>
    <n v="3444.2029459999999"/>
  </r>
  <r>
    <x v="61"/>
    <x v="230"/>
    <m/>
    <m/>
    <x v="1"/>
    <x v="1"/>
    <s v="Miami-Ft. Lauderdale"/>
    <s v=" Florida"/>
    <m/>
    <m/>
    <s v="yahoo.com"/>
    <s v="Google Ad Manager"/>
    <s v="Smartphone"/>
    <n v="571090"/>
    <n v="1541"/>
    <n v="246243"/>
    <n v="532325"/>
    <n v="11"/>
    <n v="4733.6187829999999"/>
  </r>
  <r>
    <x v="61"/>
    <x v="231"/>
    <m/>
    <m/>
    <x v="1"/>
    <x v="2"/>
    <s v="Chicago"/>
    <s v=" Illinois"/>
    <m/>
    <m/>
    <s v="cheezburger.com"/>
    <s v="PubMatic"/>
    <s v="Smartphone"/>
    <n v="27032"/>
    <n v="110"/>
    <n v="21893"/>
    <n v="26127"/>
    <n v="5"/>
    <n v="5292.8969129999996"/>
  </r>
  <r>
    <x v="62"/>
    <x v="232"/>
    <m/>
    <m/>
    <x v="0"/>
    <x v="2"/>
    <s v="Los Angeles"/>
    <s v=" California"/>
    <m/>
    <m/>
    <s v="ebay.com"/>
    <s v="Index Exchange"/>
    <s v="Smartphone"/>
    <n v="144088"/>
    <n v="490"/>
    <n v="26416"/>
    <n v="137369"/>
    <n v="7"/>
    <n v="1464.0642350000001"/>
  </r>
  <r>
    <x v="62"/>
    <x v="233"/>
    <m/>
    <m/>
    <x v="0"/>
    <x v="2"/>
    <s v="San Francisco"/>
    <s v=" California"/>
    <m/>
    <m/>
    <s v="outlook.live.com"/>
    <s v="Google Ad Manager"/>
    <s v="Smartphone"/>
    <n v="284783"/>
    <n v="756"/>
    <n v="239363"/>
    <n v="261467"/>
    <n v="9"/>
    <n v="1605.5380720000001"/>
  </r>
  <r>
    <x v="62"/>
    <x v="234"/>
    <m/>
    <m/>
    <x v="2"/>
    <x v="2"/>
    <s v="Flint-Saginaw-Bay City"/>
    <s v=" Michigan"/>
    <m/>
    <m/>
    <s v="zillow.com"/>
    <s v="Taboola"/>
    <s v="Smartphone"/>
    <n v="130602"/>
    <n v="269"/>
    <n v="11736"/>
    <n v="113735"/>
    <n v="4"/>
    <n v="1507.8471199999999"/>
  </r>
  <r>
    <x v="62"/>
    <x v="235"/>
    <m/>
    <m/>
    <x v="0"/>
    <x v="1"/>
    <s v="San Francisco"/>
    <s v=" California"/>
    <m/>
    <m/>
    <s v="signupgenius.com"/>
    <s v="Google Ad Manager"/>
    <s v="Smartphone"/>
    <n v="14763"/>
    <n v="40"/>
    <n v="8955"/>
    <n v="13829"/>
    <n v="2"/>
    <n v="1531.9268850000001"/>
  </r>
  <r>
    <x v="62"/>
    <x v="236"/>
    <m/>
    <m/>
    <x v="1"/>
    <x v="0"/>
    <s v="Los Angeles"/>
    <s v=" California"/>
    <m/>
    <m/>
    <s v="mail.yahoo.com"/>
    <s v="PubMatic"/>
    <s v="Smartphone"/>
    <n v="50838"/>
    <n v="130"/>
    <n v="23274"/>
    <n v="35934"/>
    <n v="11"/>
    <n v="1521.372273"/>
  </r>
  <r>
    <x v="63"/>
    <x v="237"/>
    <s v="Mountain and Ski Resorts"/>
    <m/>
    <x v="1"/>
    <x v="0"/>
    <s v="West Palm Beach-Ft. Pierce"/>
    <s v=" Florida"/>
    <m/>
    <m/>
    <s v="cbsnews.com"/>
    <s v="BidSwitch"/>
    <s v="Smartphone"/>
    <n v="35178"/>
    <n v="155"/>
    <n v="23374"/>
    <n v="33779"/>
    <n v="8"/>
    <n v="5738.8090890000003"/>
  </r>
  <r>
    <x v="63"/>
    <x v="50"/>
    <m/>
    <m/>
    <x v="0"/>
    <x v="2"/>
    <s v="Miami-Ft. Lauderdale"/>
    <s v=" Florida"/>
    <m/>
    <m/>
    <s v="whatismyipaddress.com"/>
    <s v="BidSwitch"/>
    <s v="Smartphone"/>
    <n v="12319"/>
    <n v="40"/>
    <n v="7028"/>
    <n v="10191"/>
    <n v="7"/>
    <n v="1668.0160000000001"/>
  </r>
  <r>
    <x v="63"/>
    <x v="237"/>
    <s v="Zoos-Aquariums-Preserves"/>
    <m/>
    <x v="1"/>
    <x v="1"/>
    <s v="Chicago"/>
    <s v=" Illinois"/>
    <m/>
    <m/>
    <s v="biblegateway.com"/>
    <s v="Index Exchange"/>
    <s v="Smartphone"/>
    <n v="106151"/>
    <n v="299"/>
    <n v="75304"/>
    <n v="99311"/>
    <n v="9"/>
    <n v="6616.8806599999998"/>
  </r>
  <r>
    <x v="63"/>
    <x v="237"/>
    <s v="Lakes and Rivers"/>
    <m/>
    <x v="0"/>
    <x v="0"/>
    <s v="Chicago"/>
    <s v=" Illinois"/>
    <m/>
    <m/>
    <s v="flightaware.com"/>
    <s v="Index Exchange"/>
    <s v="Smartphone"/>
    <n v="12710"/>
    <n v="10"/>
    <n v="8159"/>
    <n v="11984"/>
    <n v="11"/>
    <n v="7851.3974779999999"/>
  </r>
  <r>
    <x v="63"/>
    <x v="237"/>
    <s v="Regional Parks and Gardens"/>
    <m/>
    <x v="0"/>
    <x v="0"/>
    <s v="Los Angeles"/>
    <s v=" California"/>
    <m/>
    <m/>
    <s v="cbsnews.com"/>
    <s v="Google Ad Manager"/>
    <s v="Windows PC"/>
    <n v="48211"/>
    <n v="160"/>
    <n v="30157"/>
    <n v="43810"/>
    <n v="14"/>
    <n v="6708.4633510000003"/>
  </r>
  <r>
    <x v="63"/>
    <x v="237"/>
    <s v="Beaches and Islands"/>
    <m/>
    <x v="2"/>
    <x v="1"/>
    <s v="Chicago"/>
    <s v=" Illinois"/>
    <m/>
    <m/>
    <s v="cheezburger.com"/>
    <s v="Google Ad Manager"/>
    <s v="Smartphone"/>
    <n v="19461"/>
    <n v="74"/>
    <n v="14647"/>
    <n v="18731"/>
    <n v="9"/>
    <n v="7311.9987499999997"/>
  </r>
  <r>
    <x v="63"/>
    <x v="238"/>
    <s v="International Travelers"/>
    <s v="Frequent Travelers"/>
    <x v="0"/>
    <x v="2"/>
    <s v="New York City"/>
    <s v=" New York"/>
    <m/>
    <m/>
    <s v="biblegateway.com"/>
    <s v="Smart RTB+ (Smartadserver)"/>
    <s v="Apple PC"/>
    <n v="18313"/>
    <n v="60"/>
    <n v="9481"/>
    <n v="16300"/>
    <n v="4"/>
    <n v="1456.9341870000001"/>
  </r>
  <r>
    <x v="63"/>
    <x v="237"/>
    <s v="Historical Sites and Buildings"/>
    <m/>
    <x v="1"/>
    <x v="1"/>
    <s v="San Francisco"/>
    <s v=" California"/>
    <m/>
    <m/>
    <s v="slickdeals.net"/>
    <s v="Index Exchange"/>
    <s v="Smartphone"/>
    <n v="47360"/>
    <n v="126"/>
    <n v="8047"/>
    <n v="33641"/>
    <n v="9"/>
    <n v="6502.2749329999997"/>
  </r>
  <r>
    <x v="63"/>
    <x v="237"/>
    <m/>
    <m/>
    <x v="0"/>
    <x v="3"/>
    <s v="New York City"/>
    <s v=" New York"/>
    <m/>
    <m/>
    <s v="ebay.com"/>
    <s v="Google Ad Manager"/>
    <s v="Smartphone"/>
    <n v="325152"/>
    <n v="854"/>
    <n v="138319"/>
    <n v="300133"/>
    <n v="55"/>
    <n v="7887.6126619999995"/>
  </r>
  <r>
    <x v="63"/>
    <x v="237"/>
    <s v="Theme Parks"/>
    <m/>
    <x v="1"/>
    <x v="3"/>
    <s v="Los Angeles"/>
    <s v=" California"/>
    <m/>
    <m/>
    <s v="zillow.com"/>
    <s v="Google Ad Manager"/>
    <s v="Smartphone"/>
    <n v="318269"/>
    <n v="914"/>
    <n v="33355"/>
    <n v="295405"/>
    <n v="44"/>
    <n v="7854.7319909999997"/>
  </r>
  <r>
    <x v="63"/>
    <x v="239"/>
    <m/>
    <m/>
    <x v="0"/>
    <x v="3"/>
    <s v="Chicago"/>
    <s v=" Illinois"/>
    <m/>
    <m/>
    <s v="finance.yahoo.com"/>
    <s v="Google Ad Manager"/>
    <s v="Windows PC"/>
    <n v="27394"/>
    <n v="74"/>
    <n v="16144"/>
    <n v="24752"/>
    <n v="78"/>
    <n v="7264.5876099999996"/>
  </r>
  <r>
    <x v="63"/>
    <x v="240"/>
    <s v="Adventure Travel"/>
    <m/>
    <x v="1"/>
    <x v="1"/>
    <s v="Chicago"/>
    <s v=" Illinois"/>
    <m/>
    <m/>
    <s v="biblegateway.com"/>
    <s v="Google Ad Manager"/>
    <s v="Smartphone"/>
    <n v="108559"/>
    <n v="212"/>
    <n v="79254"/>
    <n v="100563"/>
    <n v="7"/>
    <n v="6850.5764829999998"/>
  </r>
  <r>
    <x v="63"/>
    <x v="241"/>
    <s v="Number of Nights Stayed"/>
    <s v="0 Nights"/>
    <x v="2"/>
    <x v="2"/>
    <s v="Ft. Myers-Naples"/>
    <s v=" Florida"/>
    <m/>
    <m/>
    <s v="screenrant.com"/>
    <s v="Google Ad Manager"/>
    <s v="Smartphone"/>
    <n v="81054"/>
    <n v="265"/>
    <n v="56762"/>
    <n v="76198"/>
    <n v="16"/>
    <n v="1532.357841"/>
  </r>
  <r>
    <x v="63"/>
    <x v="242"/>
    <m/>
    <m/>
    <x v="2"/>
    <x v="0"/>
    <s v="New York City"/>
    <s v=" New York"/>
    <m/>
    <m/>
    <s v="mail.yahoo.com"/>
    <s v="Google Ad Manager"/>
    <s v="Smartphone"/>
    <n v="184622"/>
    <n v="180"/>
    <n v="98938"/>
    <n v="161848"/>
    <n v="13"/>
    <n v="7149.8160749999997"/>
  </r>
  <r>
    <x v="63"/>
    <x v="240"/>
    <s v="Agritourism"/>
    <m/>
    <x v="0"/>
    <x v="0"/>
    <s v="Los Angeles"/>
    <s v=" California"/>
    <m/>
    <m/>
    <s v="mail.yahoo.com"/>
    <s v="PubMatic"/>
    <s v="Smartphone"/>
    <n v="1720462"/>
    <n v="4865"/>
    <n v="940296"/>
    <n v="1516537"/>
    <n v="20"/>
    <n v="5906.4649669999999"/>
  </r>
  <r>
    <x v="63"/>
    <x v="238"/>
    <s v="International Travelers"/>
    <s v="yes"/>
    <x v="1"/>
    <x v="2"/>
    <s v="San Francisco"/>
    <s v=" California"/>
    <m/>
    <m/>
    <s v="mail.aol.com"/>
    <s v="BidSwitch"/>
    <s v="Smartphone"/>
    <n v="69136"/>
    <n v="190"/>
    <n v="40571"/>
    <n v="63614"/>
    <n v="3"/>
    <n v="1507.9468509999999"/>
  </r>
  <r>
    <x v="63"/>
    <x v="243"/>
    <s v="HomeAway"/>
    <m/>
    <x v="1"/>
    <x v="2"/>
    <s v="Chattanooga"/>
    <s v=" Tennessee"/>
    <m/>
    <m/>
    <s v="foxnews.com"/>
    <s v="Google Ad Manager"/>
    <s v="Smartphone"/>
    <n v="91593"/>
    <n v="40"/>
    <n v="51004"/>
    <n v="82985"/>
    <n v="18"/>
    <n v="1731.5848619999999"/>
  </r>
  <r>
    <x v="63"/>
    <x v="244"/>
    <m/>
    <m/>
    <x v="0"/>
    <x v="3"/>
    <s v="Los Angeles"/>
    <s v=" California"/>
    <m/>
    <m/>
    <s v="ebay.com"/>
    <s v="Magnite DV+"/>
    <s v="Apple PC"/>
    <n v="161222"/>
    <n v="500"/>
    <n v="66740"/>
    <n v="149743"/>
    <n v="19"/>
    <n v="5767.7973810000003"/>
  </r>
  <r>
    <x v="63"/>
    <x v="16"/>
    <m/>
    <m/>
    <x v="1"/>
    <x v="0"/>
    <s v="New York City"/>
    <s v=" New York"/>
    <m/>
    <m/>
    <s v="cnn.com"/>
    <s v="Google Ad Manager"/>
    <s v="Smartphone"/>
    <n v="272509"/>
    <n v="736"/>
    <n v="89526"/>
    <n v="237859"/>
    <n v="69"/>
    <n v="8168.3470770000004"/>
  </r>
  <r>
    <x v="63"/>
    <x v="245"/>
    <s v="Ski Travelers"/>
    <m/>
    <x v="1"/>
    <x v="0"/>
    <s v="Miami-Ft. Lauderdale"/>
    <s v=" Florida"/>
    <m/>
    <m/>
    <s v="hindustantimes.com"/>
    <s v="Google Ad Manager"/>
    <s v="Smartphone"/>
    <n v="16580"/>
    <n v="84"/>
    <n v="11928"/>
    <n v="14527"/>
    <n v="6"/>
    <n v="1965.7389470000001"/>
  </r>
  <r>
    <x v="63"/>
    <x v="246"/>
    <m/>
    <m/>
    <x v="0"/>
    <x v="3"/>
    <s v="New York City"/>
    <s v=" New York"/>
    <m/>
    <m/>
    <s v="cars.com"/>
    <s v="BidSwitch"/>
    <s v="Windows PC"/>
    <n v="45711"/>
    <n v="130"/>
    <n v="23052"/>
    <n v="42375"/>
    <n v="11"/>
    <n v="6417.8761690000001"/>
  </r>
  <r>
    <x v="63"/>
    <x v="242"/>
    <s v="Tourist Boards and Visitor Centers"/>
    <m/>
    <x v="1"/>
    <x v="2"/>
    <s v="Ft. Wayne"/>
    <s v=" Indiana"/>
    <m/>
    <m/>
    <s v="nbcnews.com"/>
    <s v="Magnite DV+"/>
    <s v="Smartphone"/>
    <n v="189571"/>
    <n v="500"/>
    <n v="130676"/>
    <n v="183688"/>
    <n v="39"/>
    <n v="6335.9483879999998"/>
  </r>
  <r>
    <x v="63"/>
    <x v="247"/>
    <m/>
    <m/>
    <x v="2"/>
    <x v="2"/>
    <s v="Miami-Ft. Lauderdale"/>
    <s v=" Florida"/>
    <m/>
    <m/>
    <s v="slickdeals.net"/>
    <s v="PubMatic"/>
    <s v="Smartphone"/>
    <n v="46190"/>
    <n v="130"/>
    <n v="8618"/>
    <n v="41618"/>
    <n v="1"/>
    <n v="5464.1098169999996"/>
  </r>
  <r>
    <x v="63"/>
    <x v="248"/>
    <s v="Hertz"/>
    <m/>
    <x v="1"/>
    <x v="2"/>
    <s v="Chicago"/>
    <s v=" Illinois"/>
    <m/>
    <m/>
    <s v="ebay.com"/>
    <s v="BidSwitch"/>
    <s v="Smartphone"/>
    <n v="87287"/>
    <n v="203"/>
    <n v="40039"/>
    <n v="80040"/>
    <n v="18"/>
    <n v="1579.367346"/>
  </r>
  <r>
    <x v="63"/>
    <x v="249"/>
    <m/>
    <m/>
    <x v="1"/>
    <x v="2"/>
    <s v="Chicago"/>
    <s v=" Illinois"/>
    <m/>
    <m/>
    <s v="marca.com"/>
    <s v="Google Ad Manager"/>
    <s v="Smartphone"/>
    <n v="45965"/>
    <n v="190"/>
    <n v="10028"/>
    <n v="37295"/>
    <n v="1"/>
    <n v="4718.8361139999997"/>
  </r>
  <r>
    <x v="63"/>
    <x v="250"/>
    <m/>
    <m/>
    <x v="0"/>
    <x v="3"/>
    <s v="San Francisco"/>
    <s v=" California"/>
    <m/>
    <m/>
    <s v="outlook.live.com"/>
    <s v="Google Ad Manager"/>
    <s v="Smartphone"/>
    <n v="75531"/>
    <n v="200"/>
    <n v="63816"/>
    <n v="70011"/>
    <n v="9"/>
    <n v="7261.8650399999997"/>
  </r>
  <r>
    <x v="63"/>
    <x v="251"/>
    <m/>
    <m/>
    <x v="1"/>
    <x v="0"/>
    <s v="San Francisco"/>
    <s v=" California"/>
    <m/>
    <m/>
    <s v="weather.com"/>
    <s v="Google Ad Manager"/>
    <s v="Smartphone"/>
    <n v="212009"/>
    <n v="555"/>
    <n v="16903"/>
    <n v="149653"/>
    <n v="15"/>
    <n v="3983.6217969999998"/>
  </r>
  <r>
    <x v="63"/>
    <x v="252"/>
    <m/>
    <m/>
    <x v="2"/>
    <x v="0"/>
    <s v="Los Angeles"/>
    <s v=" California"/>
    <m/>
    <m/>
    <s v="dictionary.com"/>
    <s v="PubMatic"/>
    <s v="Smartphone"/>
    <n v="10350"/>
    <n v="66"/>
    <n v="723"/>
    <n v="8720"/>
    <n v="14"/>
    <n v="6774.202636"/>
  </r>
  <r>
    <x v="63"/>
    <x v="240"/>
    <m/>
    <m/>
    <x v="0"/>
    <x v="2"/>
    <s v="Chicago"/>
    <s v=" Illinois"/>
    <m/>
    <m/>
    <s v="weather.com"/>
    <s v="Google Ad Manager"/>
    <s v="Smartphone"/>
    <n v="182114"/>
    <n v="500"/>
    <n v="14477"/>
    <n v="139167"/>
    <n v="29"/>
    <n v="6307.9007510000001"/>
  </r>
  <r>
    <x v="63"/>
    <x v="239"/>
    <s v="Airport Parking and Transportation"/>
    <m/>
    <x v="0"/>
    <x v="0"/>
    <s v="Miami-Ft. Lauderdale"/>
    <s v=" Florida"/>
    <m/>
    <m/>
    <s v="mail.aol.com"/>
    <s v="Google Ad Manager"/>
    <s v="Windows PC"/>
    <n v="141165"/>
    <n v="250"/>
    <n v="102776"/>
    <n v="128004"/>
    <n v="28"/>
    <n v="7222.2114080000001"/>
  </r>
  <r>
    <x v="63"/>
    <x v="253"/>
    <s v="Destinations"/>
    <s v="Latin America"/>
    <x v="1"/>
    <x v="1"/>
    <s v="Orlando-Daytona Beach"/>
    <s v=" Florida"/>
    <m/>
    <m/>
    <s v="factable.com"/>
    <s v="Magnite DV+"/>
    <s v="Smartphone"/>
    <n v="31243"/>
    <n v="100"/>
    <n v="16326"/>
    <n v="25991"/>
    <n v="21"/>
    <n v="1452.5905600000001"/>
  </r>
  <r>
    <x v="63"/>
    <x v="253"/>
    <s v="Destinations"/>
    <s v="North America"/>
    <x v="1"/>
    <x v="3"/>
    <s v="South Bend-Elkhart"/>
    <s v=" Indiana"/>
    <m/>
    <m/>
    <s v="boattrader.com"/>
    <s v="Magnite DV+"/>
    <s v="Smartphone"/>
    <n v="12354"/>
    <n v="10"/>
    <n v="8561"/>
    <n v="11782"/>
    <n v="5"/>
    <n v="1808.307918"/>
  </r>
  <r>
    <x v="63"/>
    <x v="253"/>
    <s v="Destinations"/>
    <s v="North America"/>
    <x v="2"/>
    <x v="0"/>
    <s v="Los Angeles"/>
    <s v=" California"/>
    <m/>
    <m/>
    <s v="cars.com"/>
    <s v="Google Ad Manager"/>
    <s v="Smartphone"/>
    <n v="9730"/>
    <n v="45"/>
    <n v="2971"/>
    <n v="5102"/>
    <n v="3"/>
    <n v="1778.9379349999999"/>
  </r>
  <r>
    <x v="63"/>
    <x v="253"/>
    <s v="Products"/>
    <s v="Air Travel"/>
    <x v="0"/>
    <x v="1"/>
    <s v="Lafayette"/>
    <s v=" Indiana"/>
    <m/>
    <m/>
    <s v="yahoo.com"/>
    <s v="BidSwitch"/>
    <s v="Windows PC"/>
    <n v="307888"/>
    <n v="863"/>
    <n v="134959"/>
    <n v="274790"/>
    <n v="11"/>
    <n v="1559.643865"/>
  </r>
  <r>
    <x v="63"/>
    <x v="253"/>
    <s v="Destinations"/>
    <s v="Europe"/>
    <x v="1"/>
    <x v="2"/>
    <s v="Orlando-Daytona Beach"/>
    <s v=" Florida"/>
    <m/>
    <m/>
    <s v="mail.aol.com"/>
    <s v="Magnite DV+"/>
    <s v="Smartphone"/>
    <n v="88819"/>
    <n v="200"/>
    <n v="65488"/>
    <n v="80451"/>
    <n v="6"/>
    <n v="1442.2279900000001"/>
  </r>
  <r>
    <x v="63"/>
    <x v="253"/>
    <s v="Products"/>
    <s v="Hotels and Lodging"/>
    <x v="0"/>
    <x v="2"/>
    <s v="Miami-Ft. Lauderdale"/>
    <s v=" Florida"/>
    <m/>
    <m/>
    <s v="mail.yahoo.com"/>
    <s v="Smart RTB+ (Smartadserver)"/>
    <s v="Smartphone"/>
    <n v="679098"/>
    <n v="1984"/>
    <n v="467726"/>
    <n v="634589"/>
    <n v="9"/>
    <n v="1477.4248560000001"/>
  </r>
  <r>
    <x v="63"/>
    <x v="253"/>
    <m/>
    <m/>
    <x v="1"/>
    <x v="0"/>
    <s v="San Francisco"/>
    <s v=" California"/>
    <m/>
    <m/>
    <s v="yellowpages.com"/>
    <s v="Google Ad Manager"/>
    <s v="Smartphone"/>
    <n v="14890"/>
    <n v="60"/>
    <n v="6248"/>
    <n v="11493"/>
    <n v="6"/>
    <n v="1982.4164840000001"/>
  </r>
  <r>
    <x v="63"/>
    <x v="254"/>
    <m/>
    <m/>
    <x v="0"/>
    <x v="3"/>
    <s v="Chicago"/>
    <s v=" Illinois"/>
    <m/>
    <m/>
    <s v="realtor.com"/>
    <s v="Google Ad Manager"/>
    <s v="Apple PC"/>
    <n v="48892"/>
    <n v="110"/>
    <n v="32060"/>
    <n v="45251"/>
    <n v="9"/>
    <n v="1978.609661"/>
  </r>
  <r>
    <x v="63"/>
    <x v="253"/>
    <s v="Destinations"/>
    <s v="Africa"/>
    <x v="0"/>
    <x v="0"/>
    <s v="Miami-Ft. Lauderdale"/>
    <s v=" Florida"/>
    <m/>
    <m/>
    <s v="weather.com"/>
    <s v="Smart RTB+ (Smartadserver)"/>
    <s v="Smartphone"/>
    <n v="253577"/>
    <n v="890"/>
    <n v="66972"/>
    <n v="191183"/>
    <n v="44"/>
    <n v="1493.074494"/>
  </r>
  <r>
    <x v="64"/>
    <x v="54"/>
    <s v="18-64"/>
    <m/>
    <x v="0"/>
    <x v="1"/>
    <s v="Grand Rapids-Kalamazoo"/>
    <s v=" Michigan"/>
    <m/>
    <m/>
    <s v="cars.com"/>
    <s v="PubMatic"/>
    <s v="Windows PC"/>
    <n v="48562"/>
    <n v="150"/>
    <n v="29108"/>
    <n v="45570"/>
    <n v="11"/>
    <n v="6346.6330239999998"/>
  </r>
  <r>
    <x v="64"/>
    <x v="255"/>
    <s v="Females 55-64"/>
    <m/>
    <x v="0"/>
    <x v="0"/>
    <s v="Los Angeles"/>
    <s v=" California"/>
    <m/>
    <m/>
    <s v="news.yahoo.com"/>
    <s v="Google Ad Manager"/>
    <s v="Smartphone"/>
    <n v="52006"/>
    <n v="160"/>
    <n v="24711"/>
    <n v="48019"/>
    <n v="12"/>
    <n v="5200.0101180000001"/>
  </r>
  <r>
    <x v="64"/>
    <x v="255"/>
    <s v="Females 25-44"/>
    <m/>
    <x v="1"/>
    <x v="3"/>
    <s v="Miami-Ft. Lauderdale"/>
    <s v=" Florida"/>
    <m/>
    <m/>
    <s v="outlook.live.com"/>
    <s v="BidSwitch"/>
    <s v="Smartphone"/>
    <n v="264580"/>
    <n v="691"/>
    <n v="217526"/>
    <n v="240731"/>
    <n v="9"/>
    <n v="4874.6517219999996"/>
  </r>
  <r>
    <x v="64"/>
    <x v="255"/>
    <s v="Males 25-44"/>
    <m/>
    <x v="0"/>
    <x v="3"/>
    <s v="Nashville"/>
    <s v=" Tennessee"/>
    <m/>
    <m/>
    <s v="cars.com"/>
    <s v="Google Ad Manager"/>
    <s v="Apple PC"/>
    <n v="47394"/>
    <n v="184"/>
    <n v="22712"/>
    <n v="41918"/>
    <n v="24"/>
    <n v="4701.4962370000003"/>
  </r>
  <r>
    <x v="64"/>
    <x v="255"/>
    <s v="Males 18-44"/>
    <m/>
    <x v="0"/>
    <x v="1"/>
    <s v="Chicago"/>
    <s v=" Illinois"/>
    <m/>
    <m/>
    <s v="realtor.com"/>
    <s v="BidSwitch"/>
    <s v="Apple PC"/>
    <n v="10815"/>
    <n v="25"/>
    <n v="4321"/>
    <n v="9646"/>
    <n v="2"/>
    <n v="4921.5948429999999"/>
  </r>
  <r>
    <x v="64"/>
    <x v="255"/>
    <s v="Females 25-34"/>
    <m/>
    <x v="0"/>
    <x v="1"/>
    <s v="Los Angeles"/>
    <s v=" California"/>
    <m/>
    <m/>
    <s v="ign.com"/>
    <s v="Index Exchange"/>
    <s v="Smartphone"/>
    <n v="8273"/>
    <n v="24"/>
    <n v="1929"/>
    <n v="7441"/>
    <n v="3"/>
    <n v="4689.5210239999997"/>
  </r>
  <r>
    <x v="64"/>
    <x v="255"/>
    <s v="Males 18-34"/>
    <m/>
    <x v="1"/>
    <x v="1"/>
    <s v="San Francisco"/>
    <s v=" California"/>
    <m/>
    <m/>
    <s v="nbcdfw.com"/>
    <s v="BidSwitch"/>
    <s v="Smartphone"/>
    <n v="10835"/>
    <n v="25"/>
    <n v="2888"/>
    <n v="10487"/>
    <n v="3"/>
    <n v="4704.2499559999997"/>
  </r>
  <r>
    <x v="64"/>
    <x v="255"/>
    <s v="Females 18-54"/>
    <m/>
    <x v="1"/>
    <x v="3"/>
    <s v="Chicago"/>
    <s v=" Illinois"/>
    <m/>
    <m/>
    <s v="daily-choices.com"/>
    <s v="PubMatic"/>
    <s v="Smartphone"/>
    <n v="28553"/>
    <n v="90"/>
    <n v="11390"/>
    <n v="23355"/>
    <n v="13"/>
    <n v="5573.1123960000004"/>
  </r>
  <r>
    <x v="64"/>
    <x v="255"/>
    <s v="Males 55-64"/>
    <m/>
    <x v="1"/>
    <x v="2"/>
    <s v="New York City"/>
    <s v=" New York"/>
    <m/>
    <m/>
    <s v="timeanddate.com"/>
    <s v="Yahoo Exchange"/>
    <s v="Smartphone"/>
    <n v="44361"/>
    <n v="166"/>
    <n v="36040"/>
    <n v="40684"/>
    <n v="17"/>
    <n v="5048.8525529999997"/>
  </r>
  <r>
    <x v="64"/>
    <x v="255"/>
    <s v="Females 25 or older"/>
    <m/>
    <x v="0"/>
    <x v="0"/>
    <s v="Los Angeles"/>
    <s v=" California"/>
    <m/>
    <m/>
    <s v="abcnews.go.com"/>
    <s v="Google Ad Manager"/>
    <s v="Apple PC"/>
    <n v="10524"/>
    <n v="55"/>
    <n v="7601"/>
    <n v="10242"/>
    <n v="11"/>
    <n v="6136.1339019999996"/>
  </r>
  <r>
    <x v="64"/>
    <x v="255"/>
    <s v="Females 18-44"/>
    <m/>
    <x v="1"/>
    <x v="1"/>
    <s v="Augusta"/>
    <s v=" Georgia"/>
    <m/>
    <m/>
    <s v="mail.yahoo.com"/>
    <s v="PubMatic"/>
    <s v="Smartphone"/>
    <n v="207685"/>
    <n v="512"/>
    <n v="20134"/>
    <n v="30708"/>
    <n v="34"/>
    <n v="5239.2047869999997"/>
  </r>
  <r>
    <x v="64"/>
    <x v="255"/>
    <s v="Females 35-44"/>
    <m/>
    <x v="0"/>
    <x v="3"/>
    <s v="Jacksonville"/>
    <s v=" Florida"/>
    <m/>
    <m/>
    <s v="espn.com"/>
    <s v="PubMatic"/>
    <s v="Smartphone"/>
    <n v="121991"/>
    <n v="369"/>
    <n v="43079"/>
    <n v="99312"/>
    <n v="4"/>
    <n v="3993.2145850000002"/>
  </r>
  <r>
    <x v="64"/>
    <x v="255"/>
    <s v="Females 25-64"/>
    <m/>
    <x v="0"/>
    <x v="0"/>
    <s v="Ft. Myers-Naples"/>
    <s v=" Florida"/>
    <m/>
    <m/>
    <s v="mail.yahoo.com"/>
    <s v="Google Ad Manager"/>
    <s v="Smartphone"/>
    <n v="766674"/>
    <n v="1984"/>
    <n v="344201"/>
    <n v="720606"/>
    <n v="17"/>
    <n v="5816.2346189999998"/>
  </r>
  <r>
    <x v="64"/>
    <x v="255"/>
    <s v="Females 18-64"/>
    <m/>
    <x v="1"/>
    <x v="3"/>
    <s v="Chicago"/>
    <s v=" Illinois"/>
    <m/>
    <m/>
    <s v="mail.yahoo.com"/>
    <s v="Yahoo Exchange"/>
    <s v="Smartphone"/>
    <n v="742281"/>
    <n v="1999"/>
    <n v="432673"/>
    <n v="642404"/>
    <n v="11"/>
    <n v="6024.4224869999998"/>
  </r>
  <r>
    <x v="64"/>
    <x v="54"/>
    <s v="65 or older"/>
    <m/>
    <x v="1"/>
    <x v="1"/>
    <s v="Nashville"/>
    <s v=" Tennessee"/>
    <m/>
    <m/>
    <s v="tripadvisor.com"/>
    <s v="Yieldmo"/>
    <s v="Smartphone"/>
    <n v="10386"/>
    <n v="65"/>
    <n v="5876"/>
    <n v="10048"/>
    <n v="15"/>
    <n v="4439.8380639999996"/>
  </r>
  <r>
    <x v="64"/>
    <x v="54"/>
    <s v="25-34"/>
    <m/>
    <x v="1"/>
    <x v="1"/>
    <s v="Panama City"/>
    <s v=" Florida"/>
    <m/>
    <m/>
    <s v="lotterypost.com"/>
    <s v="OpenX"/>
    <s v="Smartphone"/>
    <n v="190592"/>
    <n v="601"/>
    <n v="28906"/>
    <n v="172515"/>
    <n v="25"/>
    <n v="4742.0477659999997"/>
  </r>
  <r>
    <x v="64"/>
    <x v="54"/>
    <s v="25-54"/>
    <m/>
    <x v="0"/>
    <x v="0"/>
    <s v="New York City"/>
    <s v=" New York"/>
    <m/>
    <m/>
    <s v="weather.com"/>
    <s v="Google Ad Manager"/>
    <s v="Smartphone"/>
    <n v="198163"/>
    <n v="469"/>
    <n v="76695"/>
    <n v="183585"/>
    <n v="31"/>
    <n v="5204.313768"/>
  </r>
  <r>
    <x v="64"/>
    <x v="54"/>
    <s v="18-54"/>
    <m/>
    <x v="1"/>
    <x v="1"/>
    <s v="Knoxville"/>
    <s v=" Tennessee"/>
    <m/>
    <m/>
    <s v="macrumors.com"/>
    <s v="PubMatic"/>
    <s v="Smartphone"/>
    <n v="12214"/>
    <n v="50"/>
    <n v="5376"/>
    <n v="11490"/>
    <n v="7"/>
    <n v="5616.3094019999999"/>
  </r>
  <r>
    <x v="64"/>
    <x v="54"/>
    <s v="25-44"/>
    <m/>
    <x v="2"/>
    <x v="2"/>
    <s v="Grand Rapids-Kalamazoo"/>
    <s v=" Michigan"/>
    <m/>
    <m/>
    <s v="cheapoair.com"/>
    <s v="PubMatic"/>
    <s v="Smartphone"/>
    <n v="114723"/>
    <n v="350"/>
    <n v="14623"/>
    <n v="92063"/>
    <n v="6"/>
    <n v="4742.0086369999999"/>
  </r>
  <r>
    <x v="64"/>
    <x v="54"/>
    <s v="55-64"/>
    <m/>
    <x v="0"/>
    <x v="1"/>
    <s v="Champaign &amp; Springfield-Decatur"/>
    <s v="Illinois"/>
    <m/>
    <m/>
    <s v="accuweather.com"/>
    <s v="Magnite DV+"/>
    <s v="Smartphone"/>
    <n v="36863"/>
    <n v="116"/>
    <n v="3570"/>
    <n v="29458"/>
    <n v="15"/>
    <n v="4752.8166849999998"/>
  </r>
  <r>
    <x v="64"/>
    <x v="54"/>
    <s v="35-44"/>
    <m/>
    <x v="0"/>
    <x v="1"/>
    <s v="San Francisco"/>
    <s v=" California"/>
    <m/>
    <m/>
    <s v="homehacks.co"/>
    <s v="Google Ad Manager"/>
    <s v="Windows PC"/>
    <n v="27473"/>
    <n v="69"/>
    <n v="11306"/>
    <n v="20625"/>
    <n v="2"/>
    <n v="2922.286102"/>
  </r>
  <r>
    <x v="64"/>
    <x v="54"/>
    <s v="18 or older"/>
    <m/>
    <x v="0"/>
    <x v="2"/>
    <s v="Miami-Ft. Lauderdale"/>
    <s v=" Florida"/>
    <m/>
    <m/>
    <s v="reference.com"/>
    <s v="Google Ad Manager"/>
    <s v="Windows PC"/>
    <n v="219088"/>
    <n v="541"/>
    <n v="75638"/>
    <n v="153987"/>
    <n v="17"/>
    <n v="6761.0738240000001"/>
  </r>
  <r>
    <x v="64"/>
    <x v="256"/>
    <s v="Female"/>
    <m/>
    <x v="2"/>
    <x v="0"/>
    <s v="Miami-Ft. Lauderdale"/>
    <s v=" Florida"/>
    <m/>
    <m/>
    <s v="yourroyals.com"/>
    <s v="Google Ad Manager"/>
    <s v="Smartphone"/>
    <n v="10906"/>
    <n v="46"/>
    <n v="4735"/>
    <n v="6390"/>
    <n v="3"/>
    <n v="5694.2709400000003"/>
  </r>
  <r>
    <x v="64"/>
    <x v="54"/>
    <s v="25 or older"/>
    <m/>
    <x v="1"/>
    <x v="1"/>
    <s v="Chattanooga"/>
    <s v=" Tennessee"/>
    <m/>
    <m/>
    <s v="kiplinger.com"/>
    <s v="OpenX"/>
    <s v="Smartphone"/>
    <n v="8233"/>
    <n v="65"/>
    <n v="5361"/>
    <n v="7643"/>
    <n v="4"/>
    <n v="6381.0065759999998"/>
  </r>
  <r>
    <x v="64"/>
    <x v="256"/>
    <s v="Male"/>
    <m/>
    <x v="1"/>
    <x v="2"/>
    <s v="San Francisco"/>
    <s v=" California"/>
    <m/>
    <m/>
    <s v="kbb.com"/>
    <s v="Google Ad Manager"/>
    <s v="Smartphone"/>
    <n v="48947"/>
    <n v="230"/>
    <n v="32089"/>
    <n v="45597"/>
    <n v="21"/>
    <n v="5702.2902649999996"/>
  </r>
  <r>
    <x v="64"/>
    <x v="255"/>
    <s v="Males 25 or older"/>
    <m/>
    <x v="1"/>
    <x v="0"/>
    <s v="Chicago"/>
    <s v=" Illinois"/>
    <m/>
    <m/>
    <s v="usatoday.com"/>
    <s v="OpenX"/>
    <s v="Smartphone"/>
    <n v="47016"/>
    <n v="199"/>
    <n v="12210"/>
    <n v="38039"/>
    <n v="13"/>
    <n v="5974.8750799999998"/>
  </r>
  <r>
    <x v="64"/>
    <x v="255"/>
    <s v="Females 65 or older"/>
    <m/>
    <x v="1"/>
    <x v="2"/>
    <s v="Chicago"/>
    <s v=" Illinois"/>
    <m/>
    <m/>
    <s v="finance.yahoo.com"/>
    <s v="Google Ad Manager"/>
    <s v="Smartphone"/>
    <n v="232470"/>
    <n v="504"/>
    <n v="40870"/>
    <n v="195447"/>
    <n v="36"/>
    <n v="5401.3650850000004"/>
  </r>
  <r>
    <x v="64"/>
    <x v="255"/>
    <s v="Males 25-64"/>
    <m/>
    <x v="0"/>
    <x v="1"/>
    <s v="Chicago"/>
    <s v=" Illinois"/>
    <m/>
    <m/>
    <s v="the-sun.com"/>
    <s v="Index Exchange"/>
    <s v="Apple PC"/>
    <n v="48707"/>
    <n v="185"/>
    <n v="25182"/>
    <n v="44696"/>
    <n v="13"/>
    <n v="5600.3556429999999"/>
  </r>
  <r>
    <x v="64"/>
    <x v="255"/>
    <s v="Males 18-64"/>
    <m/>
    <x v="0"/>
    <x v="2"/>
    <s v="Jacksonville"/>
    <s v=" Florida"/>
    <m/>
    <m/>
    <s v="livescience.com"/>
    <s v="BidSwitch"/>
    <s v="Smartphone"/>
    <n v="9702"/>
    <n v="40"/>
    <n v="5564"/>
    <n v="8210"/>
    <n v="1"/>
    <n v="5711.3920099999996"/>
  </r>
  <r>
    <x v="64"/>
    <x v="255"/>
    <s v="Males 18-54"/>
    <m/>
    <x v="0"/>
    <x v="3"/>
    <s v="Nashville"/>
    <s v=" Tennessee"/>
    <m/>
    <m/>
    <s v="accuweather.com"/>
    <s v="Google Ad Manager"/>
    <s v="Smartphone"/>
    <n v="14730"/>
    <n v="88"/>
    <n v="1272"/>
    <n v="12427"/>
    <n v="3"/>
    <n v="5190.5359980000003"/>
  </r>
  <r>
    <x v="64"/>
    <x v="255"/>
    <s v="Males 25-54"/>
    <m/>
    <x v="0"/>
    <x v="0"/>
    <s v="Chicago"/>
    <s v=" Illinois"/>
    <m/>
    <m/>
    <s v="marca.com"/>
    <s v="Sharethrough"/>
    <s v="Smartphone"/>
    <n v="9725"/>
    <n v="80"/>
    <n v="6616"/>
    <n v="8778"/>
    <n v="1"/>
    <n v="4942.2839869999998"/>
  </r>
  <r>
    <x v="64"/>
    <x v="54"/>
    <s v="25-64"/>
    <m/>
    <x v="1"/>
    <x v="3"/>
    <s v="Savannah"/>
    <s v=" Georgia"/>
    <m/>
    <m/>
    <s v="microsoftcasualgames.com"/>
    <s v="Magnite DV+"/>
    <s v="Smartphone"/>
    <n v="252170"/>
    <n v="650"/>
    <n v="9248"/>
    <n v="14192"/>
    <n v="1"/>
    <n v="5874.0047800000002"/>
  </r>
  <r>
    <x v="64"/>
    <x v="255"/>
    <s v="Females 45-54"/>
    <m/>
    <x v="1"/>
    <x v="0"/>
    <s v="Los Angeles"/>
    <s v=" California"/>
    <m/>
    <m/>
    <s v="cbsnews.com"/>
    <s v="Google Ad Manager"/>
    <s v="Smartphone"/>
    <n v="43117"/>
    <n v="100"/>
    <n v="6478"/>
    <n v="27405"/>
    <n v="8"/>
    <n v="4250.430438999999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D1C3F82-7952-4EAE-B838-AEE61CE89836}" name="PivotTable1" cacheId="0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showHeaders="0" outline="1" outlineData="1" multipleFieldFilters="0">
  <location ref="A3:B190" firstHeaderRow="1" firstDataRow="1" firstDataCol="1"/>
  <pivotFields count="19">
    <pivotField axis="axisRow" showAll="0">
      <items count="66">
        <item x="0"/>
        <item x="1"/>
        <item x="2"/>
        <item x="3"/>
        <item x="4"/>
        <item x="5"/>
        <item x="6"/>
        <item x="7"/>
        <item x="8"/>
        <item x="64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3"/>
        <item x="24"/>
        <item x="22"/>
        <item x="25"/>
        <item x="26"/>
        <item x="27"/>
        <item x="28"/>
        <item x="29"/>
        <item x="30"/>
        <item x="31"/>
        <item x="32"/>
        <item x="33"/>
        <item x="35"/>
        <item x="34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t="default"/>
      </items>
    </pivotField>
    <pivotField showAll="0">
      <items count="258">
        <item x="63"/>
        <item x="66"/>
        <item x="217"/>
        <item x="113"/>
        <item x="245"/>
        <item x="54"/>
        <item x="239"/>
        <item x="184"/>
        <item x="41"/>
        <item x="89"/>
        <item x="1"/>
        <item x="150"/>
        <item x="11"/>
        <item x="10"/>
        <item x="9"/>
        <item x="43"/>
        <item x="64"/>
        <item x="205"/>
        <item x="34"/>
        <item x="106"/>
        <item x="80"/>
        <item x="47"/>
        <item x="46"/>
        <item x="170"/>
        <item x="22"/>
        <item x="31"/>
        <item x="192"/>
        <item x="18"/>
        <item x="132"/>
        <item x="246"/>
        <item x="164"/>
        <item x="249"/>
        <item x="252"/>
        <item x="248"/>
        <item x="87"/>
        <item x="247"/>
        <item x="181"/>
        <item x="118"/>
        <item x="3"/>
        <item x="159"/>
        <item x="96"/>
        <item x="133"/>
        <item x="134"/>
        <item x="208"/>
        <item x="6"/>
        <item x="86"/>
        <item x="112"/>
        <item x="154"/>
        <item x="195"/>
        <item x="111"/>
        <item x="153"/>
        <item x="95"/>
        <item x="108"/>
        <item x="84"/>
        <item x="28"/>
        <item x="228"/>
        <item x="94"/>
        <item x="65"/>
        <item x="73"/>
        <item x="244"/>
        <item x="213"/>
        <item x="171"/>
        <item x="14"/>
        <item x="24"/>
        <item x="211"/>
        <item x="238"/>
        <item x="76"/>
        <item x="190"/>
        <item x="191"/>
        <item x="231"/>
        <item x="214"/>
        <item x="99"/>
        <item x="55"/>
        <item x="85"/>
        <item x="20"/>
        <item x="38"/>
        <item x="125"/>
        <item x="137"/>
        <item x="158"/>
        <item x="59"/>
        <item x="75"/>
        <item x="74"/>
        <item x="67"/>
        <item x="155"/>
        <item x="0"/>
        <item x="206"/>
        <item x="35"/>
        <item x="51"/>
        <item x="175"/>
        <item x="88"/>
        <item x="207"/>
        <item x="29"/>
        <item x="168"/>
        <item x="56"/>
        <item x="15"/>
        <item x="62"/>
        <item x="27"/>
        <item x="117"/>
        <item x="45"/>
        <item x="81"/>
        <item x="82"/>
        <item x="152"/>
        <item x="212"/>
        <item x="256"/>
        <item x="255"/>
        <item x="127"/>
        <item x="61"/>
        <item x="30"/>
        <item x="226"/>
        <item x="44"/>
        <item x="91"/>
        <item x="110"/>
        <item x="42"/>
        <item x="104"/>
        <item x="140"/>
        <item x="227"/>
        <item x="224"/>
        <item x="103"/>
        <item x="102"/>
        <item x="223"/>
        <item x="100"/>
        <item x="101"/>
        <item x="188"/>
        <item x="250"/>
        <item x="109"/>
        <item x="52"/>
        <item x="23"/>
        <item x="200"/>
        <item x="254"/>
        <item x="167"/>
        <item x="90"/>
        <item x="253"/>
        <item x="219"/>
        <item x="60"/>
        <item x="136"/>
        <item x="126"/>
        <item x="36"/>
        <item x="107"/>
        <item x="147"/>
        <item x="129"/>
        <item x="156"/>
        <item x="69"/>
        <item x="68"/>
        <item x="241"/>
        <item x="71"/>
        <item x="70"/>
        <item x="161"/>
        <item x="185"/>
        <item x="37"/>
        <item x="72"/>
        <item x="130"/>
        <item x="176"/>
        <item x="123"/>
        <item x="210"/>
        <item x="202"/>
        <item x="135"/>
        <item x="5"/>
        <item x="114"/>
        <item x="4"/>
        <item x="216"/>
        <item x="138"/>
        <item x="148"/>
        <item x="160"/>
        <item x="186"/>
        <item x="25"/>
        <item x="145"/>
        <item x="119"/>
        <item x="48"/>
        <item x="173"/>
        <item x="215"/>
        <item x="144"/>
        <item x="92"/>
        <item x="194"/>
        <item x="157"/>
        <item x="78"/>
        <item x="77"/>
        <item x="220"/>
        <item x="142"/>
        <item x="229"/>
        <item x="172"/>
        <item x="162"/>
        <item x="53"/>
        <item x="178"/>
        <item x="177"/>
        <item x="8"/>
        <item x="196"/>
        <item x="193"/>
        <item x="182"/>
        <item x="98"/>
        <item x="128"/>
        <item x="26"/>
        <item x="179"/>
        <item x="232"/>
        <item x="180"/>
        <item x="233"/>
        <item x="234"/>
        <item x="235"/>
        <item x="236"/>
        <item x="187"/>
        <item x="12"/>
        <item x="79"/>
        <item x="83"/>
        <item x="40"/>
        <item x="189"/>
        <item x="124"/>
        <item x="174"/>
        <item x="7"/>
        <item x="13"/>
        <item x="58"/>
        <item x="116"/>
        <item x="141"/>
        <item x="169"/>
        <item x="183"/>
        <item x="33"/>
        <item x="93"/>
        <item x="240"/>
        <item x="198"/>
        <item x="149"/>
        <item x="197"/>
        <item x="166"/>
        <item x="222"/>
        <item x="143"/>
        <item x="209"/>
        <item x="57"/>
        <item x="203"/>
        <item x="146"/>
        <item x="163"/>
        <item x="39"/>
        <item x="218"/>
        <item x="151"/>
        <item x="237"/>
        <item x="16"/>
        <item x="242"/>
        <item x="251"/>
        <item x="221"/>
        <item x="115"/>
        <item x="2"/>
        <item x="201"/>
        <item x="131"/>
        <item x="243"/>
        <item x="17"/>
        <item x="19"/>
        <item x="21"/>
        <item x="230"/>
        <item x="97"/>
        <item x="199"/>
        <item x="165"/>
        <item x="121"/>
        <item x="120"/>
        <item x="122"/>
        <item x="139"/>
        <item x="32"/>
        <item x="204"/>
        <item x="49"/>
        <item x="225"/>
        <item x="105"/>
        <item x="50"/>
        <item t="default"/>
      </items>
    </pivotField>
    <pivotField showAll="0"/>
    <pivotField showAll="0"/>
    <pivotField axis="axisRow" showAll="0">
      <items count="4">
        <item x="0"/>
        <item x="2"/>
        <item x="1"/>
        <item t="default"/>
      </items>
    </pivotField>
    <pivotField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</pivotFields>
  <rowFields count="2">
    <field x="0"/>
    <field x="4"/>
  </rowFields>
  <rowItems count="187">
    <i>
      <x/>
    </i>
    <i r="1">
      <x/>
    </i>
    <i r="1">
      <x v="1"/>
    </i>
    <i r="1">
      <x v="2"/>
    </i>
    <i>
      <x v="1"/>
    </i>
    <i r="1">
      <x/>
    </i>
    <i r="1">
      <x v="1"/>
    </i>
    <i r="1">
      <x v="2"/>
    </i>
    <i>
      <x v="2"/>
    </i>
    <i r="1">
      <x/>
    </i>
    <i r="1">
      <x v="2"/>
    </i>
    <i>
      <x v="3"/>
    </i>
    <i r="1">
      <x/>
    </i>
    <i r="1">
      <x v="1"/>
    </i>
    <i r="1">
      <x v="2"/>
    </i>
    <i>
      <x v="4"/>
    </i>
    <i r="1">
      <x/>
    </i>
    <i r="1">
      <x v="1"/>
    </i>
    <i r="1">
      <x v="2"/>
    </i>
    <i>
      <x v="5"/>
    </i>
    <i r="1">
      <x v="2"/>
    </i>
    <i>
      <x v="6"/>
    </i>
    <i r="1">
      <x v="2"/>
    </i>
    <i>
      <x v="7"/>
    </i>
    <i r="1">
      <x/>
    </i>
    <i>
      <x v="8"/>
    </i>
    <i r="1">
      <x/>
    </i>
    <i r="1">
      <x v="1"/>
    </i>
    <i r="1">
      <x v="2"/>
    </i>
    <i>
      <x v="9"/>
    </i>
    <i r="1">
      <x/>
    </i>
    <i r="1">
      <x v="1"/>
    </i>
    <i r="1">
      <x v="2"/>
    </i>
    <i>
      <x v="10"/>
    </i>
    <i r="1">
      <x/>
    </i>
    <i r="1">
      <x v="2"/>
    </i>
    <i>
      <x v="11"/>
    </i>
    <i r="1">
      <x/>
    </i>
    <i r="1">
      <x v="1"/>
    </i>
    <i r="1">
      <x v="2"/>
    </i>
    <i>
      <x v="12"/>
    </i>
    <i r="1">
      <x/>
    </i>
    <i>
      <x v="13"/>
    </i>
    <i r="1">
      <x/>
    </i>
    <i r="1">
      <x v="1"/>
    </i>
    <i r="1">
      <x v="2"/>
    </i>
    <i>
      <x v="14"/>
    </i>
    <i r="1">
      <x/>
    </i>
    <i r="1">
      <x v="2"/>
    </i>
    <i>
      <x v="15"/>
    </i>
    <i r="1">
      <x/>
    </i>
    <i r="1">
      <x v="1"/>
    </i>
    <i r="1">
      <x v="2"/>
    </i>
    <i>
      <x v="16"/>
    </i>
    <i r="1">
      <x v="2"/>
    </i>
    <i>
      <x v="17"/>
    </i>
    <i r="1">
      <x/>
    </i>
    <i r="1">
      <x v="1"/>
    </i>
    <i r="1">
      <x v="2"/>
    </i>
    <i>
      <x v="18"/>
    </i>
    <i r="1">
      <x v="2"/>
    </i>
    <i>
      <x v="19"/>
    </i>
    <i r="1">
      <x v="1"/>
    </i>
    <i>
      <x v="20"/>
    </i>
    <i r="1">
      <x v="2"/>
    </i>
    <i>
      <x v="21"/>
    </i>
    <i r="1">
      <x/>
    </i>
    <i r="1">
      <x v="1"/>
    </i>
    <i r="1">
      <x v="2"/>
    </i>
    <i>
      <x v="22"/>
    </i>
    <i r="1">
      <x/>
    </i>
    <i r="1">
      <x v="2"/>
    </i>
    <i>
      <x v="23"/>
    </i>
    <i r="1">
      <x/>
    </i>
    <i r="1">
      <x v="2"/>
    </i>
    <i>
      <x v="24"/>
    </i>
    <i r="1">
      <x/>
    </i>
    <i r="1">
      <x v="2"/>
    </i>
    <i>
      <x v="25"/>
    </i>
    <i r="1">
      <x/>
    </i>
    <i>
      <x v="26"/>
    </i>
    <i r="1">
      <x/>
    </i>
    <i r="1">
      <x v="2"/>
    </i>
    <i>
      <x v="27"/>
    </i>
    <i r="1">
      <x/>
    </i>
    <i r="1">
      <x v="1"/>
    </i>
    <i r="1">
      <x v="2"/>
    </i>
    <i>
      <x v="28"/>
    </i>
    <i r="1">
      <x/>
    </i>
    <i r="1">
      <x v="2"/>
    </i>
    <i>
      <x v="29"/>
    </i>
    <i r="1">
      <x/>
    </i>
    <i>
      <x v="30"/>
    </i>
    <i r="1">
      <x/>
    </i>
    <i r="1">
      <x v="2"/>
    </i>
    <i>
      <x v="31"/>
    </i>
    <i r="1">
      <x/>
    </i>
    <i r="1">
      <x v="2"/>
    </i>
    <i>
      <x v="32"/>
    </i>
    <i r="1">
      <x/>
    </i>
    <i r="1">
      <x v="2"/>
    </i>
    <i>
      <x v="33"/>
    </i>
    <i r="1">
      <x v="2"/>
    </i>
    <i>
      <x v="34"/>
    </i>
    <i r="1">
      <x v="2"/>
    </i>
    <i>
      <x v="35"/>
    </i>
    <i r="1">
      <x/>
    </i>
    <i r="1">
      <x v="2"/>
    </i>
    <i>
      <x v="36"/>
    </i>
    <i r="1">
      <x/>
    </i>
    <i r="1">
      <x v="2"/>
    </i>
    <i>
      <x v="37"/>
    </i>
    <i r="1">
      <x/>
    </i>
    <i>
      <x v="38"/>
    </i>
    <i r="1">
      <x/>
    </i>
    <i r="1">
      <x v="2"/>
    </i>
    <i>
      <x v="39"/>
    </i>
    <i r="1">
      <x/>
    </i>
    <i r="1">
      <x v="1"/>
    </i>
    <i r="1">
      <x v="2"/>
    </i>
    <i>
      <x v="40"/>
    </i>
    <i r="1">
      <x/>
    </i>
    <i r="1">
      <x v="1"/>
    </i>
    <i r="1">
      <x v="2"/>
    </i>
    <i>
      <x v="41"/>
    </i>
    <i r="1">
      <x/>
    </i>
    <i r="1">
      <x v="2"/>
    </i>
    <i>
      <x v="42"/>
    </i>
    <i r="1">
      <x/>
    </i>
    <i r="1">
      <x v="2"/>
    </i>
    <i>
      <x v="43"/>
    </i>
    <i r="1">
      <x/>
    </i>
    <i>
      <x v="44"/>
    </i>
    <i r="1">
      <x v="2"/>
    </i>
    <i>
      <x v="45"/>
    </i>
    <i r="1">
      <x/>
    </i>
    <i>
      <x v="46"/>
    </i>
    <i r="1">
      <x v="2"/>
    </i>
    <i>
      <x v="47"/>
    </i>
    <i r="1">
      <x/>
    </i>
    <i>
      <x v="48"/>
    </i>
    <i r="1">
      <x/>
    </i>
    <i>
      <x v="49"/>
    </i>
    <i r="1">
      <x/>
    </i>
    <i r="1">
      <x v="1"/>
    </i>
    <i r="1">
      <x v="2"/>
    </i>
    <i>
      <x v="50"/>
    </i>
    <i r="1">
      <x/>
    </i>
    <i r="1">
      <x v="2"/>
    </i>
    <i>
      <x v="51"/>
    </i>
    <i r="1">
      <x/>
    </i>
    <i>
      <x v="52"/>
    </i>
    <i r="1">
      <x/>
    </i>
    <i>
      <x v="53"/>
    </i>
    <i r="1">
      <x v="2"/>
    </i>
    <i>
      <x v="54"/>
    </i>
    <i r="1">
      <x v="2"/>
    </i>
    <i>
      <x v="55"/>
    </i>
    <i r="1">
      <x/>
    </i>
    <i>
      <x v="56"/>
    </i>
    <i r="1">
      <x/>
    </i>
    <i r="1">
      <x v="1"/>
    </i>
    <i r="1">
      <x v="2"/>
    </i>
    <i>
      <x v="57"/>
    </i>
    <i r="1">
      <x/>
    </i>
    <i r="1">
      <x v="2"/>
    </i>
    <i>
      <x v="58"/>
    </i>
    <i r="1">
      <x v="2"/>
    </i>
    <i>
      <x v="59"/>
    </i>
    <i r="1">
      <x/>
    </i>
    <i>
      <x v="60"/>
    </i>
    <i r="1">
      <x v="2"/>
    </i>
    <i>
      <x v="61"/>
    </i>
    <i r="1">
      <x/>
    </i>
    <i>
      <x v="62"/>
    </i>
    <i r="1">
      <x/>
    </i>
    <i r="1">
      <x v="1"/>
    </i>
    <i r="1">
      <x v="2"/>
    </i>
    <i>
      <x v="63"/>
    </i>
    <i r="1">
      <x/>
    </i>
    <i r="1">
      <x v="1"/>
    </i>
    <i r="1">
      <x v="2"/>
    </i>
    <i>
      <x v="64"/>
    </i>
    <i r="1">
      <x/>
    </i>
    <i r="1">
      <x v="1"/>
    </i>
    <i r="1">
      <x v="2"/>
    </i>
    <i t="grand">
      <x/>
    </i>
  </rowItems>
  <colItems count="1">
    <i/>
  </colItems>
  <dataFields count="1">
    <dataField name="Sum of Clicks" fld="1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E71C8569-4C34-4F42-B77E-4A7E2F0A721C}" autoFormatId="16" applyNumberFormats="0" applyBorderFormats="0" applyFontFormats="0" applyPatternFormats="0" applyAlignmentFormats="0" applyWidthHeightFormats="0">
  <queryTableRefresh nextId="41" unboundColumnsRight="6">
    <queryTableFields count="25">
      <queryTableField id="18" name="Audience Segment" tableColumnId="18"/>
      <queryTableField id="19" name="Category" tableColumnId="19"/>
      <queryTableField id="20" name="Sub category" tableColumnId="20"/>
      <queryTableField id="21" name="Description" tableColumnId="21"/>
      <queryTableField id="6" name="Creative Size" tableColumnId="6"/>
      <queryTableField id="7" name="Creative Messaging" tableColumnId="7"/>
      <queryTableField id="22" name="City1" tableColumnId="22"/>
      <queryTableField id="23" name="State1" tableColumnId="23"/>
      <queryTableField id="24" name="City2" tableColumnId="24"/>
      <queryTableField id="25" name="State2" tableColumnId="25"/>
      <queryTableField id="9" name="App/URL" tableColumnId="9"/>
      <queryTableField id="10" name="Exchange" tableColumnId="10"/>
      <queryTableField id="11" name="Device Make" tableColumnId="11"/>
      <queryTableField id="12" name="Impressions" tableColumnId="12"/>
      <queryTableField id="13" name="Clicks" tableColumnId="13"/>
      <queryTableField id="14" name="Viewable Impressions" tableColumnId="14"/>
      <queryTableField id="15" name="Measurable Impressions" tableColumnId="15"/>
      <queryTableField id="16" name="Total Conversions" tableColumnId="16"/>
      <queryTableField id="17" name="Gross Cost" tableColumnId="17"/>
      <queryTableField id="34" dataBound="0" tableColumnId="1"/>
      <queryTableField id="35" dataBound="0" tableColumnId="2"/>
      <queryTableField id="36" dataBound="0" tableColumnId="3"/>
      <queryTableField id="38" dataBound="0" tableColumnId="5"/>
      <queryTableField id="39" dataBound="0" tableColumnId="8"/>
      <queryTableField id="40" dataBound="0" tableColumnId="2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5BCED5C-0D25-4B5E-8EFA-C45BFD7BA3E0}" name="PBL_DA_CAPSTONE_DATA" displayName="PBL_DA_CAPSTONE_DATA" ref="A1:Y728" tableType="queryTable" totalsRowShown="0">
  <autoFilter ref="A1:Y728" xr:uid="{D5BCED5C-0D25-4B5E-8EFA-C45BFD7BA3E0}"/>
  <tableColumns count="25">
    <tableColumn id="18" xr3:uid="{E3852FCE-85DF-436F-8EE0-55FDA81675D5}" uniqueName="18" name="Audience Segment" queryTableFieldId="18" dataDxfId="19"/>
    <tableColumn id="19" xr3:uid="{F2EC7F5C-2A4B-40AA-8654-D1B4239D0350}" uniqueName="19" name="Category" queryTableFieldId="19" dataDxfId="18"/>
    <tableColumn id="20" xr3:uid="{F3445C2B-45AD-4B60-9806-14F724144425}" uniqueName="20" name="Sub category" queryTableFieldId="20" dataDxfId="17"/>
    <tableColumn id="21" xr3:uid="{0C7E27F8-C97A-4A68-9D76-EEEE58B1F009}" uniqueName="21" name="Description" queryTableFieldId="21" dataDxfId="16"/>
    <tableColumn id="6" xr3:uid="{860457B2-5FC4-416E-B38B-5B67EBE1235E}" uniqueName="6" name="Creative Size" queryTableFieldId="6" dataDxfId="15"/>
    <tableColumn id="7" xr3:uid="{8B49F43F-5B5D-4051-8DF9-A699E481121D}" uniqueName="7" name="Creative Messaging" queryTableFieldId="7" dataDxfId="14"/>
    <tableColumn id="22" xr3:uid="{ED1BD1C2-3432-4AFD-9A40-033A1844A5A3}" uniqueName="22" name="City1" queryTableFieldId="22" dataDxfId="13"/>
    <tableColumn id="23" xr3:uid="{578180EF-FF81-4FB2-823D-166F91DC8D7F}" uniqueName="23" name="State1" queryTableFieldId="23" dataDxfId="12"/>
    <tableColumn id="24" xr3:uid="{1F89F9D5-BA07-4F5B-AA8F-F3FFA499A75B}" uniqueName="24" name="City2" queryTableFieldId="24" dataDxfId="11"/>
    <tableColumn id="25" xr3:uid="{96F13C14-A65D-43C2-86C0-2B88AB57B94F}" uniqueName="25" name="State2" queryTableFieldId="25" dataDxfId="10"/>
    <tableColumn id="9" xr3:uid="{50379DC1-1B50-49F1-AE67-8ABF7E0BEC2D}" uniqueName="9" name="App/URL" queryTableFieldId="9" dataDxfId="9"/>
    <tableColumn id="10" xr3:uid="{7B817262-70C4-4485-A0DD-778138B4FC92}" uniqueName="10" name="Exchange" queryTableFieldId="10" dataDxfId="8"/>
    <tableColumn id="11" xr3:uid="{1CBEB867-5AFE-4BA0-9D5F-C247120DBB10}" uniqueName="11" name="Device Make" queryTableFieldId="11" dataDxfId="7"/>
    <tableColumn id="12" xr3:uid="{F50D53B0-632F-4982-8068-9661DD2F8356}" uniqueName="12" name="Impressions" queryTableFieldId="12" dataDxfId="6" dataCellStyle="Comma"/>
    <tableColumn id="13" xr3:uid="{4102E9C2-828F-4514-B9BE-37A9B2BB7164}" uniqueName="13" name="Clicks" queryTableFieldId="13" dataDxfId="5" dataCellStyle="Comma"/>
    <tableColumn id="14" xr3:uid="{5CD0DB91-DC77-4720-824E-E4722D85F252}" uniqueName="14" name="Viewable Impressions" queryTableFieldId="14" dataDxfId="4" dataCellStyle="Comma"/>
    <tableColumn id="15" xr3:uid="{6321DCF1-B893-49E5-85B9-F652511C91A2}" uniqueName="15" name="Measurable Impressions" queryTableFieldId="15" dataDxfId="3" dataCellStyle="Comma"/>
    <tableColumn id="16" xr3:uid="{8FC64754-B156-4111-8EF2-A8DCCE4CEBFD}" uniqueName="16" name="Total Conversions" queryTableFieldId="16" dataDxfId="2" dataCellStyle="Comma"/>
    <tableColumn id="17" xr3:uid="{087B1637-AB83-4137-B605-DFEC08FA039E}" uniqueName="17" name="Gross Cost" queryTableFieldId="17" dataCellStyle="Currency"/>
    <tableColumn id="1" xr3:uid="{C2FD78F2-7FC6-4937-AF2B-434D78A44287}" uniqueName="1" name="CPA (Cost per Acquistion)" queryTableFieldId="34" dataCellStyle="Currency">
      <calculatedColumnFormula>S2/R2</calculatedColumnFormula>
    </tableColumn>
    <tableColumn id="2" xr3:uid="{0AA0D433-309D-48A2-8694-36103D7206E9}" uniqueName="2" name="CVR (Conversion Rate)" queryTableFieldId="35" dataDxfId="1" dataCellStyle="Comma">
      <calculatedColumnFormula>R2/O2</calculatedColumnFormula>
    </tableColumn>
    <tableColumn id="3" xr3:uid="{7677CD6F-A696-4960-B9E5-2E442A8B26B1}" uniqueName="3" name="CTR (Click-Through Rate)" queryTableFieldId="36" dataDxfId="0" dataCellStyle="Comma">
      <calculatedColumnFormula>O2/N2</calculatedColumnFormula>
    </tableColumn>
    <tableColumn id="5" xr3:uid="{20F5ACAD-4AF9-48CE-B4F0-C78184316406}" uniqueName="5" name="CPC (Cost per Click" queryTableFieldId="38" dataCellStyle="Currency">
      <calculatedColumnFormula>S2/O2</calculatedColumnFormula>
    </tableColumn>
    <tableColumn id="8" xr3:uid="{C47E54C4-D996-4F99-AD0B-92662F9D4175}" uniqueName="8" name="CPM (Cost per Mille)" queryTableFieldId="39" dataCellStyle="Currency">
      <calculatedColumnFormula>(S2/N2)*1000</calculatedColumnFormula>
    </tableColumn>
    <tableColumn id="26" xr3:uid="{A67C00A4-E16F-41EA-A54E-D64D0300AFA4}" uniqueName="26" name="Viewabiliy Rate" queryTableFieldId="40"/>
  </tableColumns>
  <tableStyleInfo name="TableStyleMedium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2953B-332B-4783-BA40-22ABA31F8187}">
  <dimension ref="A1:Y728"/>
  <sheetViews>
    <sheetView tabSelected="1" topLeftCell="N1" workbookViewId="0">
      <selection activeCell="Y4" sqref="Y4"/>
    </sheetView>
  </sheetViews>
  <sheetFormatPr defaultRowHeight="15" x14ac:dyDescent="0.25"/>
  <cols>
    <col min="1" max="1" width="36" bestFit="1" customWidth="1"/>
    <col min="2" max="2" width="44.140625" bestFit="1" customWidth="1"/>
    <col min="3" max="3" width="32.85546875" customWidth="1"/>
    <col min="4" max="4" width="81.140625" bestFit="1" customWidth="1"/>
    <col min="5" max="5" width="14.7109375" bestFit="1" customWidth="1"/>
    <col min="6" max="6" width="29.140625" bestFit="1" customWidth="1"/>
    <col min="7" max="7" width="31.140625" bestFit="1" customWidth="1"/>
    <col min="8" max="8" width="14.42578125" bestFit="1" customWidth="1"/>
    <col min="9" max="9" width="11.7109375" bestFit="1" customWidth="1"/>
    <col min="10" max="10" width="8.85546875" bestFit="1" customWidth="1"/>
    <col min="11" max="11" width="31.85546875" bestFit="1" customWidth="1"/>
    <col min="12" max="12" width="31.42578125" bestFit="1" customWidth="1"/>
    <col min="13" max="13" width="14.7109375" customWidth="1"/>
    <col min="14" max="14" width="14.140625" style="4" bestFit="1" customWidth="1"/>
    <col min="15" max="15" width="9.5703125" style="4" bestFit="1" customWidth="1"/>
    <col min="16" max="16" width="23.28515625" style="4" bestFit="1" customWidth="1"/>
    <col min="17" max="17" width="25.5703125" style="4" bestFit="1" customWidth="1"/>
    <col min="18" max="18" width="19.28515625" style="4" bestFit="1" customWidth="1"/>
    <col min="19" max="19" width="12.5703125" bestFit="1" customWidth="1"/>
    <col min="20" max="20" width="27.85546875" style="3" bestFit="1" customWidth="1"/>
    <col min="21" max="21" width="25" style="6" bestFit="1" customWidth="1"/>
    <col min="22" max="22" width="25.42578125" bestFit="1" customWidth="1"/>
    <col min="23" max="23" width="19.140625" style="3" bestFit="1" customWidth="1"/>
    <col min="24" max="24" width="22" style="3" bestFit="1" customWidth="1"/>
    <col min="25" max="25" width="17.28515625" bestFit="1" customWidth="1"/>
  </cols>
  <sheetData>
    <row r="1" spans="1:25" x14ac:dyDescent="0.25">
      <c r="A1" t="s">
        <v>1055</v>
      </c>
      <c r="B1" t="s">
        <v>76</v>
      </c>
      <c r="C1" t="s">
        <v>1056</v>
      </c>
      <c r="D1" t="s">
        <v>1057</v>
      </c>
      <c r="E1" t="s">
        <v>0</v>
      </c>
      <c r="F1" t="s">
        <v>1</v>
      </c>
      <c r="G1" t="s">
        <v>1058</v>
      </c>
      <c r="H1" t="s">
        <v>1059</v>
      </c>
      <c r="I1" t="s">
        <v>1060</v>
      </c>
      <c r="J1" t="s">
        <v>1061</v>
      </c>
      <c r="K1" t="s">
        <v>2</v>
      </c>
      <c r="L1" t="s">
        <v>3</v>
      </c>
      <c r="M1" t="s">
        <v>4</v>
      </c>
      <c r="N1" s="4" t="s">
        <v>5</v>
      </c>
      <c r="O1" s="4" t="s">
        <v>6</v>
      </c>
      <c r="P1" s="4" t="s">
        <v>7</v>
      </c>
      <c r="Q1" s="4" t="s">
        <v>8</v>
      </c>
      <c r="R1" s="4" t="s">
        <v>9</v>
      </c>
      <c r="S1" s="3" t="s">
        <v>10</v>
      </c>
      <c r="T1" s="3" t="s">
        <v>1177</v>
      </c>
      <c r="U1" s="6" t="s">
        <v>1178</v>
      </c>
      <c r="V1" t="s">
        <v>1179</v>
      </c>
      <c r="W1" s="3" t="s">
        <v>1176</v>
      </c>
      <c r="X1" s="3" t="s">
        <v>1181</v>
      </c>
      <c r="Y1" t="s">
        <v>1180</v>
      </c>
    </row>
    <row r="2" spans="1:25" x14ac:dyDescent="0.25">
      <c r="A2" t="s">
        <v>11</v>
      </c>
      <c r="B2" t="s">
        <v>12</v>
      </c>
      <c r="C2" t="s">
        <v>13</v>
      </c>
      <c r="E2" t="s">
        <v>14</v>
      </c>
      <c r="F2" t="s">
        <v>15</v>
      </c>
      <c r="G2" t="s">
        <v>1062</v>
      </c>
      <c r="H2" t="s">
        <v>1063</v>
      </c>
      <c r="K2" t="s">
        <v>16</v>
      </c>
      <c r="L2" t="s">
        <v>17</v>
      </c>
      <c r="M2" t="s">
        <v>18</v>
      </c>
      <c r="N2" s="4">
        <v>20833</v>
      </c>
      <c r="O2" s="4">
        <v>87</v>
      </c>
      <c r="P2" s="4">
        <v>1777</v>
      </c>
      <c r="Q2" s="4">
        <v>17211</v>
      </c>
      <c r="R2" s="4">
        <v>9</v>
      </c>
      <c r="S2" s="3">
        <v>5542.5121810000001</v>
      </c>
      <c r="T2" s="3">
        <f t="shared" ref="T2:T65" si="0">S2/R2</f>
        <v>615.83468677777773</v>
      </c>
      <c r="U2" s="5">
        <f>R2/O2</f>
        <v>0.10344827586206896</v>
      </c>
      <c r="V2" s="5">
        <f t="shared" ref="V2:V65" si="1">O2/N2</f>
        <v>4.176066817069073E-3</v>
      </c>
      <c r="W2" s="3">
        <f t="shared" ref="W2:W33" si="2">S2/O2</f>
        <v>63.707036563218388</v>
      </c>
      <c r="X2" s="3">
        <f t="shared" ref="X2:X33" si="3">(S2/N2)*1000</f>
        <v>266.04484140546248</v>
      </c>
      <c r="Y2" s="7">
        <f>P2/Q2</f>
        <v>0.10324792284004415</v>
      </c>
    </row>
    <row r="3" spans="1:25" x14ac:dyDescent="0.25">
      <c r="A3" t="s">
        <v>11</v>
      </c>
      <c r="B3" t="s">
        <v>11</v>
      </c>
      <c r="E3" t="s">
        <v>19</v>
      </c>
      <c r="F3" t="s">
        <v>15</v>
      </c>
      <c r="G3" t="s">
        <v>1064</v>
      </c>
      <c r="H3" t="s">
        <v>1065</v>
      </c>
      <c r="K3" t="s">
        <v>20</v>
      </c>
      <c r="L3" t="s">
        <v>17</v>
      </c>
      <c r="M3" t="s">
        <v>21</v>
      </c>
      <c r="N3" s="4">
        <v>7248</v>
      </c>
      <c r="O3" s="4">
        <v>10</v>
      </c>
      <c r="P3" s="4">
        <v>3988</v>
      </c>
      <c r="Q3" s="4">
        <v>6863</v>
      </c>
      <c r="R3" s="4">
        <v>7</v>
      </c>
      <c r="S3" s="3">
        <v>1247</v>
      </c>
      <c r="T3" s="3">
        <f t="shared" si="0"/>
        <v>178.14285714285714</v>
      </c>
      <c r="U3" s="5">
        <f t="shared" ref="U3:U66" si="4">R3/O3</f>
        <v>0.7</v>
      </c>
      <c r="V3" s="5">
        <f t="shared" si="1"/>
        <v>1.3796909492273732E-3</v>
      </c>
      <c r="W3" s="3">
        <f t="shared" si="2"/>
        <v>124.7</v>
      </c>
      <c r="X3" s="3">
        <f t="shared" si="3"/>
        <v>172.04746136865342</v>
      </c>
      <c r="Y3" s="7">
        <f t="shared" ref="Y3:Y66" si="5">P3/Q3</f>
        <v>0.5810869881975812</v>
      </c>
    </row>
    <row r="4" spans="1:25" x14ac:dyDescent="0.25">
      <c r="A4" t="s">
        <v>11</v>
      </c>
      <c r="B4" t="s">
        <v>22</v>
      </c>
      <c r="E4" t="s">
        <v>23</v>
      </c>
      <c r="F4" t="s">
        <v>15</v>
      </c>
      <c r="G4" t="s">
        <v>1066</v>
      </c>
      <c r="H4" t="s">
        <v>1067</v>
      </c>
      <c r="K4" t="s">
        <v>24</v>
      </c>
      <c r="L4" t="s">
        <v>25</v>
      </c>
      <c r="M4" t="s">
        <v>21</v>
      </c>
      <c r="N4" s="4">
        <v>13946</v>
      </c>
      <c r="O4" s="4">
        <v>40</v>
      </c>
      <c r="P4" s="4">
        <v>3142</v>
      </c>
      <c r="Q4" s="4">
        <v>8823</v>
      </c>
      <c r="R4" s="4">
        <v>8</v>
      </c>
      <c r="S4" s="3">
        <v>4920.2346299999999</v>
      </c>
      <c r="T4" s="3">
        <f>S4/R4</f>
        <v>615.02932874999999</v>
      </c>
      <c r="U4" s="5">
        <f t="shared" si="4"/>
        <v>0.2</v>
      </c>
      <c r="V4" s="5">
        <f t="shared" si="1"/>
        <v>2.8682059371862899E-3</v>
      </c>
      <c r="W4" s="3">
        <f t="shared" si="2"/>
        <v>123.00586575</v>
      </c>
      <c r="X4" s="3">
        <f t="shared" si="3"/>
        <v>352.8061544528897</v>
      </c>
      <c r="Y4" s="7">
        <f t="shared" si="5"/>
        <v>0.35611470021534625</v>
      </c>
    </row>
    <row r="5" spans="1:25" x14ac:dyDescent="0.25">
      <c r="A5" t="s">
        <v>11</v>
      </c>
      <c r="B5" t="s">
        <v>12</v>
      </c>
      <c r="C5" t="s">
        <v>1068</v>
      </c>
      <c r="D5" t="s">
        <v>1069</v>
      </c>
      <c r="E5" t="s">
        <v>14</v>
      </c>
      <c r="F5" t="s">
        <v>26</v>
      </c>
      <c r="G5" t="s">
        <v>1070</v>
      </c>
      <c r="H5" t="s">
        <v>1071</v>
      </c>
      <c r="K5" t="s">
        <v>27</v>
      </c>
      <c r="L5" t="s">
        <v>28</v>
      </c>
      <c r="M5" t="s">
        <v>29</v>
      </c>
      <c r="N5" s="4">
        <v>81905</v>
      </c>
      <c r="O5" s="4">
        <v>220</v>
      </c>
      <c r="P5" s="4">
        <v>61995</v>
      </c>
      <c r="Q5" s="4">
        <v>71110</v>
      </c>
      <c r="R5" s="4">
        <v>24</v>
      </c>
      <c r="S5" s="3">
        <v>7065.6692800000001</v>
      </c>
      <c r="T5" s="3">
        <f>S5/R5</f>
        <v>294.40288666666669</v>
      </c>
      <c r="U5" s="5">
        <f t="shared" si="4"/>
        <v>0.10909090909090909</v>
      </c>
      <c r="V5" s="5">
        <f t="shared" si="1"/>
        <v>2.6860387033758623E-3</v>
      </c>
      <c r="W5" s="3">
        <f t="shared" si="2"/>
        <v>32.116678545454548</v>
      </c>
      <c r="X5" s="3">
        <f t="shared" si="3"/>
        <v>86.266641596972107</v>
      </c>
      <c r="Y5" s="7">
        <f t="shared" si="5"/>
        <v>0.87181830966108842</v>
      </c>
    </row>
    <row r="6" spans="1:25" x14ac:dyDescent="0.25">
      <c r="A6" t="s">
        <v>11</v>
      </c>
      <c r="B6" t="s">
        <v>30</v>
      </c>
      <c r="E6" t="s">
        <v>19</v>
      </c>
      <c r="F6" t="s">
        <v>26</v>
      </c>
      <c r="G6" t="s">
        <v>1064</v>
      </c>
      <c r="H6" t="s">
        <v>1065</v>
      </c>
      <c r="K6" t="s">
        <v>31</v>
      </c>
      <c r="L6" t="s">
        <v>17</v>
      </c>
      <c r="M6" t="s">
        <v>21</v>
      </c>
      <c r="N6" s="4">
        <v>9261</v>
      </c>
      <c r="O6" s="4">
        <v>66</v>
      </c>
      <c r="P6" s="4">
        <v>3852</v>
      </c>
      <c r="Q6" s="4">
        <v>8526</v>
      </c>
      <c r="R6" s="4">
        <v>9</v>
      </c>
      <c r="S6" s="3">
        <v>6511.0295759999999</v>
      </c>
      <c r="T6" s="3">
        <f t="shared" si="0"/>
        <v>723.44773066666664</v>
      </c>
      <c r="U6" s="5">
        <f t="shared" si="4"/>
        <v>0.13636363636363635</v>
      </c>
      <c r="V6" s="5">
        <f t="shared" si="1"/>
        <v>7.1266601878846774E-3</v>
      </c>
      <c r="W6" s="3">
        <f t="shared" si="2"/>
        <v>98.651963272727272</v>
      </c>
      <c r="X6" s="3">
        <f t="shared" si="3"/>
        <v>703.05901911240687</v>
      </c>
      <c r="Y6" s="7">
        <f t="shared" si="5"/>
        <v>0.45179451090781142</v>
      </c>
    </row>
    <row r="7" spans="1:25" x14ac:dyDescent="0.25">
      <c r="A7" t="s">
        <v>11</v>
      </c>
      <c r="B7" t="s">
        <v>32</v>
      </c>
      <c r="E7" t="s">
        <v>14</v>
      </c>
      <c r="F7" t="s">
        <v>33</v>
      </c>
      <c r="G7" t="s">
        <v>1072</v>
      </c>
      <c r="H7" t="s">
        <v>1065</v>
      </c>
      <c r="K7" t="s">
        <v>34</v>
      </c>
      <c r="L7" t="s">
        <v>17</v>
      </c>
      <c r="M7" t="s">
        <v>21</v>
      </c>
      <c r="N7" s="4">
        <v>7628</v>
      </c>
      <c r="O7" s="4">
        <v>19</v>
      </c>
      <c r="P7" s="4">
        <v>5048</v>
      </c>
      <c r="Q7" s="4">
        <v>7154</v>
      </c>
      <c r="R7" s="4">
        <v>5</v>
      </c>
      <c r="S7" s="3">
        <v>6684.0628040000001</v>
      </c>
      <c r="T7" s="3">
        <f t="shared" si="0"/>
        <v>1336.8125608</v>
      </c>
      <c r="U7" s="5">
        <f t="shared" si="4"/>
        <v>0.26315789473684209</v>
      </c>
      <c r="V7" s="5">
        <f t="shared" si="1"/>
        <v>2.4908232826428944E-3</v>
      </c>
      <c r="W7" s="3">
        <f t="shared" si="2"/>
        <v>351.79277915789476</v>
      </c>
      <c r="X7" s="3">
        <f t="shared" si="3"/>
        <v>876.25364499213424</v>
      </c>
      <c r="Y7" s="7">
        <f t="shared" si="5"/>
        <v>0.70561923399496784</v>
      </c>
    </row>
    <row r="8" spans="1:25" x14ac:dyDescent="0.25">
      <c r="A8" t="s">
        <v>11</v>
      </c>
      <c r="B8" t="s">
        <v>35</v>
      </c>
      <c r="E8" t="s">
        <v>14</v>
      </c>
      <c r="F8" t="s">
        <v>26</v>
      </c>
      <c r="G8" t="s">
        <v>1073</v>
      </c>
      <c r="H8" t="s">
        <v>1074</v>
      </c>
      <c r="K8" t="s">
        <v>36</v>
      </c>
      <c r="L8" t="s">
        <v>17</v>
      </c>
      <c r="M8" t="s">
        <v>21</v>
      </c>
      <c r="N8" s="4">
        <v>9273</v>
      </c>
      <c r="O8" s="4">
        <v>70</v>
      </c>
      <c r="P8" s="4">
        <v>4648</v>
      </c>
      <c r="Q8" s="4">
        <v>8751</v>
      </c>
      <c r="R8" s="4">
        <v>5</v>
      </c>
      <c r="S8" s="3">
        <v>4986.51937</v>
      </c>
      <c r="T8" s="3">
        <f t="shared" si="0"/>
        <v>997.30387399999995</v>
      </c>
      <c r="U8" s="5">
        <f t="shared" si="4"/>
        <v>7.1428571428571425E-2</v>
      </c>
      <c r="V8" s="5">
        <f t="shared" si="1"/>
        <v>7.5487975843847727E-3</v>
      </c>
      <c r="W8" s="3">
        <f t="shared" si="2"/>
        <v>71.235990999999999</v>
      </c>
      <c r="X8" s="3">
        <f t="shared" si="3"/>
        <v>537.74607678205541</v>
      </c>
      <c r="Y8" s="7">
        <f t="shared" si="5"/>
        <v>0.53113929836590101</v>
      </c>
    </row>
    <row r="9" spans="1:25" x14ac:dyDescent="0.25">
      <c r="A9" t="s">
        <v>11</v>
      </c>
      <c r="B9" t="s">
        <v>37</v>
      </c>
      <c r="E9" t="s">
        <v>14</v>
      </c>
      <c r="F9" t="s">
        <v>15</v>
      </c>
      <c r="G9" t="s">
        <v>1075</v>
      </c>
      <c r="H9" t="s">
        <v>1074</v>
      </c>
      <c r="K9" t="s">
        <v>38</v>
      </c>
      <c r="L9" t="s">
        <v>17</v>
      </c>
      <c r="M9" t="s">
        <v>21</v>
      </c>
      <c r="N9" s="4">
        <v>7583</v>
      </c>
      <c r="O9" s="4">
        <v>45</v>
      </c>
      <c r="P9" s="4">
        <v>4608</v>
      </c>
      <c r="Q9" s="4">
        <v>5881</v>
      </c>
      <c r="R9" s="4">
        <v>1</v>
      </c>
      <c r="S9" s="3">
        <v>5033.4825780000001</v>
      </c>
      <c r="T9" s="3">
        <f t="shared" si="0"/>
        <v>5033.4825780000001</v>
      </c>
      <c r="U9" s="5">
        <f t="shared" si="4"/>
        <v>2.2222222222222223E-2</v>
      </c>
      <c r="V9" s="5">
        <f t="shared" si="1"/>
        <v>5.9343267835948836E-3</v>
      </c>
      <c r="W9" s="3">
        <f t="shared" si="2"/>
        <v>111.8551684</v>
      </c>
      <c r="X9" s="3">
        <f t="shared" si="3"/>
        <v>663.78512171963598</v>
      </c>
      <c r="Y9" s="7">
        <f t="shared" si="5"/>
        <v>0.78354021424927733</v>
      </c>
    </row>
    <row r="10" spans="1:25" x14ac:dyDescent="0.25">
      <c r="A10" t="s">
        <v>11</v>
      </c>
      <c r="B10" t="s">
        <v>12</v>
      </c>
      <c r="C10" t="s">
        <v>39</v>
      </c>
      <c r="E10" t="s">
        <v>19</v>
      </c>
      <c r="F10" t="s">
        <v>15</v>
      </c>
      <c r="G10" t="s">
        <v>1070</v>
      </c>
      <c r="H10" t="s">
        <v>1071</v>
      </c>
      <c r="K10" t="s">
        <v>40</v>
      </c>
      <c r="L10" t="s">
        <v>17</v>
      </c>
      <c r="M10" t="s">
        <v>21</v>
      </c>
      <c r="N10" s="4">
        <v>21028</v>
      </c>
      <c r="O10" s="4">
        <v>10</v>
      </c>
      <c r="P10" s="4">
        <v>5781</v>
      </c>
      <c r="Q10" s="4">
        <v>16134</v>
      </c>
      <c r="R10" s="4">
        <v>11</v>
      </c>
      <c r="S10" s="3">
        <v>5101.3216549999997</v>
      </c>
      <c r="T10" s="3">
        <f t="shared" si="0"/>
        <v>463.75651409090909</v>
      </c>
      <c r="U10" s="5">
        <f t="shared" si="4"/>
        <v>1.1000000000000001</v>
      </c>
      <c r="V10" s="5">
        <f t="shared" si="1"/>
        <v>4.7555640098915732E-4</v>
      </c>
      <c r="W10" s="3">
        <f t="shared" si="2"/>
        <v>510.13216549999999</v>
      </c>
      <c r="X10" s="3">
        <f t="shared" si="3"/>
        <v>242.59661665398517</v>
      </c>
      <c r="Y10" s="7">
        <f t="shared" si="5"/>
        <v>0.35831164001487542</v>
      </c>
    </row>
    <row r="11" spans="1:25" x14ac:dyDescent="0.25">
      <c r="A11" t="s">
        <v>11</v>
      </c>
      <c r="B11" t="s">
        <v>12</v>
      </c>
      <c r="C11" t="s">
        <v>41</v>
      </c>
      <c r="E11" t="s">
        <v>14</v>
      </c>
      <c r="F11" t="s">
        <v>33</v>
      </c>
      <c r="G11" t="s">
        <v>1062</v>
      </c>
      <c r="H11" t="s">
        <v>1063</v>
      </c>
      <c r="K11" t="s">
        <v>42</v>
      </c>
      <c r="L11" t="s">
        <v>17</v>
      </c>
      <c r="M11" t="s">
        <v>21</v>
      </c>
      <c r="N11" s="4">
        <v>224359</v>
      </c>
      <c r="O11" s="4">
        <v>480</v>
      </c>
      <c r="P11" s="4">
        <v>163149</v>
      </c>
      <c r="Q11" s="4">
        <v>200859</v>
      </c>
      <c r="R11" s="4">
        <v>5</v>
      </c>
      <c r="S11" s="3">
        <v>4196.9367769999999</v>
      </c>
      <c r="T11" s="3">
        <f t="shared" si="0"/>
        <v>839.38735539999993</v>
      </c>
      <c r="U11" s="5">
        <f t="shared" si="4"/>
        <v>1.0416666666666666E-2</v>
      </c>
      <c r="V11" s="5">
        <f t="shared" si="1"/>
        <v>2.139428326922477E-3</v>
      </c>
      <c r="W11" s="3">
        <f t="shared" si="2"/>
        <v>8.743618285416666</v>
      </c>
      <c r="X11" s="3">
        <f t="shared" si="3"/>
        <v>18.706344639617754</v>
      </c>
      <c r="Y11" s="7">
        <f t="shared" si="5"/>
        <v>0.81225635893835979</v>
      </c>
    </row>
    <row r="12" spans="1:25" x14ac:dyDescent="0.25">
      <c r="A12" t="s">
        <v>11</v>
      </c>
      <c r="B12" t="s">
        <v>12</v>
      </c>
      <c r="C12" t="s">
        <v>43</v>
      </c>
      <c r="E12" t="s">
        <v>19</v>
      </c>
      <c r="F12" t="s">
        <v>44</v>
      </c>
      <c r="G12" t="s">
        <v>1062</v>
      </c>
      <c r="H12" t="s">
        <v>1063</v>
      </c>
      <c r="K12" t="s">
        <v>45</v>
      </c>
      <c r="L12" t="s">
        <v>17</v>
      </c>
      <c r="M12" t="s">
        <v>21</v>
      </c>
      <c r="N12" s="4">
        <v>405957</v>
      </c>
      <c r="O12" s="4">
        <v>874</v>
      </c>
      <c r="P12" s="4">
        <v>204189</v>
      </c>
      <c r="Q12" s="4">
        <v>385654</v>
      </c>
      <c r="R12" s="4">
        <v>16</v>
      </c>
      <c r="S12" s="3">
        <v>5864.1264929999998</v>
      </c>
      <c r="T12" s="3">
        <f t="shared" si="0"/>
        <v>366.50790581249998</v>
      </c>
      <c r="U12" s="5">
        <f t="shared" si="4"/>
        <v>1.8306636155606407E-2</v>
      </c>
      <c r="V12" s="5">
        <f t="shared" si="1"/>
        <v>2.1529373800673471E-3</v>
      </c>
      <c r="W12" s="3">
        <f t="shared" si="2"/>
        <v>6.7095268798627004</v>
      </c>
      <c r="X12" s="3">
        <f t="shared" si="3"/>
        <v>14.445191222223043</v>
      </c>
      <c r="Y12" s="7">
        <f t="shared" si="5"/>
        <v>0.52946164178253041</v>
      </c>
    </row>
    <row r="13" spans="1:25" x14ac:dyDescent="0.25">
      <c r="A13" t="s">
        <v>11</v>
      </c>
      <c r="B13" t="s">
        <v>12</v>
      </c>
      <c r="C13" t="s">
        <v>46</v>
      </c>
      <c r="E13" t="s">
        <v>23</v>
      </c>
      <c r="F13" t="s">
        <v>33</v>
      </c>
      <c r="G13" t="s">
        <v>1070</v>
      </c>
      <c r="H13" t="s">
        <v>1071</v>
      </c>
      <c r="K13" t="s">
        <v>47</v>
      </c>
      <c r="L13" t="s">
        <v>17</v>
      </c>
      <c r="M13" t="s">
        <v>21</v>
      </c>
      <c r="N13" s="4">
        <v>446774</v>
      </c>
      <c r="O13" s="4">
        <v>951</v>
      </c>
      <c r="P13" s="4">
        <v>196581</v>
      </c>
      <c r="Q13" s="4">
        <v>379758</v>
      </c>
      <c r="R13" s="4">
        <v>33</v>
      </c>
      <c r="S13" s="3">
        <v>6956.6273659999997</v>
      </c>
      <c r="T13" s="3">
        <f t="shared" si="0"/>
        <v>210.80688987878787</v>
      </c>
      <c r="U13" s="5">
        <f t="shared" si="4"/>
        <v>3.4700315457413249E-2</v>
      </c>
      <c r="V13" s="5">
        <f t="shared" si="1"/>
        <v>2.1285929798958757E-3</v>
      </c>
      <c r="W13" s="3">
        <f t="shared" si="2"/>
        <v>7.3150655793901151</v>
      </c>
      <c r="X13" s="3">
        <f t="shared" si="3"/>
        <v>15.570797239767757</v>
      </c>
      <c r="Y13" s="7">
        <f t="shared" si="5"/>
        <v>0.51764808114641425</v>
      </c>
    </row>
    <row r="14" spans="1:25" x14ac:dyDescent="0.25">
      <c r="A14" t="s">
        <v>11</v>
      </c>
      <c r="B14" t="s">
        <v>12</v>
      </c>
      <c r="C14" t="s">
        <v>48</v>
      </c>
      <c r="E14" t="s">
        <v>23</v>
      </c>
      <c r="F14" t="s">
        <v>33</v>
      </c>
      <c r="G14" t="s">
        <v>1073</v>
      </c>
      <c r="H14" t="s">
        <v>1074</v>
      </c>
      <c r="K14" t="s">
        <v>49</v>
      </c>
      <c r="L14" t="s">
        <v>28</v>
      </c>
      <c r="M14" t="s">
        <v>21</v>
      </c>
      <c r="N14" s="4">
        <v>23488</v>
      </c>
      <c r="O14" s="4">
        <v>75</v>
      </c>
      <c r="P14" s="4">
        <v>4620</v>
      </c>
      <c r="Q14" s="4">
        <v>22254</v>
      </c>
      <c r="R14" s="4">
        <v>9</v>
      </c>
      <c r="S14" s="3">
        <v>6667.727715</v>
      </c>
      <c r="T14" s="3">
        <f t="shared" si="0"/>
        <v>740.85863500000005</v>
      </c>
      <c r="U14" s="5">
        <f t="shared" si="4"/>
        <v>0.12</v>
      </c>
      <c r="V14" s="5">
        <f t="shared" si="1"/>
        <v>3.1931198910081743E-3</v>
      </c>
      <c r="W14" s="3">
        <f t="shared" si="2"/>
        <v>88.903036200000003</v>
      </c>
      <c r="X14" s="3">
        <f t="shared" si="3"/>
        <v>283.87805326123976</v>
      </c>
      <c r="Y14" s="7">
        <f t="shared" si="5"/>
        <v>0.20760312752763549</v>
      </c>
    </row>
    <row r="15" spans="1:25" x14ac:dyDescent="0.25">
      <c r="A15" t="s">
        <v>50</v>
      </c>
      <c r="B15" t="s">
        <v>51</v>
      </c>
      <c r="C15" t="s">
        <v>11</v>
      </c>
      <c r="E15" t="s">
        <v>14</v>
      </c>
      <c r="F15" t="s">
        <v>33</v>
      </c>
      <c r="G15" t="s">
        <v>1070</v>
      </c>
      <c r="H15" t="s">
        <v>1071</v>
      </c>
      <c r="K15" t="s">
        <v>24</v>
      </c>
      <c r="L15" t="s">
        <v>17</v>
      </c>
      <c r="M15" t="s">
        <v>18</v>
      </c>
      <c r="N15" s="4">
        <v>29834</v>
      </c>
      <c r="O15" s="4">
        <v>99</v>
      </c>
      <c r="P15" s="4">
        <v>14599</v>
      </c>
      <c r="Q15" s="4">
        <v>24656</v>
      </c>
      <c r="R15" s="4">
        <v>14</v>
      </c>
      <c r="S15" s="3">
        <v>6032.8371139999999</v>
      </c>
      <c r="T15" s="3">
        <f t="shared" si="0"/>
        <v>430.91693671428573</v>
      </c>
      <c r="U15" s="5">
        <f t="shared" si="4"/>
        <v>0.14141414141414141</v>
      </c>
      <c r="V15" s="5">
        <f t="shared" si="1"/>
        <v>3.3183616008580813E-3</v>
      </c>
      <c r="W15" s="3">
        <f t="shared" si="2"/>
        <v>60.937748626262625</v>
      </c>
      <c r="X15" s="3">
        <f t="shared" si="3"/>
        <v>202.2134850841322</v>
      </c>
      <c r="Y15" s="7">
        <f t="shared" si="5"/>
        <v>0.59210739779364052</v>
      </c>
    </row>
    <row r="16" spans="1:25" x14ac:dyDescent="0.25">
      <c r="A16" t="s">
        <v>50</v>
      </c>
      <c r="B16" t="s">
        <v>52</v>
      </c>
      <c r="C16" t="s">
        <v>53</v>
      </c>
      <c r="D16" t="s">
        <v>54</v>
      </c>
      <c r="E16" t="s">
        <v>19</v>
      </c>
      <c r="F16" t="s">
        <v>26</v>
      </c>
      <c r="G16" t="s">
        <v>1076</v>
      </c>
      <c r="H16" t="s">
        <v>1077</v>
      </c>
      <c r="K16" t="s">
        <v>55</v>
      </c>
      <c r="L16" t="s">
        <v>28</v>
      </c>
      <c r="M16" t="s">
        <v>21</v>
      </c>
      <c r="N16" s="4">
        <v>19829</v>
      </c>
      <c r="O16" s="4">
        <v>42</v>
      </c>
      <c r="P16" s="4">
        <v>15071</v>
      </c>
      <c r="Q16" s="4">
        <v>19095</v>
      </c>
      <c r="R16" s="4">
        <v>2</v>
      </c>
      <c r="S16" s="3">
        <v>1952.4637729999999</v>
      </c>
      <c r="T16" s="3">
        <f t="shared" si="0"/>
        <v>976.23188649999997</v>
      </c>
      <c r="U16" s="5">
        <f t="shared" si="4"/>
        <v>4.7619047619047616E-2</v>
      </c>
      <c r="V16" s="5">
        <f t="shared" si="1"/>
        <v>2.1181098391245146E-3</v>
      </c>
      <c r="W16" s="3">
        <f t="shared" si="2"/>
        <v>46.487232690476191</v>
      </c>
      <c r="X16" s="3">
        <f t="shared" si="3"/>
        <v>98.465064955368405</v>
      </c>
      <c r="Y16" s="7">
        <f t="shared" si="5"/>
        <v>0.78926420528934271</v>
      </c>
    </row>
    <row r="17" spans="1:25" x14ac:dyDescent="0.25">
      <c r="A17" t="s">
        <v>50</v>
      </c>
      <c r="B17" t="s">
        <v>52</v>
      </c>
      <c r="C17" t="s">
        <v>56</v>
      </c>
      <c r="D17" t="s">
        <v>57</v>
      </c>
      <c r="E17" t="s">
        <v>19</v>
      </c>
      <c r="F17" t="s">
        <v>15</v>
      </c>
      <c r="G17" t="s">
        <v>1078</v>
      </c>
      <c r="H17" t="s">
        <v>1065</v>
      </c>
      <c r="K17" t="s">
        <v>58</v>
      </c>
      <c r="L17" t="s">
        <v>17</v>
      </c>
      <c r="M17" t="s">
        <v>21</v>
      </c>
      <c r="N17" s="4">
        <v>11325</v>
      </c>
      <c r="O17" s="4">
        <v>88</v>
      </c>
      <c r="P17" s="4">
        <v>6186</v>
      </c>
      <c r="Q17" s="4">
        <v>10612</v>
      </c>
      <c r="R17" s="4">
        <v>2</v>
      </c>
      <c r="S17" s="3">
        <v>1573.2540899999999</v>
      </c>
      <c r="T17" s="3">
        <f t="shared" si="0"/>
        <v>786.62704499999995</v>
      </c>
      <c r="U17" s="5">
        <f t="shared" si="4"/>
        <v>2.2727272727272728E-2</v>
      </c>
      <c r="V17" s="5">
        <f t="shared" si="1"/>
        <v>7.7704194260485651E-3</v>
      </c>
      <c r="W17" s="3">
        <f t="shared" si="2"/>
        <v>17.877887386363636</v>
      </c>
      <c r="X17" s="3">
        <f t="shared" si="3"/>
        <v>138.9186834437086</v>
      </c>
      <c r="Y17" s="7">
        <f t="shared" si="5"/>
        <v>0.58292499057670566</v>
      </c>
    </row>
    <row r="18" spans="1:25" x14ac:dyDescent="0.25">
      <c r="A18" t="s">
        <v>50</v>
      </c>
      <c r="B18" t="s">
        <v>52</v>
      </c>
      <c r="C18" t="s">
        <v>56</v>
      </c>
      <c r="D18" t="s">
        <v>59</v>
      </c>
      <c r="E18" t="s">
        <v>14</v>
      </c>
      <c r="F18" t="s">
        <v>33</v>
      </c>
      <c r="G18" t="s">
        <v>1062</v>
      </c>
      <c r="H18" t="s">
        <v>1063</v>
      </c>
      <c r="K18" t="s">
        <v>60</v>
      </c>
      <c r="L18" t="s">
        <v>17</v>
      </c>
      <c r="M18" t="s">
        <v>21</v>
      </c>
      <c r="N18" s="4">
        <v>12391</v>
      </c>
      <c r="O18" s="4">
        <v>40</v>
      </c>
      <c r="P18" s="4">
        <v>5756</v>
      </c>
      <c r="Q18" s="4">
        <v>11636</v>
      </c>
      <c r="R18" s="4">
        <v>4</v>
      </c>
      <c r="S18" s="3">
        <v>3069.1234829999999</v>
      </c>
      <c r="T18" s="3">
        <f t="shared" si="0"/>
        <v>767.28087074999996</v>
      </c>
      <c r="U18" s="5">
        <f t="shared" si="4"/>
        <v>0.1</v>
      </c>
      <c r="V18" s="5">
        <f t="shared" si="1"/>
        <v>3.2281494633201518E-3</v>
      </c>
      <c r="W18" s="3">
        <f t="shared" si="2"/>
        <v>76.728087074999991</v>
      </c>
      <c r="X18" s="3">
        <f t="shared" si="3"/>
        <v>247.68973311274311</v>
      </c>
      <c r="Y18" s="7">
        <f t="shared" si="5"/>
        <v>0.49467170849089032</v>
      </c>
    </row>
    <row r="19" spans="1:25" x14ac:dyDescent="0.25">
      <c r="A19" t="s">
        <v>50</v>
      </c>
      <c r="B19" t="s">
        <v>61</v>
      </c>
      <c r="C19" t="s">
        <v>62</v>
      </c>
      <c r="E19" t="s">
        <v>19</v>
      </c>
      <c r="F19" t="s">
        <v>15</v>
      </c>
      <c r="G19" t="s">
        <v>1062</v>
      </c>
      <c r="H19" t="s">
        <v>1063</v>
      </c>
      <c r="K19" t="s">
        <v>63</v>
      </c>
      <c r="L19" t="s">
        <v>64</v>
      </c>
      <c r="M19" t="s">
        <v>21</v>
      </c>
      <c r="N19" s="4">
        <v>11561</v>
      </c>
      <c r="O19" s="4">
        <v>87</v>
      </c>
      <c r="P19" s="4">
        <v>4063</v>
      </c>
      <c r="Q19" s="4">
        <v>9941</v>
      </c>
      <c r="R19" s="4">
        <v>5</v>
      </c>
      <c r="S19" s="3">
        <v>1911.931953</v>
      </c>
      <c r="T19" s="3">
        <f t="shared" si="0"/>
        <v>382.38639060000003</v>
      </c>
      <c r="U19" s="5">
        <f t="shared" si="4"/>
        <v>5.7471264367816091E-2</v>
      </c>
      <c r="V19" s="5">
        <f t="shared" si="1"/>
        <v>7.525300579534642E-3</v>
      </c>
      <c r="W19" s="3">
        <f t="shared" si="2"/>
        <v>21.976229344827587</v>
      </c>
      <c r="X19" s="3">
        <f t="shared" si="3"/>
        <v>165.37773142461725</v>
      </c>
      <c r="Y19" s="7">
        <f t="shared" si="5"/>
        <v>0.40871139724373806</v>
      </c>
    </row>
    <row r="20" spans="1:25" x14ac:dyDescent="0.25">
      <c r="A20" t="s">
        <v>50</v>
      </c>
      <c r="B20" t="s">
        <v>65</v>
      </c>
      <c r="C20" t="s">
        <v>66</v>
      </c>
      <c r="E20" t="s">
        <v>19</v>
      </c>
      <c r="F20" t="s">
        <v>15</v>
      </c>
      <c r="G20" t="s">
        <v>1079</v>
      </c>
      <c r="H20" t="s">
        <v>1080</v>
      </c>
      <c r="K20" t="s">
        <v>67</v>
      </c>
      <c r="L20" t="s">
        <v>68</v>
      </c>
      <c r="M20" t="s">
        <v>21</v>
      </c>
      <c r="N20" s="4">
        <v>31359</v>
      </c>
      <c r="O20" s="4">
        <v>66</v>
      </c>
      <c r="P20" s="4">
        <v>18348</v>
      </c>
      <c r="Q20" s="4">
        <v>25950</v>
      </c>
      <c r="R20" s="4">
        <v>24</v>
      </c>
      <c r="S20" s="3">
        <v>1623.614838</v>
      </c>
      <c r="T20" s="3">
        <f t="shared" si="0"/>
        <v>67.650618249999994</v>
      </c>
      <c r="U20" s="5">
        <f t="shared" si="4"/>
        <v>0.36363636363636365</v>
      </c>
      <c r="V20" s="5">
        <f t="shared" si="1"/>
        <v>2.1046589495838514E-3</v>
      </c>
      <c r="W20" s="3">
        <f t="shared" si="2"/>
        <v>24.600224818181818</v>
      </c>
      <c r="X20" s="3">
        <f t="shared" si="3"/>
        <v>51.775083325361138</v>
      </c>
      <c r="Y20" s="7">
        <f t="shared" si="5"/>
        <v>0.70705202312138726</v>
      </c>
    </row>
    <row r="21" spans="1:25" x14ac:dyDescent="0.25">
      <c r="A21" t="s">
        <v>50</v>
      </c>
      <c r="B21" t="s">
        <v>69</v>
      </c>
      <c r="C21" t="s">
        <v>70</v>
      </c>
      <c r="D21" t="s">
        <v>71</v>
      </c>
      <c r="E21" t="s">
        <v>19</v>
      </c>
      <c r="F21" t="s">
        <v>26</v>
      </c>
      <c r="G21" t="s">
        <v>1066</v>
      </c>
      <c r="H21" t="s">
        <v>1067</v>
      </c>
      <c r="K21" t="s">
        <v>72</v>
      </c>
      <c r="L21" t="s">
        <v>73</v>
      </c>
      <c r="M21" t="s">
        <v>21</v>
      </c>
      <c r="N21" s="4">
        <v>25532</v>
      </c>
      <c r="O21" s="4">
        <v>140</v>
      </c>
      <c r="P21" s="4">
        <v>15219</v>
      </c>
      <c r="Q21" s="4">
        <v>21497</v>
      </c>
      <c r="R21" s="4">
        <v>9</v>
      </c>
      <c r="S21" s="3">
        <v>6047.1741089999996</v>
      </c>
      <c r="T21" s="3">
        <f t="shared" si="0"/>
        <v>671.90823433333333</v>
      </c>
      <c r="U21" s="5">
        <f t="shared" si="4"/>
        <v>6.4285714285714279E-2</v>
      </c>
      <c r="V21" s="5">
        <f t="shared" si="1"/>
        <v>5.4833150556164809E-3</v>
      </c>
      <c r="W21" s="3">
        <f t="shared" si="2"/>
        <v>43.194100778571425</v>
      </c>
      <c r="X21" s="3">
        <f t="shared" si="3"/>
        <v>236.84686311295627</v>
      </c>
      <c r="Y21" s="7">
        <f t="shared" si="5"/>
        <v>0.70795925012792482</v>
      </c>
    </row>
    <row r="22" spans="1:25" x14ac:dyDescent="0.25">
      <c r="A22" t="s">
        <v>50</v>
      </c>
      <c r="B22" t="s">
        <v>69</v>
      </c>
      <c r="C22" t="s">
        <v>70</v>
      </c>
      <c r="D22" t="s">
        <v>74</v>
      </c>
      <c r="E22" t="s">
        <v>14</v>
      </c>
      <c r="F22" t="s">
        <v>15</v>
      </c>
      <c r="G22" t="s">
        <v>1066</v>
      </c>
      <c r="H22" t="s">
        <v>1067</v>
      </c>
      <c r="K22" t="s">
        <v>75</v>
      </c>
      <c r="L22" t="s">
        <v>17</v>
      </c>
      <c r="M22" t="s">
        <v>21</v>
      </c>
      <c r="N22" s="4">
        <v>286998</v>
      </c>
      <c r="O22" s="4">
        <v>815</v>
      </c>
      <c r="P22" s="4">
        <v>61586</v>
      </c>
      <c r="Q22" s="4">
        <v>247500</v>
      </c>
      <c r="R22" s="4">
        <v>13</v>
      </c>
      <c r="S22" s="3">
        <v>6395.5506240000004</v>
      </c>
      <c r="T22" s="3">
        <f t="shared" si="0"/>
        <v>491.96543261538466</v>
      </c>
      <c r="U22" s="5">
        <f t="shared" si="4"/>
        <v>1.5950920245398775E-2</v>
      </c>
      <c r="V22" s="5">
        <f t="shared" si="1"/>
        <v>2.8397410434915921E-3</v>
      </c>
      <c r="W22" s="3">
        <f t="shared" si="2"/>
        <v>7.847301379141105</v>
      </c>
      <c r="X22" s="3">
        <f t="shared" si="3"/>
        <v>22.284303806995172</v>
      </c>
      <c r="Y22" s="7">
        <f t="shared" si="5"/>
        <v>0.24883232323232324</v>
      </c>
    </row>
    <row r="23" spans="1:25" x14ac:dyDescent="0.25">
      <c r="A23" t="s">
        <v>50</v>
      </c>
      <c r="B23" t="s">
        <v>69</v>
      </c>
      <c r="C23" t="s">
        <v>76</v>
      </c>
      <c r="D23" t="s">
        <v>77</v>
      </c>
      <c r="E23" t="s">
        <v>19</v>
      </c>
      <c r="F23" t="s">
        <v>26</v>
      </c>
      <c r="G23" t="s">
        <v>1062</v>
      </c>
      <c r="H23" t="s">
        <v>1063</v>
      </c>
      <c r="K23" t="s">
        <v>78</v>
      </c>
      <c r="L23" t="s">
        <v>79</v>
      </c>
      <c r="M23" t="s">
        <v>21</v>
      </c>
      <c r="N23" s="4">
        <v>15252</v>
      </c>
      <c r="O23" s="4">
        <v>55</v>
      </c>
      <c r="P23" s="4">
        <v>2152</v>
      </c>
      <c r="Q23" s="4">
        <v>3482</v>
      </c>
      <c r="R23" s="4">
        <v>7</v>
      </c>
      <c r="S23" s="3">
        <v>6211.2001469999996</v>
      </c>
      <c r="T23" s="3">
        <f t="shared" si="0"/>
        <v>887.31430671428564</v>
      </c>
      <c r="U23" s="5">
        <f t="shared" si="4"/>
        <v>0.12727272727272726</v>
      </c>
      <c r="V23" s="5">
        <f t="shared" si="1"/>
        <v>3.6060844479412538E-3</v>
      </c>
      <c r="W23" s="3">
        <f t="shared" si="2"/>
        <v>112.93091176363636</v>
      </c>
      <c r="X23" s="3">
        <f t="shared" si="3"/>
        <v>407.23840460267502</v>
      </c>
      <c r="Y23" s="7">
        <f t="shared" si="5"/>
        <v>0.61803561171740384</v>
      </c>
    </row>
    <row r="24" spans="1:25" x14ac:dyDescent="0.25">
      <c r="A24" t="s">
        <v>50</v>
      </c>
      <c r="B24" t="s">
        <v>69</v>
      </c>
      <c r="C24" t="s">
        <v>70</v>
      </c>
      <c r="D24" t="s">
        <v>80</v>
      </c>
      <c r="E24" t="s">
        <v>14</v>
      </c>
      <c r="F24" t="s">
        <v>44</v>
      </c>
      <c r="G24" t="s">
        <v>1079</v>
      </c>
      <c r="H24" t="s">
        <v>1080</v>
      </c>
      <c r="K24" t="s">
        <v>81</v>
      </c>
      <c r="L24" t="s">
        <v>79</v>
      </c>
      <c r="M24" t="s">
        <v>21</v>
      </c>
      <c r="N24" s="4">
        <v>10501</v>
      </c>
      <c r="O24" s="4">
        <v>90</v>
      </c>
      <c r="P24" s="4">
        <v>4126</v>
      </c>
      <c r="Q24" s="4">
        <v>7654</v>
      </c>
      <c r="R24" s="4">
        <v>8</v>
      </c>
      <c r="S24" s="3">
        <v>6244.5179209999997</v>
      </c>
      <c r="T24" s="3">
        <f t="shared" si="0"/>
        <v>780.56474012499996</v>
      </c>
      <c r="U24" s="5">
        <f t="shared" si="4"/>
        <v>8.8888888888888892E-2</v>
      </c>
      <c r="V24" s="5">
        <f t="shared" si="1"/>
        <v>8.5706123226359388E-3</v>
      </c>
      <c r="W24" s="3">
        <f t="shared" si="2"/>
        <v>69.383532455555553</v>
      </c>
      <c r="X24" s="3">
        <f t="shared" si="3"/>
        <v>594.65935825159511</v>
      </c>
      <c r="Y24" s="7">
        <f t="shared" si="5"/>
        <v>0.53906454141625293</v>
      </c>
    </row>
    <row r="25" spans="1:25" x14ac:dyDescent="0.25">
      <c r="A25" t="s">
        <v>50</v>
      </c>
      <c r="B25" t="s">
        <v>69</v>
      </c>
      <c r="C25" t="s">
        <v>70</v>
      </c>
      <c r="D25" t="s">
        <v>82</v>
      </c>
      <c r="E25" t="s">
        <v>14</v>
      </c>
      <c r="F25" t="s">
        <v>33</v>
      </c>
      <c r="G25" t="s">
        <v>1062</v>
      </c>
      <c r="H25" t="s">
        <v>1063</v>
      </c>
      <c r="K25" t="s">
        <v>83</v>
      </c>
      <c r="L25" t="s">
        <v>28</v>
      </c>
      <c r="M25" t="s">
        <v>18</v>
      </c>
      <c r="N25" s="4">
        <v>7965</v>
      </c>
      <c r="O25" s="4">
        <v>50</v>
      </c>
      <c r="P25" s="4">
        <v>5230</v>
      </c>
      <c r="Q25" s="4">
        <v>6923</v>
      </c>
      <c r="R25" s="4">
        <v>10</v>
      </c>
      <c r="S25" s="3">
        <v>6298.5139289999997</v>
      </c>
      <c r="T25" s="3">
        <f t="shared" si="0"/>
        <v>629.85139289999995</v>
      </c>
      <c r="U25" s="5">
        <f t="shared" si="4"/>
        <v>0.2</v>
      </c>
      <c r="V25" s="5">
        <f t="shared" si="1"/>
        <v>6.2774639045825482E-3</v>
      </c>
      <c r="W25" s="3">
        <f t="shared" si="2"/>
        <v>125.97027858</v>
      </c>
      <c r="X25" s="3">
        <f t="shared" si="3"/>
        <v>790.77387683615814</v>
      </c>
      <c r="Y25" s="7">
        <f t="shared" si="5"/>
        <v>0.75545283836487076</v>
      </c>
    </row>
    <row r="26" spans="1:25" x14ac:dyDescent="0.25">
      <c r="A26" t="s">
        <v>50</v>
      </c>
      <c r="B26" t="s">
        <v>69</v>
      </c>
      <c r="C26" t="s">
        <v>70</v>
      </c>
      <c r="D26" t="s">
        <v>84</v>
      </c>
      <c r="E26" t="s">
        <v>19</v>
      </c>
      <c r="F26" t="s">
        <v>15</v>
      </c>
      <c r="G26" t="s">
        <v>1081</v>
      </c>
      <c r="H26" t="s">
        <v>1080</v>
      </c>
      <c r="K26" t="s">
        <v>85</v>
      </c>
      <c r="L26" t="s">
        <v>68</v>
      </c>
      <c r="M26" t="s">
        <v>21</v>
      </c>
      <c r="N26" s="4">
        <v>42459</v>
      </c>
      <c r="O26" s="4">
        <v>121</v>
      </c>
      <c r="P26" s="4">
        <v>15187</v>
      </c>
      <c r="Q26" s="4">
        <v>37408</v>
      </c>
      <c r="R26" s="4">
        <v>11</v>
      </c>
      <c r="S26" s="3">
        <v>6321.4916890000004</v>
      </c>
      <c r="T26" s="3">
        <f t="shared" si="0"/>
        <v>574.68106263636366</v>
      </c>
      <c r="U26" s="5">
        <f t="shared" si="4"/>
        <v>9.0909090909090912E-2</v>
      </c>
      <c r="V26" s="5">
        <f t="shared" si="1"/>
        <v>2.8498080501189382E-3</v>
      </c>
      <c r="W26" s="3">
        <f t="shared" si="2"/>
        <v>52.243732966942154</v>
      </c>
      <c r="X26" s="3">
        <f t="shared" si="3"/>
        <v>148.88461077745592</v>
      </c>
      <c r="Y26" s="7">
        <f t="shared" si="5"/>
        <v>0.40598267750213857</v>
      </c>
    </row>
    <row r="27" spans="1:25" x14ac:dyDescent="0.25">
      <c r="A27" t="s">
        <v>50</v>
      </c>
      <c r="B27" t="s">
        <v>69</v>
      </c>
      <c r="C27" t="s">
        <v>86</v>
      </c>
      <c r="D27" t="s">
        <v>87</v>
      </c>
      <c r="E27" t="s">
        <v>19</v>
      </c>
      <c r="F27" t="s">
        <v>44</v>
      </c>
      <c r="G27" t="s">
        <v>1062</v>
      </c>
      <c r="H27" t="s">
        <v>1063</v>
      </c>
      <c r="K27" t="s">
        <v>88</v>
      </c>
      <c r="L27" t="s">
        <v>89</v>
      </c>
      <c r="M27" t="s">
        <v>21</v>
      </c>
      <c r="N27" s="4">
        <v>14489</v>
      </c>
      <c r="O27" s="4">
        <v>37</v>
      </c>
      <c r="P27" s="4">
        <v>12453</v>
      </c>
      <c r="Q27" s="4">
        <v>13873</v>
      </c>
      <c r="R27" s="4">
        <v>10</v>
      </c>
      <c r="S27" s="3">
        <v>6195.8407340000003</v>
      </c>
      <c r="T27" s="3">
        <f t="shared" si="0"/>
        <v>619.58407340000008</v>
      </c>
      <c r="U27" s="5">
        <f t="shared" si="4"/>
        <v>0.27027027027027029</v>
      </c>
      <c r="V27" s="5">
        <f t="shared" si="1"/>
        <v>2.5536613983021604E-3</v>
      </c>
      <c r="W27" s="3">
        <f t="shared" si="2"/>
        <v>167.45515497297299</v>
      </c>
      <c r="X27" s="3">
        <f t="shared" si="3"/>
        <v>427.6237652011871</v>
      </c>
      <c r="Y27" s="7">
        <f t="shared" si="5"/>
        <v>0.89764290348158293</v>
      </c>
    </row>
    <row r="28" spans="1:25" x14ac:dyDescent="0.25">
      <c r="A28" t="s">
        <v>50</v>
      </c>
      <c r="B28" t="s">
        <v>69</v>
      </c>
      <c r="C28" t="s">
        <v>70</v>
      </c>
      <c r="D28" t="s">
        <v>90</v>
      </c>
      <c r="E28" t="s">
        <v>14</v>
      </c>
      <c r="F28" t="s">
        <v>33</v>
      </c>
      <c r="G28" t="s">
        <v>1066</v>
      </c>
      <c r="H28" t="s">
        <v>1067</v>
      </c>
      <c r="K28" t="s">
        <v>91</v>
      </c>
      <c r="L28" t="s">
        <v>92</v>
      </c>
      <c r="M28" t="s">
        <v>29</v>
      </c>
      <c r="N28" s="4">
        <v>96779</v>
      </c>
      <c r="O28" s="4">
        <v>299</v>
      </c>
      <c r="P28" s="4">
        <v>9831</v>
      </c>
      <c r="Q28" s="4">
        <v>63640</v>
      </c>
      <c r="R28" s="4">
        <v>12</v>
      </c>
      <c r="S28" s="3">
        <v>6317.5107539999999</v>
      </c>
      <c r="T28" s="3">
        <f t="shared" si="0"/>
        <v>526.45922949999999</v>
      </c>
      <c r="U28" s="5">
        <f t="shared" si="4"/>
        <v>4.0133779264214048E-2</v>
      </c>
      <c r="V28" s="5">
        <f t="shared" si="1"/>
        <v>3.0895132208433648E-3</v>
      </c>
      <c r="W28" s="3">
        <f t="shared" si="2"/>
        <v>21.128798508361204</v>
      </c>
      <c r="X28" s="3">
        <f t="shared" si="3"/>
        <v>65.277702332117514</v>
      </c>
      <c r="Y28" s="7">
        <f t="shared" si="5"/>
        <v>0.15447831552482716</v>
      </c>
    </row>
    <row r="29" spans="1:25" x14ac:dyDescent="0.25">
      <c r="A29" t="s">
        <v>50</v>
      </c>
      <c r="B29" t="s">
        <v>69</v>
      </c>
      <c r="C29" t="s">
        <v>70</v>
      </c>
      <c r="D29" t="s">
        <v>93</v>
      </c>
      <c r="E29" t="s">
        <v>19</v>
      </c>
      <c r="F29" t="s">
        <v>15</v>
      </c>
      <c r="G29" t="s">
        <v>1082</v>
      </c>
      <c r="H29" t="s">
        <v>1083</v>
      </c>
      <c r="K29" t="s">
        <v>94</v>
      </c>
      <c r="L29" t="s">
        <v>17</v>
      </c>
      <c r="M29" t="s">
        <v>21</v>
      </c>
      <c r="N29" s="4">
        <v>138904</v>
      </c>
      <c r="O29" s="4">
        <v>399</v>
      </c>
      <c r="P29" s="4">
        <v>98952</v>
      </c>
      <c r="Q29" s="4">
        <v>120688</v>
      </c>
      <c r="R29" s="4">
        <v>25</v>
      </c>
      <c r="S29" s="3">
        <v>5038.6447239999998</v>
      </c>
      <c r="T29" s="3">
        <f t="shared" si="0"/>
        <v>201.54578895999998</v>
      </c>
      <c r="U29" s="5">
        <f t="shared" si="4"/>
        <v>6.2656641604010022E-2</v>
      </c>
      <c r="V29" s="5">
        <f t="shared" si="1"/>
        <v>2.8724874733628983E-3</v>
      </c>
      <c r="W29" s="3">
        <f t="shared" si="2"/>
        <v>12.62818226566416</v>
      </c>
      <c r="X29" s="3">
        <f t="shared" si="3"/>
        <v>36.2742953694638</v>
      </c>
      <c r="Y29" s="7">
        <f t="shared" si="5"/>
        <v>0.81989924433249373</v>
      </c>
    </row>
    <row r="30" spans="1:25" x14ac:dyDescent="0.25">
      <c r="A30" t="s">
        <v>50</v>
      </c>
      <c r="B30" t="s">
        <v>69</v>
      </c>
      <c r="C30" t="s">
        <v>70</v>
      </c>
      <c r="D30" t="s">
        <v>95</v>
      </c>
      <c r="E30" t="s">
        <v>14</v>
      </c>
      <c r="F30" t="s">
        <v>33</v>
      </c>
      <c r="G30" t="s">
        <v>1084</v>
      </c>
      <c r="H30" t="s">
        <v>1065</v>
      </c>
      <c r="K30" t="s">
        <v>96</v>
      </c>
      <c r="L30" t="s">
        <v>25</v>
      </c>
      <c r="M30" t="s">
        <v>21</v>
      </c>
      <c r="N30" s="4">
        <v>12092</v>
      </c>
      <c r="O30" s="4">
        <v>30</v>
      </c>
      <c r="P30" s="4">
        <v>2042</v>
      </c>
      <c r="Q30" s="4">
        <v>10315</v>
      </c>
      <c r="R30" s="4">
        <v>8</v>
      </c>
      <c r="S30" s="3">
        <v>6245.1347930000002</v>
      </c>
      <c r="T30" s="3">
        <f t="shared" si="0"/>
        <v>780.64184912500002</v>
      </c>
      <c r="U30" s="5">
        <f t="shared" si="4"/>
        <v>0.26666666666666666</v>
      </c>
      <c r="V30" s="5">
        <f t="shared" si="1"/>
        <v>2.4809791597750577E-3</v>
      </c>
      <c r="W30" s="3">
        <f t="shared" si="2"/>
        <v>208.17115976666668</v>
      </c>
      <c r="X30" s="3">
        <f t="shared" si="3"/>
        <v>516.46830904730405</v>
      </c>
      <c r="Y30" s="7">
        <f t="shared" si="5"/>
        <v>0.1979641299079011</v>
      </c>
    </row>
    <row r="31" spans="1:25" x14ac:dyDescent="0.25">
      <c r="A31" t="s">
        <v>50</v>
      </c>
      <c r="B31" t="s">
        <v>69</v>
      </c>
      <c r="C31" t="s">
        <v>70</v>
      </c>
      <c r="D31" t="s">
        <v>97</v>
      </c>
      <c r="E31" t="s">
        <v>19</v>
      </c>
      <c r="F31" t="s">
        <v>44</v>
      </c>
      <c r="G31" t="s">
        <v>1062</v>
      </c>
      <c r="H31" t="s">
        <v>1063</v>
      </c>
      <c r="K31" t="s">
        <v>98</v>
      </c>
      <c r="L31" t="s">
        <v>89</v>
      </c>
      <c r="M31" t="s">
        <v>21</v>
      </c>
      <c r="N31" s="4">
        <v>9060</v>
      </c>
      <c r="O31" s="4">
        <v>30</v>
      </c>
      <c r="P31" s="4">
        <v>5190</v>
      </c>
      <c r="Q31" s="4">
        <v>8621</v>
      </c>
      <c r="R31" s="4">
        <v>14</v>
      </c>
      <c r="S31" s="3">
        <v>4934.8515630000002</v>
      </c>
      <c r="T31" s="3">
        <f t="shared" si="0"/>
        <v>352.48939735714288</v>
      </c>
      <c r="U31" s="5">
        <f t="shared" si="4"/>
        <v>0.46666666666666667</v>
      </c>
      <c r="V31" s="5">
        <f t="shared" si="1"/>
        <v>3.3112582781456954E-3</v>
      </c>
      <c r="W31" s="3">
        <f t="shared" si="2"/>
        <v>164.49505210000001</v>
      </c>
      <c r="X31" s="3">
        <f t="shared" si="3"/>
        <v>544.68560298013244</v>
      </c>
      <c r="Y31" s="7">
        <f t="shared" si="5"/>
        <v>0.60201832734021576</v>
      </c>
    </row>
    <row r="32" spans="1:25" x14ac:dyDescent="0.25">
      <c r="A32" t="s">
        <v>50</v>
      </c>
      <c r="B32" t="s">
        <v>69</v>
      </c>
      <c r="C32" t="s">
        <v>70</v>
      </c>
      <c r="D32" t="s">
        <v>99</v>
      </c>
      <c r="E32" t="s">
        <v>14</v>
      </c>
      <c r="F32" t="s">
        <v>26</v>
      </c>
      <c r="G32" t="s">
        <v>1073</v>
      </c>
      <c r="H32" t="s">
        <v>1074</v>
      </c>
      <c r="K32" t="s">
        <v>100</v>
      </c>
      <c r="L32" t="s">
        <v>25</v>
      </c>
      <c r="M32" t="s">
        <v>18</v>
      </c>
      <c r="N32" s="4">
        <v>29323</v>
      </c>
      <c r="O32" s="4">
        <v>88</v>
      </c>
      <c r="P32" s="4">
        <v>13822</v>
      </c>
      <c r="Q32" s="4">
        <v>26934</v>
      </c>
      <c r="R32" s="4">
        <v>9</v>
      </c>
      <c r="S32" s="3">
        <v>6096.045521</v>
      </c>
      <c r="T32" s="3">
        <f t="shared" si="0"/>
        <v>677.33839122222219</v>
      </c>
      <c r="U32" s="5">
        <f t="shared" si="4"/>
        <v>0.10227272727272728</v>
      </c>
      <c r="V32" s="5">
        <f t="shared" si="1"/>
        <v>3.0010571906012346E-3</v>
      </c>
      <c r="W32" s="3">
        <f t="shared" si="2"/>
        <v>69.273244556818184</v>
      </c>
      <c r="X32" s="3">
        <f t="shared" si="3"/>
        <v>207.89296869351702</v>
      </c>
      <c r="Y32" s="7">
        <f t="shared" si="5"/>
        <v>0.51318036682260337</v>
      </c>
    </row>
    <row r="33" spans="1:25" x14ac:dyDescent="0.25">
      <c r="A33" t="s">
        <v>50</v>
      </c>
      <c r="B33" t="s">
        <v>69</v>
      </c>
      <c r="C33" t="s">
        <v>70</v>
      </c>
      <c r="D33" t="s">
        <v>101</v>
      </c>
      <c r="E33" t="s">
        <v>14</v>
      </c>
      <c r="F33" t="s">
        <v>33</v>
      </c>
      <c r="G33" t="s">
        <v>1066</v>
      </c>
      <c r="H33" t="s">
        <v>1067</v>
      </c>
      <c r="K33" t="s">
        <v>102</v>
      </c>
      <c r="L33" t="s">
        <v>17</v>
      </c>
      <c r="M33" t="s">
        <v>21</v>
      </c>
      <c r="N33" s="4">
        <v>186404</v>
      </c>
      <c r="O33" s="4">
        <v>940</v>
      </c>
      <c r="P33" s="4">
        <v>30885</v>
      </c>
      <c r="Q33" s="4">
        <v>151358</v>
      </c>
      <c r="R33" s="4">
        <v>3</v>
      </c>
      <c r="S33" s="3">
        <v>4702.027505</v>
      </c>
      <c r="T33" s="3">
        <f t="shared" si="0"/>
        <v>1567.3425016666667</v>
      </c>
      <c r="U33" s="5">
        <f t="shared" si="4"/>
        <v>3.1914893617021275E-3</v>
      </c>
      <c r="V33" s="5">
        <f t="shared" si="1"/>
        <v>5.0428102401236024E-3</v>
      </c>
      <c r="W33" s="3">
        <f t="shared" si="2"/>
        <v>5.0021569202127658</v>
      </c>
      <c r="X33" s="3">
        <f t="shared" si="3"/>
        <v>25.224928139954077</v>
      </c>
      <c r="Y33" s="7">
        <f t="shared" si="5"/>
        <v>0.20405264340173629</v>
      </c>
    </row>
    <row r="34" spans="1:25" x14ac:dyDescent="0.25">
      <c r="A34" t="s">
        <v>50</v>
      </c>
      <c r="B34" t="s">
        <v>69</v>
      </c>
      <c r="C34" t="s">
        <v>86</v>
      </c>
      <c r="D34" t="s">
        <v>103</v>
      </c>
      <c r="E34" t="s">
        <v>14</v>
      </c>
      <c r="F34" t="s">
        <v>44</v>
      </c>
      <c r="G34" t="s">
        <v>1085</v>
      </c>
      <c r="H34" t="s">
        <v>1065</v>
      </c>
      <c r="K34" t="s">
        <v>24</v>
      </c>
      <c r="L34" t="s">
        <v>25</v>
      </c>
      <c r="M34" t="s">
        <v>21</v>
      </c>
      <c r="N34" s="4">
        <v>12974</v>
      </c>
      <c r="O34" s="4">
        <v>84</v>
      </c>
      <c r="P34" s="4">
        <v>7521</v>
      </c>
      <c r="Q34" s="4">
        <v>10959</v>
      </c>
      <c r="R34" s="4">
        <v>7</v>
      </c>
      <c r="S34" s="3">
        <v>6301.8688469999997</v>
      </c>
      <c r="T34" s="3">
        <f t="shared" si="0"/>
        <v>900.26697814285706</v>
      </c>
      <c r="U34" s="5">
        <f t="shared" si="4"/>
        <v>8.3333333333333329E-2</v>
      </c>
      <c r="V34" s="5">
        <f t="shared" si="1"/>
        <v>6.474487436411284E-3</v>
      </c>
      <c r="W34" s="3">
        <f t="shared" ref="W34:W65" si="6">S34/O34</f>
        <v>75.022248178571431</v>
      </c>
      <c r="X34" s="3">
        <f t="shared" ref="X34:X65" si="7">(S34/N34)*1000</f>
        <v>485.73060328349004</v>
      </c>
      <c r="Y34" s="7">
        <f t="shared" si="5"/>
        <v>0.68628524500410626</v>
      </c>
    </row>
    <row r="35" spans="1:25" x14ac:dyDescent="0.25">
      <c r="A35" t="s">
        <v>50</v>
      </c>
      <c r="B35" t="s">
        <v>69</v>
      </c>
      <c r="C35" t="s">
        <v>70</v>
      </c>
      <c r="D35" t="s">
        <v>104</v>
      </c>
      <c r="E35" t="s">
        <v>14</v>
      </c>
      <c r="F35" t="s">
        <v>33</v>
      </c>
      <c r="G35" t="s">
        <v>1070</v>
      </c>
      <c r="H35" t="s">
        <v>1071</v>
      </c>
      <c r="K35" t="s">
        <v>105</v>
      </c>
      <c r="L35" t="s">
        <v>89</v>
      </c>
      <c r="M35" t="s">
        <v>21</v>
      </c>
      <c r="N35" s="4">
        <v>14451</v>
      </c>
      <c r="O35" s="4">
        <v>50</v>
      </c>
      <c r="P35" s="4">
        <v>5606</v>
      </c>
      <c r="Q35" s="4">
        <v>13461</v>
      </c>
      <c r="R35" s="4">
        <v>8</v>
      </c>
      <c r="S35" s="3">
        <v>6397.6025179999997</v>
      </c>
      <c r="T35" s="3">
        <f t="shared" si="0"/>
        <v>799.70031474999996</v>
      </c>
      <c r="U35" s="5">
        <f t="shared" si="4"/>
        <v>0.16</v>
      </c>
      <c r="V35" s="5">
        <f t="shared" si="1"/>
        <v>3.4599681682928518E-3</v>
      </c>
      <c r="W35" s="3">
        <f t="shared" si="6"/>
        <v>127.95205035999999</v>
      </c>
      <c r="X35" s="3">
        <f t="shared" si="7"/>
        <v>442.71002131340384</v>
      </c>
      <c r="Y35" s="7">
        <f t="shared" si="5"/>
        <v>0.41646237278062553</v>
      </c>
    </row>
    <row r="36" spans="1:25" x14ac:dyDescent="0.25">
      <c r="A36" t="s">
        <v>50</v>
      </c>
      <c r="B36" t="s">
        <v>69</v>
      </c>
      <c r="C36" t="s">
        <v>59</v>
      </c>
      <c r="E36" t="s">
        <v>19</v>
      </c>
      <c r="F36" t="s">
        <v>44</v>
      </c>
      <c r="G36" t="s">
        <v>1062</v>
      </c>
      <c r="H36" t="s">
        <v>1063</v>
      </c>
      <c r="K36" t="s">
        <v>67</v>
      </c>
      <c r="L36" t="s">
        <v>17</v>
      </c>
      <c r="M36" t="s">
        <v>21</v>
      </c>
      <c r="N36" s="4">
        <v>42830</v>
      </c>
      <c r="O36" s="4">
        <v>160</v>
      </c>
      <c r="P36" s="4">
        <v>24499</v>
      </c>
      <c r="Q36" s="4">
        <v>34496</v>
      </c>
      <c r="R36" s="4">
        <v>5</v>
      </c>
      <c r="S36" s="3">
        <v>6261.5757240000003</v>
      </c>
      <c r="T36" s="3">
        <f t="shared" si="0"/>
        <v>1252.3151448000001</v>
      </c>
      <c r="U36" s="5">
        <f t="shared" si="4"/>
        <v>3.125E-2</v>
      </c>
      <c r="V36" s="5">
        <f t="shared" si="1"/>
        <v>3.7356992762082653E-3</v>
      </c>
      <c r="W36" s="3">
        <f t="shared" si="6"/>
        <v>39.134848275000003</v>
      </c>
      <c r="X36" s="3">
        <f t="shared" si="7"/>
        <v>146.19602437543776</v>
      </c>
      <c r="Y36" s="7">
        <f t="shared" si="5"/>
        <v>0.71019828385899819</v>
      </c>
    </row>
    <row r="37" spans="1:25" x14ac:dyDescent="0.25">
      <c r="A37" t="s">
        <v>50</v>
      </c>
      <c r="B37" t="s">
        <v>69</v>
      </c>
      <c r="C37" t="s">
        <v>76</v>
      </c>
      <c r="D37" t="s">
        <v>106</v>
      </c>
      <c r="E37" t="s">
        <v>19</v>
      </c>
      <c r="F37" t="s">
        <v>33</v>
      </c>
      <c r="G37" t="s">
        <v>1070</v>
      </c>
      <c r="H37" t="s">
        <v>1071</v>
      </c>
      <c r="K37" t="s">
        <v>107</v>
      </c>
      <c r="L37" t="s">
        <v>17</v>
      </c>
      <c r="M37" t="s">
        <v>21</v>
      </c>
      <c r="N37" s="4">
        <v>9153</v>
      </c>
      <c r="O37" s="4">
        <v>23</v>
      </c>
      <c r="P37" s="4">
        <v>4345</v>
      </c>
      <c r="Q37" s="4">
        <v>8376</v>
      </c>
      <c r="R37" s="4">
        <v>14</v>
      </c>
      <c r="S37" s="3">
        <v>5007.5258050000002</v>
      </c>
      <c r="T37" s="3">
        <f t="shared" si="0"/>
        <v>357.68041464285716</v>
      </c>
      <c r="U37" s="5">
        <f t="shared" si="4"/>
        <v>0.60869565217391308</v>
      </c>
      <c r="V37" s="5">
        <f t="shared" si="1"/>
        <v>2.5128373210969081E-3</v>
      </c>
      <c r="W37" s="3">
        <f t="shared" si="6"/>
        <v>217.71851326086957</v>
      </c>
      <c r="X37" s="3">
        <f t="shared" si="7"/>
        <v>547.09120561564521</v>
      </c>
      <c r="Y37" s="7">
        <f t="shared" si="5"/>
        <v>0.51874403056351481</v>
      </c>
    </row>
    <row r="38" spans="1:25" x14ac:dyDescent="0.25">
      <c r="A38" t="s">
        <v>50</v>
      </c>
      <c r="B38" t="s">
        <v>108</v>
      </c>
      <c r="C38" t="s">
        <v>109</v>
      </c>
      <c r="E38" t="s">
        <v>19</v>
      </c>
      <c r="F38" t="s">
        <v>15</v>
      </c>
      <c r="G38" t="s">
        <v>1086</v>
      </c>
      <c r="H38" t="s">
        <v>1063</v>
      </c>
      <c r="K38" t="s">
        <v>110</v>
      </c>
      <c r="L38" t="s">
        <v>68</v>
      </c>
      <c r="M38" t="s">
        <v>21</v>
      </c>
      <c r="N38" s="4">
        <v>9157</v>
      </c>
      <c r="O38" s="4">
        <v>60</v>
      </c>
      <c r="P38" s="4">
        <v>4520</v>
      </c>
      <c r="Q38" s="4">
        <v>8037</v>
      </c>
      <c r="R38" s="4">
        <v>2</v>
      </c>
      <c r="S38" s="3">
        <v>1449.1778039999999</v>
      </c>
      <c r="T38" s="3">
        <f t="shared" si="0"/>
        <v>724.58890199999996</v>
      </c>
      <c r="U38" s="5">
        <f t="shared" si="4"/>
        <v>3.3333333333333333E-2</v>
      </c>
      <c r="V38" s="5">
        <f t="shared" si="1"/>
        <v>6.5523643114557169E-3</v>
      </c>
      <c r="W38" s="3">
        <f t="shared" si="6"/>
        <v>24.152963399999997</v>
      </c>
      <c r="X38" s="3">
        <f t="shared" si="7"/>
        <v>158.25901539805611</v>
      </c>
      <c r="Y38" s="7">
        <f t="shared" si="5"/>
        <v>0.56239890506407864</v>
      </c>
    </row>
    <row r="39" spans="1:25" x14ac:dyDescent="0.25">
      <c r="A39" t="s">
        <v>50</v>
      </c>
      <c r="B39" t="s">
        <v>111</v>
      </c>
      <c r="C39" t="s">
        <v>112</v>
      </c>
      <c r="D39" t="s">
        <v>113</v>
      </c>
      <c r="E39" t="s">
        <v>19</v>
      </c>
      <c r="F39" t="s">
        <v>33</v>
      </c>
      <c r="G39" t="s">
        <v>1075</v>
      </c>
      <c r="H39" t="s">
        <v>1074</v>
      </c>
      <c r="K39" t="s">
        <v>114</v>
      </c>
      <c r="L39" t="s">
        <v>115</v>
      </c>
      <c r="M39" t="s">
        <v>21</v>
      </c>
      <c r="N39" s="4">
        <v>16644</v>
      </c>
      <c r="O39" s="4">
        <v>10</v>
      </c>
      <c r="P39" s="4">
        <v>5055</v>
      </c>
      <c r="Q39" s="4">
        <v>15831</v>
      </c>
      <c r="R39" s="4">
        <v>5</v>
      </c>
      <c r="S39" s="3">
        <v>6386.4642320000003</v>
      </c>
      <c r="T39" s="3">
        <f t="shared" si="0"/>
        <v>1277.2928464000001</v>
      </c>
      <c r="U39" s="5">
        <f t="shared" si="4"/>
        <v>0.5</v>
      </c>
      <c r="V39" s="5">
        <f t="shared" si="1"/>
        <v>6.0081711127132897E-4</v>
      </c>
      <c r="W39" s="3">
        <f t="shared" si="6"/>
        <v>638.64642320000007</v>
      </c>
      <c r="X39" s="3">
        <f t="shared" si="7"/>
        <v>383.70969911079067</v>
      </c>
      <c r="Y39" s="7">
        <f t="shared" si="5"/>
        <v>0.31931021413682015</v>
      </c>
    </row>
    <row r="40" spans="1:25" x14ac:dyDescent="0.25">
      <c r="A40" t="s">
        <v>50</v>
      </c>
      <c r="B40" t="s">
        <v>51</v>
      </c>
      <c r="C40" t="s">
        <v>116</v>
      </c>
      <c r="E40" t="s">
        <v>14</v>
      </c>
      <c r="F40" t="s">
        <v>44</v>
      </c>
      <c r="G40" t="s">
        <v>1087</v>
      </c>
      <c r="H40" t="s">
        <v>1074</v>
      </c>
      <c r="K40" t="s">
        <v>117</v>
      </c>
      <c r="L40" t="s">
        <v>28</v>
      </c>
      <c r="M40" t="s">
        <v>21</v>
      </c>
      <c r="N40" s="4">
        <v>818919</v>
      </c>
      <c r="O40" s="4">
        <v>1987</v>
      </c>
      <c r="P40" s="4">
        <v>395852</v>
      </c>
      <c r="Q40" s="4">
        <v>699064</v>
      </c>
      <c r="R40" s="4">
        <v>22</v>
      </c>
      <c r="S40" s="3">
        <v>6012.1024649999999</v>
      </c>
      <c r="T40" s="3">
        <f t="shared" si="0"/>
        <v>273.27738477272726</v>
      </c>
      <c r="U40" s="5">
        <f t="shared" si="4"/>
        <v>1.1071967790639155E-2</v>
      </c>
      <c r="V40" s="5">
        <f t="shared" si="1"/>
        <v>2.4263693967291025E-3</v>
      </c>
      <c r="W40" s="3">
        <f t="shared" si="6"/>
        <v>3.0257184021137391</v>
      </c>
      <c r="X40" s="3">
        <f t="shared" si="7"/>
        <v>7.341510534008858</v>
      </c>
      <c r="Y40" s="7">
        <f t="shared" si="5"/>
        <v>0.56626002769417394</v>
      </c>
    </row>
    <row r="41" spans="1:25" x14ac:dyDescent="0.25">
      <c r="A41" t="s">
        <v>50</v>
      </c>
      <c r="B41" t="s">
        <v>51</v>
      </c>
      <c r="C41" t="s">
        <v>118</v>
      </c>
      <c r="E41" t="s">
        <v>23</v>
      </c>
      <c r="F41" t="s">
        <v>26</v>
      </c>
      <c r="G41" t="s">
        <v>1070</v>
      </c>
      <c r="H41" t="s">
        <v>1071</v>
      </c>
      <c r="K41" t="s">
        <v>42</v>
      </c>
      <c r="L41" t="s">
        <v>17</v>
      </c>
      <c r="M41" t="s">
        <v>21</v>
      </c>
      <c r="N41" s="4">
        <v>100058</v>
      </c>
      <c r="O41" s="4">
        <v>435</v>
      </c>
      <c r="P41" s="4">
        <v>73422</v>
      </c>
      <c r="Q41" s="4">
        <v>91976</v>
      </c>
      <c r="R41" s="4">
        <v>8</v>
      </c>
      <c r="S41" s="3">
        <v>5831.2257929999996</v>
      </c>
      <c r="T41" s="3">
        <f t="shared" si="0"/>
        <v>728.90322412499995</v>
      </c>
      <c r="U41" s="5">
        <f t="shared" si="4"/>
        <v>1.8390804597701149E-2</v>
      </c>
      <c r="V41" s="5">
        <f t="shared" si="1"/>
        <v>4.3474784624917551E-3</v>
      </c>
      <c r="W41" s="3">
        <f t="shared" si="6"/>
        <v>13.40511676551724</v>
      </c>
      <c r="X41" s="3">
        <f t="shared" si="7"/>
        <v>58.278456425273333</v>
      </c>
      <c r="Y41" s="7">
        <f t="shared" si="5"/>
        <v>0.79827346264242849</v>
      </c>
    </row>
    <row r="42" spans="1:25" x14ac:dyDescent="0.25">
      <c r="A42" t="s">
        <v>50</v>
      </c>
      <c r="B42" t="s">
        <v>111</v>
      </c>
      <c r="C42" t="s">
        <v>119</v>
      </c>
      <c r="E42" t="s">
        <v>19</v>
      </c>
      <c r="F42" t="s">
        <v>15</v>
      </c>
      <c r="G42" t="s">
        <v>1064</v>
      </c>
      <c r="H42" t="s">
        <v>1065</v>
      </c>
      <c r="K42" t="s">
        <v>120</v>
      </c>
      <c r="L42" t="s">
        <v>17</v>
      </c>
      <c r="M42" t="s">
        <v>21</v>
      </c>
      <c r="N42" s="4">
        <v>9357</v>
      </c>
      <c r="O42" s="4">
        <v>60</v>
      </c>
      <c r="P42" s="4">
        <v>1754</v>
      </c>
      <c r="Q42" s="4">
        <v>8343</v>
      </c>
      <c r="R42" s="4">
        <v>10</v>
      </c>
      <c r="S42" s="3">
        <v>6559.4777560000002</v>
      </c>
      <c r="T42" s="3">
        <f t="shared" si="0"/>
        <v>655.9477756</v>
      </c>
      <c r="U42" s="5">
        <f t="shared" si="4"/>
        <v>0.16666666666666666</v>
      </c>
      <c r="V42" s="5">
        <f t="shared" si="1"/>
        <v>6.4123116383456233E-3</v>
      </c>
      <c r="W42" s="3">
        <f t="shared" si="6"/>
        <v>109.32462926666668</v>
      </c>
      <c r="X42" s="3">
        <f t="shared" si="7"/>
        <v>701.02359260446724</v>
      </c>
      <c r="Y42" s="7">
        <f t="shared" si="5"/>
        <v>0.21023612609373127</v>
      </c>
    </row>
    <row r="43" spans="1:25" x14ac:dyDescent="0.25">
      <c r="A43" t="s">
        <v>50</v>
      </c>
      <c r="B43" t="s">
        <v>111</v>
      </c>
      <c r="C43" t="s">
        <v>112</v>
      </c>
      <c r="D43" t="s">
        <v>121</v>
      </c>
      <c r="E43" t="s">
        <v>19</v>
      </c>
      <c r="F43" t="s">
        <v>15</v>
      </c>
      <c r="G43" t="s">
        <v>1070</v>
      </c>
      <c r="H43" t="s">
        <v>1071</v>
      </c>
      <c r="K43" t="s">
        <v>24</v>
      </c>
      <c r="L43" t="s">
        <v>89</v>
      </c>
      <c r="M43" t="s">
        <v>21</v>
      </c>
      <c r="N43" s="4">
        <v>192201</v>
      </c>
      <c r="O43" s="4">
        <v>489</v>
      </c>
      <c r="P43" s="4">
        <v>113707</v>
      </c>
      <c r="Q43" s="4">
        <v>157940</v>
      </c>
      <c r="R43" s="4">
        <v>3</v>
      </c>
      <c r="S43" s="3">
        <v>6176.0041540000002</v>
      </c>
      <c r="T43" s="3">
        <f t="shared" si="0"/>
        <v>2058.6680513333336</v>
      </c>
      <c r="U43" s="5">
        <f t="shared" si="4"/>
        <v>6.1349693251533744E-3</v>
      </c>
      <c r="V43" s="5">
        <f t="shared" si="1"/>
        <v>2.5442115285560429E-3</v>
      </c>
      <c r="W43" s="3">
        <f t="shared" si="6"/>
        <v>12.629865345603273</v>
      </c>
      <c r="X43" s="3">
        <f t="shared" si="7"/>
        <v>32.133049016394303</v>
      </c>
      <c r="Y43" s="7">
        <f t="shared" si="5"/>
        <v>0.71993795112067871</v>
      </c>
    </row>
    <row r="44" spans="1:25" x14ac:dyDescent="0.25">
      <c r="A44" t="s">
        <v>50</v>
      </c>
      <c r="B44" t="s">
        <v>111</v>
      </c>
      <c r="C44" t="s">
        <v>122</v>
      </c>
      <c r="E44" t="s">
        <v>14</v>
      </c>
      <c r="F44" t="s">
        <v>26</v>
      </c>
      <c r="G44" t="s">
        <v>1062</v>
      </c>
      <c r="H44" t="s">
        <v>1063</v>
      </c>
      <c r="K44" t="s">
        <v>123</v>
      </c>
      <c r="L44" t="s">
        <v>17</v>
      </c>
      <c r="M44" t="s">
        <v>18</v>
      </c>
      <c r="N44" s="4">
        <v>39725</v>
      </c>
      <c r="O44" s="4">
        <v>144</v>
      </c>
      <c r="P44" s="4">
        <v>5402</v>
      </c>
      <c r="Q44" s="4">
        <v>36080</v>
      </c>
      <c r="R44" s="4">
        <v>12</v>
      </c>
      <c r="S44" s="3">
        <v>6431.5551519999999</v>
      </c>
      <c r="T44" s="3">
        <f t="shared" si="0"/>
        <v>535.96292933333336</v>
      </c>
      <c r="U44" s="5">
        <f t="shared" si="4"/>
        <v>8.3333333333333329E-2</v>
      </c>
      <c r="V44" s="5">
        <f t="shared" si="1"/>
        <v>3.6249213341724355E-3</v>
      </c>
      <c r="W44" s="3">
        <f t="shared" si="6"/>
        <v>44.663577444444442</v>
      </c>
      <c r="X44" s="3">
        <f t="shared" si="7"/>
        <v>161.90195473882946</v>
      </c>
      <c r="Y44" s="7">
        <f t="shared" si="5"/>
        <v>0.14972283813747228</v>
      </c>
    </row>
    <row r="45" spans="1:25" x14ac:dyDescent="0.25">
      <c r="A45" t="s">
        <v>50</v>
      </c>
      <c r="B45" t="s">
        <v>111</v>
      </c>
      <c r="C45" t="s">
        <v>112</v>
      </c>
      <c r="D45" t="s">
        <v>124</v>
      </c>
      <c r="E45" t="s">
        <v>19</v>
      </c>
      <c r="F45" t="s">
        <v>15</v>
      </c>
      <c r="G45" t="s">
        <v>1073</v>
      </c>
      <c r="H45" t="s">
        <v>1074</v>
      </c>
      <c r="K45" t="s">
        <v>125</v>
      </c>
      <c r="L45" t="s">
        <v>17</v>
      </c>
      <c r="M45" t="s">
        <v>21</v>
      </c>
      <c r="N45" s="4">
        <v>9533</v>
      </c>
      <c r="O45" s="4">
        <v>66</v>
      </c>
      <c r="P45" s="4">
        <v>6548</v>
      </c>
      <c r="Q45" s="4">
        <v>9042</v>
      </c>
      <c r="R45" s="4">
        <v>16</v>
      </c>
      <c r="S45" s="3">
        <v>5574.5435049999996</v>
      </c>
      <c r="T45" s="3">
        <f t="shared" si="0"/>
        <v>348.40896906249998</v>
      </c>
      <c r="U45" s="5">
        <f t="shared" si="4"/>
        <v>0.24242424242424243</v>
      </c>
      <c r="V45" s="5">
        <f t="shared" si="1"/>
        <v>6.9233189971677333E-3</v>
      </c>
      <c r="W45" s="3">
        <f t="shared" si="6"/>
        <v>84.462780378787869</v>
      </c>
      <c r="X45" s="3">
        <f t="shared" si="7"/>
        <v>584.7627719500681</v>
      </c>
      <c r="Y45" s="7">
        <f t="shared" si="5"/>
        <v>0.72417606724176065</v>
      </c>
    </row>
    <row r="46" spans="1:25" x14ac:dyDescent="0.25">
      <c r="A46" t="s">
        <v>50</v>
      </c>
      <c r="B46" t="s">
        <v>126</v>
      </c>
      <c r="C46" t="s">
        <v>127</v>
      </c>
      <c r="E46" t="s">
        <v>19</v>
      </c>
      <c r="F46" t="s">
        <v>33</v>
      </c>
      <c r="G46" t="s">
        <v>1070</v>
      </c>
      <c r="H46" t="s">
        <v>1071</v>
      </c>
      <c r="K46" t="s">
        <v>45</v>
      </c>
      <c r="L46" t="s">
        <v>17</v>
      </c>
      <c r="M46" t="s">
        <v>21</v>
      </c>
      <c r="N46" s="4">
        <v>102884</v>
      </c>
      <c r="O46" s="4">
        <v>299</v>
      </c>
      <c r="P46" s="4">
        <v>42841</v>
      </c>
      <c r="Q46" s="4">
        <v>96539</v>
      </c>
      <c r="R46" s="4">
        <v>6</v>
      </c>
      <c r="S46" s="3">
        <v>2015.4483310000001</v>
      </c>
      <c r="T46" s="3">
        <f t="shared" si="0"/>
        <v>335.90805516666666</v>
      </c>
      <c r="U46" s="5">
        <f t="shared" si="4"/>
        <v>2.0066889632107024E-2</v>
      </c>
      <c r="V46" s="5">
        <f t="shared" si="1"/>
        <v>2.9061856070914816E-3</v>
      </c>
      <c r="W46" s="3">
        <f t="shared" si="6"/>
        <v>6.7406298695652174</v>
      </c>
      <c r="X46" s="3">
        <f t="shared" si="7"/>
        <v>19.589521509661367</v>
      </c>
      <c r="Y46" s="7">
        <f t="shared" si="5"/>
        <v>0.44376883953635321</v>
      </c>
    </row>
    <row r="47" spans="1:25" x14ac:dyDescent="0.25">
      <c r="A47" t="s">
        <v>50</v>
      </c>
      <c r="B47" t="s">
        <v>126</v>
      </c>
      <c r="C47" t="s">
        <v>128</v>
      </c>
      <c r="E47" t="s">
        <v>14</v>
      </c>
      <c r="F47" t="s">
        <v>15</v>
      </c>
      <c r="G47" t="s">
        <v>1066</v>
      </c>
      <c r="H47" t="s">
        <v>1067</v>
      </c>
      <c r="K47" t="s">
        <v>117</v>
      </c>
      <c r="L47" t="s">
        <v>17</v>
      </c>
      <c r="M47" t="s">
        <v>21</v>
      </c>
      <c r="N47" s="4">
        <v>1116343</v>
      </c>
      <c r="O47" s="4">
        <v>3104</v>
      </c>
      <c r="P47" s="4">
        <v>550519</v>
      </c>
      <c r="Q47" s="4">
        <v>977978</v>
      </c>
      <c r="R47" s="4">
        <v>9</v>
      </c>
      <c r="S47" s="3">
        <v>2494.217596</v>
      </c>
      <c r="T47" s="3">
        <f t="shared" si="0"/>
        <v>277.13528844444443</v>
      </c>
      <c r="U47" s="5">
        <f t="shared" si="4"/>
        <v>2.8994845360824743E-3</v>
      </c>
      <c r="V47" s="5">
        <f t="shared" si="1"/>
        <v>2.780507424689365E-3</v>
      </c>
      <c r="W47" s="3">
        <f t="shared" si="6"/>
        <v>0.8035494832474227</v>
      </c>
      <c r="X47" s="3">
        <f t="shared" si="7"/>
        <v>2.2342753042747612</v>
      </c>
      <c r="Y47" s="7">
        <f t="shared" si="5"/>
        <v>0.56291552570712222</v>
      </c>
    </row>
    <row r="48" spans="1:25" x14ac:dyDescent="0.25">
      <c r="A48" t="s">
        <v>50</v>
      </c>
      <c r="B48" t="s">
        <v>111</v>
      </c>
      <c r="C48" t="s">
        <v>129</v>
      </c>
      <c r="E48" t="s">
        <v>14</v>
      </c>
      <c r="F48" t="s">
        <v>15</v>
      </c>
      <c r="G48" t="s">
        <v>1066</v>
      </c>
      <c r="H48" t="s">
        <v>1067</v>
      </c>
      <c r="K48" t="s">
        <v>130</v>
      </c>
      <c r="L48" t="s">
        <v>17</v>
      </c>
      <c r="M48" t="s">
        <v>21</v>
      </c>
      <c r="N48" s="4">
        <v>8111</v>
      </c>
      <c r="O48" s="4">
        <v>0</v>
      </c>
      <c r="P48" s="4">
        <v>4346</v>
      </c>
      <c r="Q48" s="4">
        <v>6163</v>
      </c>
      <c r="R48" s="4">
        <v>1</v>
      </c>
      <c r="S48" s="3">
        <v>5000.7612060000001</v>
      </c>
      <c r="T48" s="3">
        <f t="shared" si="0"/>
        <v>5000.7612060000001</v>
      </c>
      <c r="U48" s="5" t="e">
        <f t="shared" si="4"/>
        <v>#DIV/0!</v>
      </c>
      <c r="V48" s="5">
        <f t="shared" si="1"/>
        <v>0</v>
      </c>
      <c r="W48" s="3" t="e">
        <f t="shared" si="6"/>
        <v>#DIV/0!</v>
      </c>
      <c r="X48" s="3">
        <f t="shared" si="7"/>
        <v>616.54064924177044</v>
      </c>
      <c r="Y48" s="7">
        <f t="shared" si="5"/>
        <v>0.70517605062469579</v>
      </c>
    </row>
    <row r="49" spans="1:25" x14ac:dyDescent="0.25">
      <c r="A49" t="s">
        <v>50</v>
      </c>
      <c r="B49" t="s">
        <v>111</v>
      </c>
      <c r="C49" t="s">
        <v>131</v>
      </c>
      <c r="E49" t="s">
        <v>19</v>
      </c>
      <c r="F49" t="s">
        <v>15</v>
      </c>
      <c r="G49" t="s">
        <v>1084</v>
      </c>
      <c r="H49" t="s">
        <v>1065</v>
      </c>
      <c r="K49" t="s">
        <v>132</v>
      </c>
      <c r="L49" t="s">
        <v>17</v>
      </c>
      <c r="M49" t="s">
        <v>21</v>
      </c>
      <c r="N49" s="4">
        <v>102905</v>
      </c>
      <c r="O49" s="4">
        <v>421</v>
      </c>
      <c r="P49" s="4">
        <v>45324</v>
      </c>
      <c r="Q49" s="4">
        <v>99065</v>
      </c>
      <c r="R49" s="4">
        <v>1</v>
      </c>
      <c r="S49" s="3">
        <v>6407.5818280000003</v>
      </c>
      <c r="T49" s="3">
        <f t="shared" si="0"/>
        <v>6407.5818280000003</v>
      </c>
      <c r="U49" s="5">
        <f t="shared" si="4"/>
        <v>2.3752969121140144E-3</v>
      </c>
      <c r="V49" s="5">
        <f t="shared" si="1"/>
        <v>4.0911520334288905E-3</v>
      </c>
      <c r="W49" s="3">
        <f t="shared" si="6"/>
        <v>15.219909330166271</v>
      </c>
      <c r="X49" s="3">
        <f t="shared" si="7"/>
        <v>62.266963004713084</v>
      </c>
      <c r="Y49" s="7">
        <f t="shared" si="5"/>
        <v>0.45751779134911424</v>
      </c>
    </row>
    <row r="50" spans="1:25" x14ac:dyDescent="0.25">
      <c r="A50" t="s">
        <v>50</v>
      </c>
      <c r="B50" t="s">
        <v>111</v>
      </c>
      <c r="C50" t="s">
        <v>133</v>
      </c>
      <c r="E50" t="s">
        <v>19</v>
      </c>
      <c r="F50" t="s">
        <v>15</v>
      </c>
      <c r="G50" t="s">
        <v>1066</v>
      </c>
      <c r="H50" t="s">
        <v>1067</v>
      </c>
      <c r="K50" t="s">
        <v>134</v>
      </c>
      <c r="L50" t="s">
        <v>28</v>
      </c>
      <c r="M50" t="s">
        <v>21</v>
      </c>
      <c r="N50" s="4">
        <v>26304</v>
      </c>
      <c r="O50" s="4">
        <v>75</v>
      </c>
      <c r="P50" s="4">
        <v>12354</v>
      </c>
      <c r="Q50" s="4">
        <v>17500</v>
      </c>
      <c r="R50" s="4">
        <v>11</v>
      </c>
      <c r="S50" s="3">
        <v>4727.8139160000001</v>
      </c>
      <c r="T50" s="3">
        <f t="shared" si="0"/>
        <v>429.80126509090911</v>
      </c>
      <c r="U50" s="5">
        <f t="shared" si="4"/>
        <v>0.14666666666666667</v>
      </c>
      <c r="V50" s="5">
        <f t="shared" si="1"/>
        <v>2.8512773722627737E-3</v>
      </c>
      <c r="W50" s="3">
        <f t="shared" si="6"/>
        <v>63.03751888</v>
      </c>
      <c r="X50" s="3">
        <f t="shared" si="7"/>
        <v>179.73745118613138</v>
      </c>
      <c r="Y50" s="7">
        <f t="shared" si="5"/>
        <v>0.70594285714285709</v>
      </c>
    </row>
    <row r="51" spans="1:25" x14ac:dyDescent="0.25">
      <c r="A51" t="s">
        <v>50</v>
      </c>
      <c r="B51" t="s">
        <v>111</v>
      </c>
      <c r="C51" t="s">
        <v>135</v>
      </c>
      <c r="D51" t="s">
        <v>136</v>
      </c>
      <c r="E51" t="s">
        <v>19</v>
      </c>
      <c r="F51" t="s">
        <v>15</v>
      </c>
      <c r="G51" t="s">
        <v>1070</v>
      </c>
      <c r="H51" t="s">
        <v>1071</v>
      </c>
      <c r="K51" t="s">
        <v>137</v>
      </c>
      <c r="L51" t="s">
        <v>17</v>
      </c>
      <c r="M51" t="s">
        <v>21</v>
      </c>
      <c r="N51" s="4">
        <v>18516</v>
      </c>
      <c r="O51" s="4">
        <v>68</v>
      </c>
      <c r="P51" s="4">
        <v>8191</v>
      </c>
      <c r="Q51" s="4">
        <v>13641</v>
      </c>
      <c r="R51" s="4">
        <v>13</v>
      </c>
      <c r="S51" s="3">
        <v>5087.5617149999998</v>
      </c>
      <c r="T51" s="3">
        <f t="shared" si="0"/>
        <v>391.35090115384617</v>
      </c>
      <c r="U51" s="5">
        <f t="shared" si="4"/>
        <v>0.19117647058823528</v>
      </c>
      <c r="V51" s="5">
        <f t="shared" si="1"/>
        <v>3.67249945992655E-3</v>
      </c>
      <c r="W51" s="3">
        <f t="shared" si="6"/>
        <v>74.817084044117649</v>
      </c>
      <c r="X51" s="3">
        <f t="shared" si="7"/>
        <v>274.76570074530139</v>
      </c>
      <c r="Y51" s="7">
        <f t="shared" si="5"/>
        <v>0.60046917381423648</v>
      </c>
    </row>
    <row r="52" spans="1:25" x14ac:dyDescent="0.25">
      <c r="A52" t="s">
        <v>50</v>
      </c>
      <c r="B52" t="s">
        <v>51</v>
      </c>
      <c r="C52" t="s">
        <v>138</v>
      </c>
      <c r="E52" t="s">
        <v>14</v>
      </c>
      <c r="F52" t="s">
        <v>44</v>
      </c>
      <c r="G52" t="s">
        <v>1086</v>
      </c>
      <c r="H52" t="s">
        <v>1063</v>
      </c>
      <c r="K52" t="s">
        <v>91</v>
      </c>
      <c r="L52" t="s">
        <v>17</v>
      </c>
      <c r="M52" t="s">
        <v>18</v>
      </c>
      <c r="N52" s="4">
        <v>29856</v>
      </c>
      <c r="O52" s="4">
        <v>111</v>
      </c>
      <c r="P52" s="4">
        <v>7664</v>
      </c>
      <c r="Q52" s="4">
        <v>21698</v>
      </c>
      <c r="R52" s="4">
        <v>9</v>
      </c>
      <c r="S52" s="3">
        <v>4851.3944460000002</v>
      </c>
      <c r="T52" s="3">
        <f t="shared" si="0"/>
        <v>539.04382733333341</v>
      </c>
      <c r="U52" s="5">
        <f t="shared" si="4"/>
        <v>8.1081081081081086E-2</v>
      </c>
      <c r="V52" s="5">
        <f t="shared" si="1"/>
        <v>3.7178456591639873E-3</v>
      </c>
      <c r="W52" s="3">
        <f t="shared" si="6"/>
        <v>43.706256270270273</v>
      </c>
      <c r="X52" s="3">
        <f t="shared" si="7"/>
        <v>162.49311515273314</v>
      </c>
      <c r="Y52" s="7">
        <f t="shared" si="5"/>
        <v>0.3532122776292746</v>
      </c>
    </row>
    <row r="53" spans="1:25" x14ac:dyDescent="0.25">
      <c r="A53" t="s">
        <v>50</v>
      </c>
      <c r="B53" t="s">
        <v>139</v>
      </c>
      <c r="C53" t="s">
        <v>140</v>
      </c>
      <c r="D53" t="s">
        <v>141</v>
      </c>
      <c r="E53" t="s">
        <v>19</v>
      </c>
      <c r="F53" t="s">
        <v>33</v>
      </c>
      <c r="G53" t="s">
        <v>1088</v>
      </c>
      <c r="H53" t="s">
        <v>1065</v>
      </c>
      <c r="I53" t="s">
        <v>1089</v>
      </c>
      <c r="J53" t="s">
        <v>1090</v>
      </c>
      <c r="K53" t="s">
        <v>91</v>
      </c>
      <c r="L53" t="s">
        <v>89</v>
      </c>
      <c r="M53" t="s">
        <v>21</v>
      </c>
      <c r="N53" s="4">
        <v>42884</v>
      </c>
      <c r="O53" s="4">
        <v>104</v>
      </c>
      <c r="P53" s="4">
        <v>4345</v>
      </c>
      <c r="Q53" s="4">
        <v>25153</v>
      </c>
      <c r="R53" s="4">
        <v>9</v>
      </c>
      <c r="S53" s="3">
        <v>6322.1526549999999</v>
      </c>
      <c r="T53" s="3">
        <f t="shared" si="0"/>
        <v>702.46140611111105</v>
      </c>
      <c r="U53" s="5">
        <f t="shared" si="4"/>
        <v>8.6538461538461536E-2</v>
      </c>
      <c r="V53" s="5">
        <f t="shared" si="1"/>
        <v>2.4251469079376925E-3</v>
      </c>
      <c r="W53" s="3">
        <f t="shared" si="6"/>
        <v>60.789929375</v>
      </c>
      <c r="X53" s="3">
        <f t="shared" si="7"/>
        <v>147.42450925753195</v>
      </c>
      <c r="Y53" s="7">
        <f t="shared" si="5"/>
        <v>0.17274281397845187</v>
      </c>
    </row>
    <row r="54" spans="1:25" x14ac:dyDescent="0.25">
      <c r="A54" t="s">
        <v>50</v>
      </c>
      <c r="B54" t="s">
        <v>139</v>
      </c>
      <c r="C54" t="s">
        <v>142</v>
      </c>
      <c r="E54" t="s">
        <v>23</v>
      </c>
      <c r="F54" t="s">
        <v>15</v>
      </c>
      <c r="G54" t="s">
        <v>1086</v>
      </c>
      <c r="H54" t="s">
        <v>1063</v>
      </c>
      <c r="K54" t="s">
        <v>143</v>
      </c>
      <c r="L54" t="s">
        <v>17</v>
      </c>
      <c r="M54" t="s">
        <v>21</v>
      </c>
      <c r="N54" s="4">
        <v>9238</v>
      </c>
      <c r="O54" s="4">
        <v>84</v>
      </c>
      <c r="P54" s="4">
        <v>4626</v>
      </c>
      <c r="Q54" s="4">
        <v>8264</v>
      </c>
      <c r="R54" s="4">
        <v>15</v>
      </c>
      <c r="S54" s="3">
        <v>6683.2254869999997</v>
      </c>
      <c r="T54" s="3">
        <f t="shared" si="0"/>
        <v>445.5483658</v>
      </c>
      <c r="U54" s="5">
        <f t="shared" si="4"/>
        <v>0.17857142857142858</v>
      </c>
      <c r="V54" s="5">
        <f t="shared" si="1"/>
        <v>9.0928772461571772E-3</v>
      </c>
      <c r="W54" s="3">
        <f t="shared" si="6"/>
        <v>79.562208178571424</v>
      </c>
      <c r="X54" s="3">
        <f t="shared" si="7"/>
        <v>723.44939240095255</v>
      </c>
      <c r="Y54" s="7">
        <f t="shared" si="5"/>
        <v>0.5597773475314618</v>
      </c>
    </row>
    <row r="55" spans="1:25" x14ac:dyDescent="0.25">
      <c r="A55" t="s">
        <v>50</v>
      </c>
      <c r="B55" t="s">
        <v>139</v>
      </c>
      <c r="C55" t="s">
        <v>144</v>
      </c>
      <c r="E55" t="s">
        <v>19</v>
      </c>
      <c r="F55" t="s">
        <v>44</v>
      </c>
      <c r="G55" t="s">
        <v>1091</v>
      </c>
      <c r="H55" t="s">
        <v>1090</v>
      </c>
      <c r="K55" t="s">
        <v>45</v>
      </c>
      <c r="L55" t="s">
        <v>145</v>
      </c>
      <c r="M55" t="s">
        <v>21</v>
      </c>
      <c r="N55" s="4">
        <v>83957</v>
      </c>
      <c r="O55" s="4">
        <v>185</v>
      </c>
      <c r="P55" s="4">
        <v>1420</v>
      </c>
      <c r="Q55" s="4">
        <v>69246</v>
      </c>
      <c r="R55" s="4">
        <v>19</v>
      </c>
      <c r="S55" s="3">
        <v>6651.51451</v>
      </c>
      <c r="T55" s="3">
        <f t="shared" si="0"/>
        <v>350.07971105263158</v>
      </c>
      <c r="U55" s="5">
        <f t="shared" si="4"/>
        <v>0.10270270270270271</v>
      </c>
      <c r="V55" s="5">
        <f t="shared" si="1"/>
        <v>2.2035089390997774E-3</v>
      </c>
      <c r="W55" s="3">
        <f t="shared" si="6"/>
        <v>35.954132486486486</v>
      </c>
      <c r="X55" s="3">
        <f t="shared" si="7"/>
        <v>79.225252331550678</v>
      </c>
      <c r="Y55" s="7">
        <f t="shared" si="5"/>
        <v>2.0506599659186091E-2</v>
      </c>
    </row>
    <row r="56" spans="1:25" x14ac:dyDescent="0.25">
      <c r="A56" t="s">
        <v>50</v>
      </c>
      <c r="B56" t="s">
        <v>111</v>
      </c>
      <c r="C56" t="s">
        <v>146</v>
      </c>
      <c r="E56" t="s">
        <v>19</v>
      </c>
      <c r="F56" t="s">
        <v>33</v>
      </c>
      <c r="G56" t="s">
        <v>1092</v>
      </c>
      <c r="H56" t="s">
        <v>1065</v>
      </c>
      <c r="K56" t="s">
        <v>24</v>
      </c>
      <c r="L56" t="s">
        <v>17</v>
      </c>
      <c r="M56" t="s">
        <v>21</v>
      </c>
      <c r="N56" s="4">
        <v>26270</v>
      </c>
      <c r="O56" s="4">
        <v>63</v>
      </c>
      <c r="P56" s="4">
        <v>12813</v>
      </c>
      <c r="Q56" s="4">
        <v>21893</v>
      </c>
      <c r="R56" s="4">
        <v>12</v>
      </c>
      <c r="S56" s="3">
        <v>6417.2645640000001</v>
      </c>
      <c r="T56" s="3">
        <f t="shared" si="0"/>
        <v>534.77204700000004</v>
      </c>
      <c r="U56" s="5">
        <f t="shared" si="4"/>
        <v>0.19047619047619047</v>
      </c>
      <c r="V56" s="5">
        <f t="shared" si="1"/>
        <v>2.398172820708032E-3</v>
      </c>
      <c r="W56" s="3">
        <f t="shared" si="6"/>
        <v>101.86134228571429</v>
      </c>
      <c r="X56" s="3">
        <f t="shared" si="7"/>
        <v>244.28110255043774</v>
      </c>
      <c r="Y56" s="7">
        <f t="shared" si="5"/>
        <v>0.58525556113826338</v>
      </c>
    </row>
    <row r="57" spans="1:25" x14ac:dyDescent="0.25">
      <c r="A57" t="s">
        <v>50</v>
      </c>
      <c r="B57" t="s">
        <v>111</v>
      </c>
      <c r="C57" t="s">
        <v>147</v>
      </c>
      <c r="D57" t="s">
        <v>148</v>
      </c>
      <c r="E57" t="s">
        <v>23</v>
      </c>
      <c r="F57" t="s">
        <v>15</v>
      </c>
      <c r="G57" t="s">
        <v>1066</v>
      </c>
      <c r="H57" t="s">
        <v>1067</v>
      </c>
      <c r="K57" t="s">
        <v>102</v>
      </c>
      <c r="L57" t="s">
        <v>17</v>
      </c>
      <c r="M57" t="s">
        <v>21</v>
      </c>
      <c r="N57" s="4">
        <v>39373</v>
      </c>
      <c r="O57" s="4">
        <v>99</v>
      </c>
      <c r="P57" s="4">
        <v>23152</v>
      </c>
      <c r="Q57" s="4">
        <v>35857</v>
      </c>
      <c r="R57" s="4">
        <v>17</v>
      </c>
      <c r="S57" s="3">
        <v>6342.8857859999998</v>
      </c>
      <c r="T57" s="3">
        <f t="shared" si="0"/>
        <v>373.11092858823531</v>
      </c>
      <c r="U57" s="5">
        <f t="shared" si="4"/>
        <v>0.17171717171717171</v>
      </c>
      <c r="V57" s="5">
        <f t="shared" si="1"/>
        <v>2.5144134305234551E-3</v>
      </c>
      <c r="W57" s="3">
        <f t="shared" si="6"/>
        <v>64.069553393939387</v>
      </c>
      <c r="X57" s="3">
        <f t="shared" si="7"/>
        <v>161.09734554136082</v>
      </c>
      <c r="Y57" s="7">
        <f t="shared" si="5"/>
        <v>0.64567587918676972</v>
      </c>
    </row>
    <row r="58" spans="1:25" x14ac:dyDescent="0.25">
      <c r="A58" t="s">
        <v>50</v>
      </c>
      <c r="B58" t="s">
        <v>111</v>
      </c>
      <c r="C58" t="s">
        <v>112</v>
      </c>
      <c r="D58" t="s">
        <v>149</v>
      </c>
      <c r="E58" t="s">
        <v>14</v>
      </c>
      <c r="F58" t="s">
        <v>26</v>
      </c>
      <c r="G58" t="s">
        <v>1070</v>
      </c>
      <c r="H58" t="s">
        <v>1071</v>
      </c>
      <c r="K58" t="s">
        <v>150</v>
      </c>
      <c r="L58" t="s">
        <v>28</v>
      </c>
      <c r="M58" t="s">
        <v>18</v>
      </c>
      <c r="N58" s="4">
        <v>39314</v>
      </c>
      <c r="O58" s="4">
        <v>100</v>
      </c>
      <c r="P58" s="4">
        <v>27671</v>
      </c>
      <c r="Q58" s="4">
        <v>35488</v>
      </c>
      <c r="R58" s="4">
        <v>8</v>
      </c>
      <c r="S58" s="3">
        <v>5530.8004579999997</v>
      </c>
      <c r="T58" s="3">
        <f t="shared" si="0"/>
        <v>691.35005724999996</v>
      </c>
      <c r="U58" s="5">
        <f t="shared" si="4"/>
        <v>0.08</v>
      </c>
      <c r="V58" s="5">
        <f t="shared" si="1"/>
        <v>2.5436231367960524E-3</v>
      </c>
      <c r="W58" s="3">
        <f t="shared" si="6"/>
        <v>55.308004579999995</v>
      </c>
      <c r="X58" s="3">
        <f t="shared" si="7"/>
        <v>140.68272009971002</v>
      </c>
      <c r="Y58" s="7">
        <f t="shared" si="5"/>
        <v>0.77972835888187553</v>
      </c>
    </row>
    <row r="59" spans="1:25" x14ac:dyDescent="0.25">
      <c r="A59" t="s">
        <v>50</v>
      </c>
      <c r="B59" t="s">
        <v>111</v>
      </c>
      <c r="C59" t="s">
        <v>112</v>
      </c>
      <c r="D59" t="s">
        <v>151</v>
      </c>
      <c r="E59" t="s">
        <v>14</v>
      </c>
      <c r="F59" t="s">
        <v>33</v>
      </c>
      <c r="G59" t="s">
        <v>1070</v>
      </c>
      <c r="H59" t="s">
        <v>1071</v>
      </c>
      <c r="K59" t="s">
        <v>152</v>
      </c>
      <c r="L59" t="s">
        <v>25</v>
      </c>
      <c r="M59" t="s">
        <v>21</v>
      </c>
      <c r="N59" s="4">
        <v>11681</v>
      </c>
      <c r="O59" s="4">
        <v>88</v>
      </c>
      <c r="P59" s="4">
        <v>4713</v>
      </c>
      <c r="Q59" s="4">
        <v>8230</v>
      </c>
      <c r="R59" s="4">
        <v>4</v>
      </c>
      <c r="S59" s="3">
        <v>5216.6488790000003</v>
      </c>
      <c r="T59" s="3">
        <f t="shared" si="0"/>
        <v>1304.1622197500001</v>
      </c>
      <c r="U59" s="5">
        <f t="shared" si="4"/>
        <v>4.5454545454545456E-2</v>
      </c>
      <c r="V59" s="5">
        <f t="shared" si="1"/>
        <v>7.533601575207602E-3</v>
      </c>
      <c r="W59" s="3">
        <f t="shared" si="6"/>
        <v>59.280100897727273</v>
      </c>
      <c r="X59" s="3">
        <f t="shared" si="7"/>
        <v>446.59266150158379</v>
      </c>
      <c r="Y59" s="7">
        <f t="shared" si="5"/>
        <v>0.5726609963547995</v>
      </c>
    </row>
    <row r="60" spans="1:25" x14ac:dyDescent="0.25">
      <c r="A60" t="s">
        <v>50</v>
      </c>
      <c r="B60" t="s">
        <v>111</v>
      </c>
      <c r="C60" t="s">
        <v>147</v>
      </c>
      <c r="E60" t="s">
        <v>19</v>
      </c>
      <c r="F60" t="s">
        <v>44</v>
      </c>
      <c r="G60" t="s">
        <v>1072</v>
      </c>
      <c r="H60" t="s">
        <v>1065</v>
      </c>
      <c r="K60" t="s">
        <v>153</v>
      </c>
      <c r="L60" t="s">
        <v>17</v>
      </c>
      <c r="M60" t="s">
        <v>21</v>
      </c>
      <c r="N60" s="4">
        <v>7687</v>
      </c>
      <c r="O60" s="4">
        <v>10</v>
      </c>
      <c r="P60" s="4">
        <v>5311</v>
      </c>
      <c r="Q60" s="4">
        <v>7266</v>
      </c>
      <c r="R60" s="4">
        <v>6</v>
      </c>
      <c r="S60" s="3">
        <v>6486.8539090000004</v>
      </c>
      <c r="T60" s="3">
        <f t="shared" si="0"/>
        <v>1081.1423181666667</v>
      </c>
      <c r="U60" s="5">
        <f t="shared" si="4"/>
        <v>0.6</v>
      </c>
      <c r="V60" s="5">
        <f t="shared" si="1"/>
        <v>1.3008976193573565E-3</v>
      </c>
      <c r="W60" s="3">
        <f t="shared" si="6"/>
        <v>648.68539090000002</v>
      </c>
      <c r="X60" s="3">
        <f t="shared" si="7"/>
        <v>843.87328073370622</v>
      </c>
      <c r="Y60" s="7">
        <f t="shared" si="5"/>
        <v>0.73093861822185524</v>
      </c>
    </row>
    <row r="61" spans="1:25" x14ac:dyDescent="0.25">
      <c r="A61" t="s">
        <v>50</v>
      </c>
      <c r="B61" t="s">
        <v>111</v>
      </c>
      <c r="C61" t="s">
        <v>154</v>
      </c>
      <c r="E61" t="s">
        <v>19</v>
      </c>
      <c r="F61" t="s">
        <v>15</v>
      </c>
      <c r="G61" t="s">
        <v>1070</v>
      </c>
      <c r="H61" t="s">
        <v>1071</v>
      </c>
      <c r="K61" t="s">
        <v>91</v>
      </c>
      <c r="L61" t="s">
        <v>17</v>
      </c>
      <c r="M61" t="s">
        <v>21</v>
      </c>
      <c r="N61" s="4">
        <v>43327</v>
      </c>
      <c r="O61" s="4">
        <v>140</v>
      </c>
      <c r="P61" s="4">
        <v>4689</v>
      </c>
      <c r="Q61" s="4">
        <v>31363</v>
      </c>
      <c r="R61" s="4">
        <v>14</v>
      </c>
      <c r="S61" s="3">
        <v>4554.8768840000002</v>
      </c>
      <c r="T61" s="3">
        <f t="shared" si="0"/>
        <v>325.34834885714287</v>
      </c>
      <c r="U61" s="5">
        <f t="shared" si="4"/>
        <v>0.1</v>
      </c>
      <c r="V61" s="5">
        <f t="shared" si="1"/>
        <v>3.2312414891407207E-3</v>
      </c>
      <c r="W61" s="3">
        <f t="shared" si="6"/>
        <v>32.534834885714289</v>
      </c>
      <c r="X61" s="3">
        <f t="shared" si="7"/>
        <v>105.1279083250629</v>
      </c>
      <c r="Y61" s="7">
        <f t="shared" si="5"/>
        <v>0.14950738130918598</v>
      </c>
    </row>
    <row r="62" spans="1:25" x14ac:dyDescent="0.25">
      <c r="A62" t="s">
        <v>50</v>
      </c>
      <c r="B62" t="s">
        <v>111</v>
      </c>
      <c r="C62" t="s">
        <v>155</v>
      </c>
      <c r="E62" t="s">
        <v>23</v>
      </c>
      <c r="F62" t="s">
        <v>33</v>
      </c>
      <c r="G62" t="s">
        <v>1066</v>
      </c>
      <c r="H62" t="s">
        <v>1067</v>
      </c>
      <c r="K62" t="s">
        <v>156</v>
      </c>
      <c r="L62" t="s">
        <v>68</v>
      </c>
      <c r="M62" t="s">
        <v>21</v>
      </c>
      <c r="N62" s="4">
        <v>11734</v>
      </c>
      <c r="O62" s="4">
        <v>78</v>
      </c>
      <c r="P62" s="4">
        <v>8741</v>
      </c>
      <c r="Q62" s="4">
        <v>10606</v>
      </c>
      <c r="R62" s="4">
        <v>5</v>
      </c>
      <c r="S62" s="3">
        <v>6439.2834979999998</v>
      </c>
      <c r="T62" s="3">
        <f t="shared" si="0"/>
        <v>1287.8566996</v>
      </c>
      <c r="U62" s="5">
        <f t="shared" si="4"/>
        <v>6.4102564102564097E-2</v>
      </c>
      <c r="V62" s="5">
        <f t="shared" si="1"/>
        <v>6.6473495824100901E-3</v>
      </c>
      <c r="W62" s="3">
        <f t="shared" si="6"/>
        <v>82.554916641025642</v>
      </c>
      <c r="X62" s="3">
        <f t="shared" si="7"/>
        <v>548.7713906596216</v>
      </c>
      <c r="Y62" s="7">
        <f t="shared" si="5"/>
        <v>0.82415613803507448</v>
      </c>
    </row>
    <row r="63" spans="1:25" x14ac:dyDescent="0.25">
      <c r="A63" t="s">
        <v>50</v>
      </c>
      <c r="B63" t="s">
        <v>69</v>
      </c>
      <c r="C63" t="s">
        <v>70</v>
      </c>
      <c r="D63" t="s">
        <v>157</v>
      </c>
      <c r="E63" t="s">
        <v>14</v>
      </c>
      <c r="F63" t="s">
        <v>26</v>
      </c>
      <c r="G63" t="s">
        <v>1078</v>
      </c>
      <c r="H63" t="s">
        <v>1065</v>
      </c>
      <c r="K63" t="s">
        <v>158</v>
      </c>
      <c r="L63" t="s">
        <v>17</v>
      </c>
      <c r="M63" t="s">
        <v>21</v>
      </c>
      <c r="N63" s="4">
        <v>11672</v>
      </c>
      <c r="O63" s="4">
        <v>84</v>
      </c>
      <c r="P63" s="4">
        <v>7619</v>
      </c>
      <c r="Q63" s="4">
        <v>9999</v>
      </c>
      <c r="R63" s="4">
        <v>7</v>
      </c>
      <c r="S63" s="3">
        <v>5284.2770399999999</v>
      </c>
      <c r="T63" s="3">
        <f t="shared" si="0"/>
        <v>754.89671999999996</v>
      </c>
      <c r="U63" s="5">
        <f t="shared" si="4"/>
        <v>8.3333333333333329E-2</v>
      </c>
      <c r="V63" s="5">
        <f t="shared" si="1"/>
        <v>7.1967100753941053E-3</v>
      </c>
      <c r="W63" s="3">
        <f t="shared" si="6"/>
        <v>62.908059999999999</v>
      </c>
      <c r="X63" s="3">
        <f t="shared" si="7"/>
        <v>452.73106922549687</v>
      </c>
      <c r="Y63" s="7">
        <f t="shared" si="5"/>
        <v>0.76197619761976199</v>
      </c>
    </row>
    <row r="64" spans="1:25" x14ac:dyDescent="0.25">
      <c r="A64" t="s">
        <v>50</v>
      </c>
      <c r="B64" t="s">
        <v>111</v>
      </c>
      <c r="C64" t="s">
        <v>159</v>
      </c>
      <c r="E64" t="s">
        <v>19</v>
      </c>
      <c r="F64" t="s">
        <v>15</v>
      </c>
      <c r="G64" t="s">
        <v>1066</v>
      </c>
      <c r="H64" t="s">
        <v>1067</v>
      </c>
      <c r="K64" t="s">
        <v>160</v>
      </c>
      <c r="L64" t="s">
        <v>28</v>
      </c>
      <c r="M64" t="s">
        <v>21</v>
      </c>
      <c r="N64" s="4">
        <v>96728</v>
      </c>
      <c r="O64" s="4">
        <v>341</v>
      </c>
      <c r="P64" s="4">
        <v>69700</v>
      </c>
      <c r="Q64" s="4">
        <v>91910</v>
      </c>
      <c r="R64" s="4">
        <v>15</v>
      </c>
      <c r="S64" s="3">
        <v>6587.2433309999997</v>
      </c>
      <c r="T64" s="3">
        <f t="shared" si="0"/>
        <v>439.1495554</v>
      </c>
      <c r="U64" s="5">
        <f t="shared" si="4"/>
        <v>4.398826979472141E-2</v>
      </c>
      <c r="V64" s="5">
        <f t="shared" si="1"/>
        <v>3.5253494334629063E-3</v>
      </c>
      <c r="W64" s="3">
        <f t="shared" si="6"/>
        <v>19.317429123167155</v>
      </c>
      <c r="X64" s="3">
        <f t="shared" si="7"/>
        <v>68.100687815317173</v>
      </c>
      <c r="Y64" s="7">
        <f t="shared" si="5"/>
        <v>0.75835056033075832</v>
      </c>
    </row>
    <row r="65" spans="1:25" x14ac:dyDescent="0.25">
      <c r="A65" t="s">
        <v>50</v>
      </c>
      <c r="B65" t="s">
        <v>111</v>
      </c>
      <c r="C65" t="s">
        <v>161</v>
      </c>
      <c r="E65" t="s">
        <v>19</v>
      </c>
      <c r="F65" t="s">
        <v>15</v>
      </c>
      <c r="G65" t="s">
        <v>1085</v>
      </c>
      <c r="H65" t="s">
        <v>1065</v>
      </c>
      <c r="K65" t="s">
        <v>91</v>
      </c>
      <c r="L65" t="s">
        <v>17</v>
      </c>
      <c r="M65" t="s">
        <v>21</v>
      </c>
      <c r="N65" s="4">
        <v>210700</v>
      </c>
      <c r="O65" s="4">
        <v>704</v>
      </c>
      <c r="P65" s="4">
        <v>94625</v>
      </c>
      <c r="Q65" s="4">
        <v>180681</v>
      </c>
      <c r="R65" s="4">
        <v>3</v>
      </c>
      <c r="S65" s="3">
        <v>6341.8793009999999</v>
      </c>
      <c r="T65" s="3">
        <f t="shared" si="0"/>
        <v>2113.9597669999998</v>
      </c>
      <c r="U65" s="5">
        <f t="shared" si="4"/>
        <v>4.261363636363636E-3</v>
      </c>
      <c r="V65" s="5">
        <f t="shared" si="1"/>
        <v>3.3412434741338396E-3</v>
      </c>
      <c r="W65" s="3">
        <f t="shared" si="6"/>
        <v>9.0083512798295455</v>
      </c>
      <c r="X65" s="3">
        <f t="shared" si="7"/>
        <v>30.099094926435694</v>
      </c>
      <c r="Y65" s="7">
        <f t="shared" si="5"/>
        <v>0.52371306335475232</v>
      </c>
    </row>
    <row r="66" spans="1:25" x14ac:dyDescent="0.25">
      <c r="A66" t="s">
        <v>50</v>
      </c>
      <c r="B66" t="s">
        <v>111</v>
      </c>
      <c r="C66" t="s">
        <v>147</v>
      </c>
      <c r="D66" t="s">
        <v>162</v>
      </c>
      <c r="E66" t="s">
        <v>14</v>
      </c>
      <c r="F66" t="s">
        <v>44</v>
      </c>
      <c r="G66" t="s">
        <v>1086</v>
      </c>
      <c r="H66" t="s">
        <v>1063</v>
      </c>
      <c r="K66" t="s">
        <v>163</v>
      </c>
      <c r="L66" t="s">
        <v>25</v>
      </c>
      <c r="M66" t="s">
        <v>21</v>
      </c>
      <c r="N66" s="4">
        <v>11697</v>
      </c>
      <c r="O66" s="4">
        <v>64</v>
      </c>
      <c r="P66" s="4">
        <v>6761</v>
      </c>
      <c r="Q66" s="4">
        <v>10783</v>
      </c>
      <c r="R66" s="4">
        <v>3</v>
      </c>
      <c r="S66" s="3">
        <v>5218.0702309999997</v>
      </c>
      <c r="T66" s="3">
        <f t="shared" ref="T66:T129" si="8">S66/R66</f>
        <v>1739.3567436666665</v>
      </c>
      <c r="U66" s="5">
        <f t="shared" si="4"/>
        <v>4.6875E-2</v>
      </c>
      <c r="V66" s="5">
        <f t="shared" ref="V66:V129" si="9">O66/N66</f>
        <v>5.4714884158331197E-3</v>
      </c>
      <c r="W66" s="3">
        <f t="shared" ref="W66:W129" si="10">S66/O66</f>
        <v>81.532347359374995</v>
      </c>
      <c r="X66" s="3">
        <f t="shared" ref="X66:X129" si="11">(S66/N66)*1000</f>
        <v>446.10329409250232</v>
      </c>
      <c r="Y66" s="7">
        <f t="shared" si="5"/>
        <v>0.62700547157562836</v>
      </c>
    </row>
    <row r="67" spans="1:25" x14ac:dyDescent="0.25">
      <c r="A67" t="s">
        <v>50</v>
      </c>
      <c r="B67" t="s">
        <v>69</v>
      </c>
      <c r="C67" t="s">
        <v>70</v>
      </c>
      <c r="D67" t="s">
        <v>164</v>
      </c>
      <c r="E67" t="s">
        <v>19</v>
      </c>
      <c r="F67" t="s">
        <v>15</v>
      </c>
      <c r="G67" t="s">
        <v>1078</v>
      </c>
      <c r="H67" t="s">
        <v>1065</v>
      </c>
      <c r="K67" t="s">
        <v>165</v>
      </c>
      <c r="L67" t="s">
        <v>17</v>
      </c>
      <c r="M67" t="s">
        <v>21</v>
      </c>
      <c r="N67" s="4">
        <v>8068</v>
      </c>
      <c r="O67" s="4">
        <v>10</v>
      </c>
      <c r="P67" s="4">
        <v>5545</v>
      </c>
      <c r="Q67" s="4">
        <v>7554</v>
      </c>
      <c r="R67" s="4">
        <v>1</v>
      </c>
      <c r="S67" s="3">
        <v>5995.0410019999999</v>
      </c>
      <c r="T67" s="3">
        <f t="shared" si="8"/>
        <v>5995.0410019999999</v>
      </c>
      <c r="U67" s="5">
        <f t="shared" ref="U67:U130" si="12">R67/O67</f>
        <v>0.1</v>
      </c>
      <c r="V67" s="5">
        <f t="shared" si="9"/>
        <v>1.2394645513138325E-3</v>
      </c>
      <c r="W67" s="3">
        <f t="shared" si="10"/>
        <v>599.50410020000004</v>
      </c>
      <c r="X67" s="3">
        <f t="shared" si="11"/>
        <v>743.06408056519581</v>
      </c>
      <c r="Y67" s="7">
        <f t="shared" ref="Y67:Y130" si="13">P67/Q67</f>
        <v>0.73404818639131586</v>
      </c>
    </row>
    <row r="68" spans="1:25" x14ac:dyDescent="0.25">
      <c r="A68" t="s">
        <v>50</v>
      </c>
      <c r="B68" t="s">
        <v>111</v>
      </c>
      <c r="C68" t="s">
        <v>166</v>
      </c>
      <c r="E68" t="s">
        <v>14</v>
      </c>
      <c r="F68" t="s">
        <v>26</v>
      </c>
      <c r="G68" t="s">
        <v>1062</v>
      </c>
      <c r="H68" t="s">
        <v>1063</v>
      </c>
      <c r="K68" t="s">
        <v>167</v>
      </c>
      <c r="L68" t="s">
        <v>17</v>
      </c>
      <c r="M68" t="s">
        <v>29</v>
      </c>
      <c r="N68" s="4">
        <v>102958</v>
      </c>
      <c r="O68" s="4">
        <v>320</v>
      </c>
      <c r="P68" s="4">
        <v>86884</v>
      </c>
      <c r="Q68" s="4">
        <v>94687</v>
      </c>
      <c r="R68" s="4">
        <v>12</v>
      </c>
      <c r="S68" s="3">
        <v>6624.2211749999997</v>
      </c>
      <c r="T68" s="3">
        <f t="shared" si="8"/>
        <v>552.01843124999994</v>
      </c>
      <c r="U68" s="5">
        <f t="shared" si="12"/>
        <v>3.7499999999999999E-2</v>
      </c>
      <c r="V68" s="5">
        <f t="shared" si="9"/>
        <v>3.1080634821966237E-3</v>
      </c>
      <c r="W68" s="3">
        <f t="shared" si="10"/>
        <v>20.700691171875</v>
      </c>
      <c r="X68" s="3">
        <f t="shared" si="11"/>
        <v>64.339062287534716</v>
      </c>
      <c r="Y68" s="7">
        <f t="shared" si="13"/>
        <v>0.91759164404828542</v>
      </c>
    </row>
    <row r="69" spans="1:25" x14ac:dyDescent="0.25">
      <c r="A69" t="s">
        <v>50</v>
      </c>
      <c r="B69" t="s">
        <v>69</v>
      </c>
      <c r="C69" t="s">
        <v>86</v>
      </c>
      <c r="D69" t="s">
        <v>168</v>
      </c>
      <c r="E69" t="s">
        <v>14</v>
      </c>
      <c r="F69" t="s">
        <v>33</v>
      </c>
      <c r="G69" t="s">
        <v>1066</v>
      </c>
      <c r="H69" t="s">
        <v>1067</v>
      </c>
      <c r="K69" t="s">
        <v>169</v>
      </c>
      <c r="L69" t="s">
        <v>25</v>
      </c>
      <c r="M69" t="s">
        <v>29</v>
      </c>
      <c r="N69" s="4">
        <v>99205</v>
      </c>
      <c r="O69" s="4">
        <v>230</v>
      </c>
      <c r="P69" s="4">
        <v>49240</v>
      </c>
      <c r="Q69" s="4">
        <v>72687</v>
      </c>
      <c r="R69" s="4">
        <v>21</v>
      </c>
      <c r="S69" s="3">
        <v>6185.0024860000003</v>
      </c>
      <c r="T69" s="3">
        <f t="shared" si="8"/>
        <v>294.52392790476193</v>
      </c>
      <c r="U69" s="5">
        <f t="shared" si="12"/>
        <v>9.1304347826086957E-2</v>
      </c>
      <c r="V69" s="5">
        <f t="shared" si="9"/>
        <v>2.3184315306688172E-3</v>
      </c>
      <c r="W69" s="3">
        <f t="shared" si="10"/>
        <v>26.891315156521742</v>
      </c>
      <c r="X69" s="3">
        <f t="shared" si="11"/>
        <v>62.34567296003226</v>
      </c>
      <c r="Y69" s="7">
        <f t="shared" si="13"/>
        <v>0.677425124162505</v>
      </c>
    </row>
    <row r="70" spans="1:25" x14ac:dyDescent="0.25">
      <c r="A70" t="s">
        <v>50</v>
      </c>
      <c r="B70" t="s">
        <v>69</v>
      </c>
      <c r="C70" t="s">
        <v>76</v>
      </c>
      <c r="D70" t="s">
        <v>170</v>
      </c>
      <c r="E70" t="s">
        <v>19</v>
      </c>
      <c r="F70" t="s">
        <v>33</v>
      </c>
      <c r="G70" t="s">
        <v>1093</v>
      </c>
      <c r="H70" t="s">
        <v>1090</v>
      </c>
      <c r="K70" t="s">
        <v>171</v>
      </c>
      <c r="L70" t="s">
        <v>17</v>
      </c>
      <c r="M70" t="s">
        <v>21</v>
      </c>
      <c r="N70" s="4">
        <v>81567</v>
      </c>
      <c r="O70" s="4">
        <v>440</v>
      </c>
      <c r="P70" s="4">
        <v>53264</v>
      </c>
      <c r="Q70" s="4">
        <v>68123</v>
      </c>
      <c r="R70" s="4">
        <v>4</v>
      </c>
      <c r="S70" s="3">
        <v>6392.471955</v>
      </c>
      <c r="T70" s="3">
        <f t="shared" si="8"/>
        <v>1598.11798875</v>
      </c>
      <c r="U70" s="5">
        <f t="shared" si="12"/>
        <v>9.0909090909090905E-3</v>
      </c>
      <c r="V70" s="5">
        <f t="shared" si="9"/>
        <v>5.3943383966555099E-3</v>
      </c>
      <c r="W70" s="3">
        <f t="shared" si="10"/>
        <v>14.528345352272726</v>
      </c>
      <c r="X70" s="3">
        <f t="shared" si="11"/>
        <v>78.370811173636397</v>
      </c>
      <c r="Y70" s="7">
        <f t="shared" si="13"/>
        <v>0.78187983500433045</v>
      </c>
    </row>
    <row r="71" spans="1:25" x14ac:dyDescent="0.25">
      <c r="A71" t="s">
        <v>50</v>
      </c>
      <c r="B71" t="s">
        <v>172</v>
      </c>
      <c r="C71" t="s">
        <v>173</v>
      </c>
      <c r="D71" t="s">
        <v>174</v>
      </c>
      <c r="E71" t="s">
        <v>23</v>
      </c>
      <c r="F71" t="s">
        <v>26</v>
      </c>
      <c r="G71" t="s">
        <v>1073</v>
      </c>
      <c r="H71" t="s">
        <v>1074</v>
      </c>
      <c r="K71" t="s">
        <v>175</v>
      </c>
      <c r="L71" t="s">
        <v>17</v>
      </c>
      <c r="M71" t="s">
        <v>21</v>
      </c>
      <c r="N71" s="4">
        <v>14137</v>
      </c>
      <c r="O71" s="4">
        <v>44</v>
      </c>
      <c r="P71" s="4">
        <v>9300</v>
      </c>
      <c r="Q71" s="4">
        <v>13110</v>
      </c>
      <c r="R71" s="4">
        <v>8</v>
      </c>
      <c r="S71" s="3">
        <v>6345.4603379999999</v>
      </c>
      <c r="T71" s="3">
        <f t="shared" si="8"/>
        <v>793.18254224999998</v>
      </c>
      <c r="U71" s="5">
        <f t="shared" si="12"/>
        <v>0.18181818181818182</v>
      </c>
      <c r="V71" s="5">
        <f t="shared" si="9"/>
        <v>3.1124000848836387E-3</v>
      </c>
      <c r="W71" s="3">
        <f t="shared" si="10"/>
        <v>144.21500768181818</v>
      </c>
      <c r="X71" s="3">
        <f t="shared" si="11"/>
        <v>448.85480215038547</v>
      </c>
      <c r="Y71" s="7">
        <f t="shared" si="13"/>
        <v>0.70938215102974833</v>
      </c>
    </row>
    <row r="72" spans="1:25" x14ac:dyDescent="0.25">
      <c r="A72" t="s">
        <v>50</v>
      </c>
      <c r="B72" t="s">
        <v>172</v>
      </c>
      <c r="C72" t="s">
        <v>176</v>
      </c>
      <c r="E72" t="s">
        <v>23</v>
      </c>
      <c r="F72" t="s">
        <v>15</v>
      </c>
      <c r="G72" t="s">
        <v>1062</v>
      </c>
      <c r="H72" t="s">
        <v>1063</v>
      </c>
      <c r="K72" t="s">
        <v>177</v>
      </c>
      <c r="L72" t="s">
        <v>89</v>
      </c>
      <c r="M72" t="s">
        <v>21</v>
      </c>
      <c r="N72" s="4">
        <v>10565</v>
      </c>
      <c r="O72" s="4">
        <v>66</v>
      </c>
      <c r="P72" s="4">
        <v>6248</v>
      </c>
      <c r="Q72" s="4">
        <v>10141</v>
      </c>
      <c r="R72" s="4">
        <v>9</v>
      </c>
      <c r="S72" s="3">
        <v>6236.1130940000003</v>
      </c>
      <c r="T72" s="3">
        <f t="shared" si="8"/>
        <v>692.90145488888891</v>
      </c>
      <c r="U72" s="5">
        <f t="shared" si="12"/>
        <v>0.13636363636363635</v>
      </c>
      <c r="V72" s="5">
        <f t="shared" si="9"/>
        <v>6.2470421202082344E-3</v>
      </c>
      <c r="W72" s="3">
        <f t="shared" si="10"/>
        <v>94.486562030303034</v>
      </c>
      <c r="X72" s="3">
        <f t="shared" si="11"/>
        <v>590.2615327969711</v>
      </c>
      <c r="Y72" s="7">
        <f t="shared" si="13"/>
        <v>0.61611280938763435</v>
      </c>
    </row>
    <row r="73" spans="1:25" x14ac:dyDescent="0.25">
      <c r="A73" t="s">
        <v>50</v>
      </c>
      <c r="B73" t="s">
        <v>172</v>
      </c>
      <c r="C73" t="s">
        <v>178</v>
      </c>
      <c r="E73" t="s">
        <v>19</v>
      </c>
      <c r="F73" t="s">
        <v>33</v>
      </c>
      <c r="G73" t="s">
        <v>1094</v>
      </c>
      <c r="H73" t="s">
        <v>1095</v>
      </c>
      <c r="K73" t="s">
        <v>179</v>
      </c>
      <c r="L73" t="s">
        <v>17</v>
      </c>
      <c r="M73" t="s">
        <v>21</v>
      </c>
      <c r="N73" s="4">
        <v>14509</v>
      </c>
      <c r="O73" s="4">
        <v>90</v>
      </c>
      <c r="P73" s="4">
        <v>866</v>
      </c>
      <c r="Q73" s="4">
        <v>13268</v>
      </c>
      <c r="R73" s="4">
        <v>8</v>
      </c>
      <c r="S73" s="3">
        <v>5521.1891299999997</v>
      </c>
      <c r="T73" s="3">
        <f t="shared" si="8"/>
        <v>690.14864124999997</v>
      </c>
      <c r="U73" s="5">
        <f t="shared" si="12"/>
        <v>8.8888888888888892E-2</v>
      </c>
      <c r="V73" s="5">
        <f t="shared" si="9"/>
        <v>6.2030463850024121E-3</v>
      </c>
      <c r="W73" s="3">
        <f t="shared" si="10"/>
        <v>61.346545888888883</v>
      </c>
      <c r="X73" s="3">
        <f t="shared" si="11"/>
        <v>380.53546970845679</v>
      </c>
      <c r="Y73" s="7">
        <f t="shared" si="13"/>
        <v>6.52698221284293E-2</v>
      </c>
    </row>
    <row r="74" spans="1:25" x14ac:dyDescent="0.25">
      <c r="A74" t="s">
        <v>50</v>
      </c>
      <c r="B74" t="s">
        <v>172</v>
      </c>
      <c r="C74" t="s">
        <v>180</v>
      </c>
      <c r="E74" t="s">
        <v>14</v>
      </c>
      <c r="F74" t="s">
        <v>15</v>
      </c>
      <c r="G74" t="s">
        <v>1070</v>
      </c>
      <c r="H74" t="s">
        <v>1071</v>
      </c>
      <c r="K74" t="s">
        <v>181</v>
      </c>
      <c r="L74" t="s">
        <v>17</v>
      </c>
      <c r="M74" t="s">
        <v>29</v>
      </c>
      <c r="N74" s="4">
        <v>26415</v>
      </c>
      <c r="O74" s="4">
        <v>60</v>
      </c>
      <c r="P74" s="4">
        <v>13791</v>
      </c>
      <c r="Q74" s="4">
        <v>25315</v>
      </c>
      <c r="R74" s="4">
        <v>11</v>
      </c>
      <c r="S74" s="3">
        <v>6450.9186369999998</v>
      </c>
      <c r="T74" s="3">
        <f t="shared" si="8"/>
        <v>586.44714881818174</v>
      </c>
      <c r="U74" s="5">
        <f t="shared" si="12"/>
        <v>0.18333333333333332</v>
      </c>
      <c r="V74" s="5">
        <f t="shared" si="9"/>
        <v>2.2714366837024418E-3</v>
      </c>
      <c r="W74" s="3">
        <f t="shared" si="10"/>
        <v>107.51531061666667</v>
      </c>
      <c r="X74" s="3">
        <f t="shared" si="11"/>
        <v>244.21422059435926</v>
      </c>
      <c r="Y74" s="7">
        <f t="shared" si="13"/>
        <v>0.54477582460991503</v>
      </c>
    </row>
    <row r="75" spans="1:25" x14ac:dyDescent="0.25">
      <c r="A75" t="s">
        <v>50</v>
      </c>
      <c r="B75" t="s">
        <v>172</v>
      </c>
      <c r="C75" t="s">
        <v>182</v>
      </c>
      <c r="E75" t="s">
        <v>14</v>
      </c>
      <c r="F75" t="s">
        <v>44</v>
      </c>
      <c r="G75" t="s">
        <v>1070</v>
      </c>
      <c r="H75" t="s">
        <v>1071</v>
      </c>
      <c r="K75" t="s">
        <v>91</v>
      </c>
      <c r="L75" t="s">
        <v>17</v>
      </c>
      <c r="M75" t="s">
        <v>21</v>
      </c>
      <c r="N75" s="4">
        <v>100991</v>
      </c>
      <c r="O75" s="4">
        <v>286</v>
      </c>
      <c r="P75" s="4">
        <v>56138</v>
      </c>
      <c r="Q75" s="4">
        <v>88836</v>
      </c>
      <c r="R75" s="4">
        <v>9</v>
      </c>
      <c r="S75" s="3">
        <v>4652.3676290000003</v>
      </c>
      <c r="T75" s="3">
        <f t="shared" si="8"/>
        <v>516.92973655555556</v>
      </c>
      <c r="U75" s="5">
        <f t="shared" si="12"/>
        <v>3.1468531468531472E-2</v>
      </c>
      <c r="V75" s="5">
        <f t="shared" si="9"/>
        <v>2.8319355190066444E-3</v>
      </c>
      <c r="W75" s="3">
        <f t="shared" si="10"/>
        <v>16.267019681818184</v>
      </c>
      <c r="X75" s="3">
        <f t="shared" si="11"/>
        <v>46.067150825321072</v>
      </c>
      <c r="Y75" s="7">
        <f t="shared" si="13"/>
        <v>0.63192849745598634</v>
      </c>
    </row>
    <row r="76" spans="1:25" x14ac:dyDescent="0.25">
      <c r="A76" t="s">
        <v>50</v>
      </c>
      <c r="B76" t="s">
        <v>172</v>
      </c>
      <c r="C76" t="s">
        <v>183</v>
      </c>
      <c r="E76" t="s">
        <v>23</v>
      </c>
      <c r="F76" t="s">
        <v>44</v>
      </c>
      <c r="G76" t="s">
        <v>1078</v>
      </c>
      <c r="H76" t="s">
        <v>1065</v>
      </c>
      <c r="K76" t="s">
        <v>184</v>
      </c>
      <c r="L76" t="s">
        <v>79</v>
      </c>
      <c r="M76" t="s">
        <v>21</v>
      </c>
      <c r="N76" s="4">
        <v>140359</v>
      </c>
      <c r="O76" s="4">
        <v>352</v>
      </c>
      <c r="P76" s="4">
        <v>76130</v>
      </c>
      <c r="Q76" s="4">
        <v>133578</v>
      </c>
      <c r="R76" s="4">
        <v>26</v>
      </c>
      <c r="S76" s="3">
        <v>6094.6667989999996</v>
      </c>
      <c r="T76" s="3">
        <f t="shared" si="8"/>
        <v>234.41026149999999</v>
      </c>
      <c r="U76" s="5">
        <f t="shared" si="12"/>
        <v>7.3863636363636367E-2</v>
      </c>
      <c r="V76" s="5">
        <f t="shared" si="9"/>
        <v>2.507854857900099E-3</v>
      </c>
      <c r="W76" s="3">
        <f t="shared" si="10"/>
        <v>17.314394315340909</v>
      </c>
      <c r="X76" s="3">
        <f t="shared" si="11"/>
        <v>43.42198789532555</v>
      </c>
      <c r="Y76" s="7">
        <f t="shared" si="13"/>
        <v>0.56992917995478298</v>
      </c>
    </row>
    <row r="77" spans="1:25" x14ac:dyDescent="0.25">
      <c r="A77" t="s">
        <v>50</v>
      </c>
      <c r="B77" t="s">
        <v>172</v>
      </c>
      <c r="C77" t="s">
        <v>185</v>
      </c>
      <c r="E77" t="s">
        <v>14</v>
      </c>
      <c r="F77" t="s">
        <v>44</v>
      </c>
      <c r="G77" t="s">
        <v>1066</v>
      </c>
      <c r="H77" t="s">
        <v>1067</v>
      </c>
      <c r="K77" t="s">
        <v>186</v>
      </c>
      <c r="L77" t="s">
        <v>17</v>
      </c>
      <c r="M77" t="s">
        <v>21</v>
      </c>
      <c r="N77" s="4">
        <v>17770</v>
      </c>
      <c r="O77" s="4">
        <v>70</v>
      </c>
      <c r="P77" s="4">
        <v>12771</v>
      </c>
      <c r="Q77" s="4">
        <v>16749</v>
      </c>
      <c r="R77" s="4">
        <v>9</v>
      </c>
      <c r="S77" s="3">
        <v>5195.2346770000004</v>
      </c>
      <c r="T77" s="3">
        <f t="shared" si="8"/>
        <v>577.24829744444446</v>
      </c>
      <c r="U77" s="5">
        <f t="shared" si="12"/>
        <v>0.12857142857142856</v>
      </c>
      <c r="V77" s="5">
        <f t="shared" si="9"/>
        <v>3.9392234102419805E-3</v>
      </c>
      <c r="W77" s="3">
        <f t="shared" si="10"/>
        <v>74.217638242857149</v>
      </c>
      <c r="X77" s="3">
        <f t="shared" si="11"/>
        <v>292.35985801913341</v>
      </c>
      <c r="Y77" s="7">
        <f t="shared" si="13"/>
        <v>0.76249328318108545</v>
      </c>
    </row>
    <row r="78" spans="1:25" x14ac:dyDescent="0.25">
      <c r="A78" t="s">
        <v>50</v>
      </c>
      <c r="B78" t="s">
        <v>172</v>
      </c>
      <c r="C78" t="s">
        <v>172</v>
      </c>
      <c r="E78" t="s">
        <v>23</v>
      </c>
      <c r="F78" t="s">
        <v>15</v>
      </c>
      <c r="G78" t="s">
        <v>1066</v>
      </c>
      <c r="H78" t="s">
        <v>1067</v>
      </c>
      <c r="K78" t="s">
        <v>49</v>
      </c>
      <c r="L78" t="s">
        <v>89</v>
      </c>
      <c r="M78" t="s">
        <v>21</v>
      </c>
      <c r="N78" s="4">
        <v>11789</v>
      </c>
      <c r="O78" s="4">
        <v>20</v>
      </c>
      <c r="P78" s="4">
        <v>6187</v>
      </c>
      <c r="Q78" s="4">
        <v>10028</v>
      </c>
      <c r="R78" s="4">
        <v>3</v>
      </c>
      <c r="S78" s="3">
        <v>6505.5264559999996</v>
      </c>
      <c r="T78" s="3">
        <f t="shared" si="8"/>
        <v>2168.5088186666667</v>
      </c>
      <c r="U78" s="5">
        <f t="shared" si="12"/>
        <v>0.15</v>
      </c>
      <c r="V78" s="5">
        <f t="shared" si="9"/>
        <v>1.6964967342437867E-3</v>
      </c>
      <c r="W78" s="3">
        <f t="shared" si="10"/>
        <v>325.2763228</v>
      </c>
      <c r="X78" s="3">
        <f t="shared" si="11"/>
        <v>551.83021935702766</v>
      </c>
      <c r="Y78" s="7">
        <f t="shared" si="13"/>
        <v>0.6169724770642202</v>
      </c>
    </row>
    <row r="79" spans="1:25" x14ac:dyDescent="0.25">
      <c r="A79" t="s">
        <v>50</v>
      </c>
      <c r="B79" t="s">
        <v>172</v>
      </c>
      <c r="C79" t="s">
        <v>187</v>
      </c>
      <c r="E79" t="s">
        <v>23</v>
      </c>
      <c r="F79" t="s">
        <v>15</v>
      </c>
      <c r="G79" t="s">
        <v>1086</v>
      </c>
      <c r="H79" t="s">
        <v>1063</v>
      </c>
      <c r="K79" t="s">
        <v>188</v>
      </c>
      <c r="L79" t="s">
        <v>68</v>
      </c>
      <c r="M79" t="s">
        <v>21</v>
      </c>
      <c r="N79" s="4">
        <v>9560</v>
      </c>
      <c r="O79" s="4">
        <v>98</v>
      </c>
      <c r="P79" s="4">
        <v>3076</v>
      </c>
      <c r="Q79" s="4">
        <v>6252</v>
      </c>
      <c r="R79" s="4">
        <v>17</v>
      </c>
      <c r="S79" s="3">
        <v>6420.2181229999997</v>
      </c>
      <c r="T79" s="3">
        <f t="shared" si="8"/>
        <v>377.65988958823527</v>
      </c>
      <c r="U79" s="5">
        <f t="shared" si="12"/>
        <v>0.17346938775510204</v>
      </c>
      <c r="V79" s="5">
        <f t="shared" si="9"/>
        <v>1.0251046025104602E-2</v>
      </c>
      <c r="W79" s="3">
        <f t="shared" si="10"/>
        <v>65.512429826530607</v>
      </c>
      <c r="X79" s="3">
        <f t="shared" si="11"/>
        <v>671.57093336820083</v>
      </c>
      <c r="Y79" s="7">
        <f t="shared" si="13"/>
        <v>0.49200255918106206</v>
      </c>
    </row>
    <row r="80" spans="1:25" x14ac:dyDescent="0.25">
      <c r="A80" t="s">
        <v>50</v>
      </c>
      <c r="B80" t="s">
        <v>189</v>
      </c>
      <c r="C80" t="s">
        <v>190</v>
      </c>
      <c r="E80" t="s">
        <v>23</v>
      </c>
      <c r="F80" t="s">
        <v>33</v>
      </c>
      <c r="G80" t="s">
        <v>1070</v>
      </c>
      <c r="H80" t="s">
        <v>1071</v>
      </c>
      <c r="K80" t="s">
        <v>191</v>
      </c>
      <c r="L80" t="s">
        <v>17</v>
      </c>
      <c r="M80" t="s">
        <v>21</v>
      </c>
      <c r="N80" s="4">
        <v>562103</v>
      </c>
      <c r="O80" s="4">
        <v>1450</v>
      </c>
      <c r="P80" s="4">
        <v>340616</v>
      </c>
      <c r="Q80" s="4">
        <v>488921</v>
      </c>
      <c r="R80" s="4">
        <v>8</v>
      </c>
      <c r="S80" s="3">
        <v>1733.8301719999999</v>
      </c>
      <c r="T80" s="3">
        <f t="shared" si="8"/>
        <v>216.72877149999999</v>
      </c>
      <c r="U80" s="5">
        <f t="shared" si="12"/>
        <v>5.5172413793103444E-3</v>
      </c>
      <c r="V80" s="5">
        <f t="shared" si="9"/>
        <v>2.5795984010047982E-3</v>
      </c>
      <c r="W80" s="3">
        <f t="shared" si="10"/>
        <v>1.1957449462068965</v>
      </c>
      <c r="X80" s="3">
        <f t="shared" si="11"/>
        <v>3.0845417512448785</v>
      </c>
      <c r="Y80" s="7">
        <f t="shared" si="13"/>
        <v>0.69666878698194601</v>
      </c>
    </row>
    <row r="81" spans="1:25" x14ac:dyDescent="0.25">
      <c r="A81" t="s">
        <v>50</v>
      </c>
      <c r="B81" t="s">
        <v>69</v>
      </c>
      <c r="C81" t="s">
        <v>70</v>
      </c>
      <c r="D81" t="s">
        <v>192</v>
      </c>
      <c r="E81" t="s">
        <v>19</v>
      </c>
      <c r="F81" t="s">
        <v>44</v>
      </c>
      <c r="G81" t="s">
        <v>1086</v>
      </c>
      <c r="H81" t="s">
        <v>1063</v>
      </c>
      <c r="K81" t="s">
        <v>184</v>
      </c>
      <c r="L81" t="s">
        <v>17</v>
      </c>
      <c r="M81" t="s">
        <v>21</v>
      </c>
      <c r="N81" s="4">
        <v>14038</v>
      </c>
      <c r="O81" s="4">
        <v>63</v>
      </c>
      <c r="P81" s="4">
        <v>1600</v>
      </c>
      <c r="Q81" s="4">
        <v>11345</v>
      </c>
      <c r="R81" s="4">
        <v>8</v>
      </c>
      <c r="S81" s="3">
        <v>6368.8629129999999</v>
      </c>
      <c r="T81" s="3">
        <f t="shared" si="8"/>
        <v>796.10786412499999</v>
      </c>
      <c r="U81" s="5">
        <f t="shared" si="12"/>
        <v>0.12698412698412698</v>
      </c>
      <c r="V81" s="5">
        <f t="shared" si="9"/>
        <v>4.4878187776036475E-3</v>
      </c>
      <c r="W81" s="3">
        <f t="shared" si="10"/>
        <v>101.09306211111111</v>
      </c>
      <c r="X81" s="3">
        <f t="shared" si="11"/>
        <v>453.68734242769625</v>
      </c>
      <c r="Y81" s="7">
        <f t="shared" si="13"/>
        <v>0.14103129131776113</v>
      </c>
    </row>
    <row r="82" spans="1:25" x14ac:dyDescent="0.25">
      <c r="A82" t="s">
        <v>50</v>
      </c>
      <c r="B82" t="s">
        <v>189</v>
      </c>
      <c r="C82" t="s">
        <v>193</v>
      </c>
      <c r="D82" t="s">
        <v>95</v>
      </c>
      <c r="E82" t="s">
        <v>19</v>
      </c>
      <c r="F82" t="s">
        <v>26</v>
      </c>
      <c r="G82" t="s">
        <v>1073</v>
      </c>
      <c r="H82" t="s">
        <v>1074</v>
      </c>
      <c r="K82" t="s">
        <v>194</v>
      </c>
      <c r="L82" t="s">
        <v>25</v>
      </c>
      <c r="M82" t="s">
        <v>21</v>
      </c>
      <c r="N82" s="4">
        <v>17561</v>
      </c>
      <c r="O82" s="4">
        <v>50</v>
      </c>
      <c r="P82" s="4">
        <v>2960</v>
      </c>
      <c r="Q82" s="4">
        <v>9953</v>
      </c>
      <c r="R82" s="4">
        <v>10</v>
      </c>
      <c r="S82" s="3">
        <v>1519.90401</v>
      </c>
      <c r="T82" s="3">
        <f t="shared" si="8"/>
        <v>151.99040099999999</v>
      </c>
      <c r="U82" s="5">
        <f t="shared" si="12"/>
        <v>0.2</v>
      </c>
      <c r="V82" s="5">
        <f t="shared" si="9"/>
        <v>2.8472182677524061E-3</v>
      </c>
      <c r="W82" s="3">
        <f t="shared" si="10"/>
        <v>30.398080199999999</v>
      </c>
      <c r="X82" s="3">
        <f t="shared" si="11"/>
        <v>86.549969250042707</v>
      </c>
      <c r="Y82" s="7">
        <f t="shared" si="13"/>
        <v>0.29739776951672864</v>
      </c>
    </row>
    <row r="83" spans="1:25" x14ac:dyDescent="0.25">
      <c r="A83" t="s">
        <v>50</v>
      </c>
      <c r="B83" t="s">
        <v>69</v>
      </c>
      <c r="C83" t="s">
        <v>76</v>
      </c>
      <c r="D83" t="s">
        <v>195</v>
      </c>
      <c r="E83" t="s">
        <v>14</v>
      </c>
      <c r="F83" t="s">
        <v>26</v>
      </c>
      <c r="G83" t="s">
        <v>1078</v>
      </c>
      <c r="H83" t="s">
        <v>1065</v>
      </c>
      <c r="K83" t="s">
        <v>196</v>
      </c>
      <c r="L83" t="s">
        <v>17</v>
      </c>
      <c r="M83" t="s">
        <v>21</v>
      </c>
      <c r="N83" s="4">
        <v>8097</v>
      </c>
      <c r="O83" s="4">
        <v>20</v>
      </c>
      <c r="P83" s="4">
        <v>4942</v>
      </c>
      <c r="Q83" s="4">
        <v>6868</v>
      </c>
      <c r="R83" s="4">
        <v>1</v>
      </c>
      <c r="S83" s="3">
        <v>6177.4645449999998</v>
      </c>
      <c r="T83" s="3">
        <f t="shared" si="8"/>
        <v>6177.4645449999998</v>
      </c>
      <c r="U83" s="5">
        <f t="shared" si="12"/>
        <v>0.05</v>
      </c>
      <c r="V83" s="5">
        <f t="shared" si="9"/>
        <v>2.4700506360380388E-3</v>
      </c>
      <c r="W83" s="3">
        <f t="shared" si="10"/>
        <v>308.87322725000001</v>
      </c>
      <c r="X83" s="3">
        <f t="shared" si="11"/>
        <v>762.93251142398424</v>
      </c>
      <c r="Y83" s="7">
        <f t="shared" si="13"/>
        <v>0.7195690157251019</v>
      </c>
    </row>
    <row r="84" spans="1:25" x14ac:dyDescent="0.25">
      <c r="A84" t="s">
        <v>50</v>
      </c>
      <c r="B84" t="s">
        <v>69</v>
      </c>
      <c r="C84" t="s">
        <v>86</v>
      </c>
      <c r="D84" t="s">
        <v>197</v>
      </c>
      <c r="E84" t="s">
        <v>14</v>
      </c>
      <c r="F84" t="s">
        <v>33</v>
      </c>
      <c r="G84" t="s">
        <v>1070</v>
      </c>
      <c r="H84" t="s">
        <v>1071</v>
      </c>
      <c r="K84" t="s">
        <v>42</v>
      </c>
      <c r="L84" t="s">
        <v>68</v>
      </c>
      <c r="M84" t="s">
        <v>29</v>
      </c>
      <c r="N84" s="4">
        <v>25889</v>
      </c>
      <c r="O84" s="4">
        <v>110</v>
      </c>
      <c r="P84" s="4">
        <v>18382</v>
      </c>
      <c r="Q84" s="4">
        <v>23328</v>
      </c>
      <c r="R84" s="4">
        <v>15</v>
      </c>
      <c r="S84" s="3">
        <v>4977.7847940000001</v>
      </c>
      <c r="T84" s="3">
        <f t="shared" si="8"/>
        <v>331.85231959999999</v>
      </c>
      <c r="U84" s="5">
        <f t="shared" si="12"/>
        <v>0.13636363636363635</v>
      </c>
      <c r="V84" s="5">
        <f t="shared" si="9"/>
        <v>4.248908802966511E-3</v>
      </c>
      <c r="W84" s="3">
        <f t="shared" si="10"/>
        <v>45.252589036363638</v>
      </c>
      <c r="X84" s="3">
        <f t="shared" si="11"/>
        <v>192.27412391363129</v>
      </c>
      <c r="Y84" s="7">
        <f t="shared" si="13"/>
        <v>0.78798010973936905</v>
      </c>
    </row>
    <row r="85" spans="1:25" x14ac:dyDescent="0.25">
      <c r="A85" t="s">
        <v>50</v>
      </c>
      <c r="B85" t="s">
        <v>69</v>
      </c>
      <c r="C85" t="s">
        <v>86</v>
      </c>
      <c r="D85" t="s">
        <v>198</v>
      </c>
      <c r="E85" t="s">
        <v>19</v>
      </c>
      <c r="F85" t="s">
        <v>44</v>
      </c>
      <c r="G85" t="s">
        <v>1070</v>
      </c>
      <c r="H85" t="s">
        <v>1071</v>
      </c>
      <c r="K85" t="s">
        <v>102</v>
      </c>
      <c r="L85" t="s">
        <v>17</v>
      </c>
      <c r="M85" t="s">
        <v>21</v>
      </c>
      <c r="N85" s="4">
        <v>25539</v>
      </c>
      <c r="O85" s="4">
        <v>78</v>
      </c>
      <c r="P85" s="4">
        <v>12130</v>
      </c>
      <c r="Q85" s="4">
        <v>24129</v>
      </c>
      <c r="R85" s="4">
        <v>15</v>
      </c>
      <c r="S85" s="3">
        <v>4804.4932330000001</v>
      </c>
      <c r="T85" s="3">
        <f t="shared" si="8"/>
        <v>320.29954886666667</v>
      </c>
      <c r="U85" s="5">
        <f t="shared" si="12"/>
        <v>0.19230769230769232</v>
      </c>
      <c r="V85" s="5">
        <f t="shared" si="9"/>
        <v>3.0541524726888287E-3</v>
      </c>
      <c r="W85" s="3">
        <f t="shared" si="10"/>
        <v>61.596067089743592</v>
      </c>
      <c r="X85" s="3">
        <f t="shared" si="11"/>
        <v>188.12378061004739</v>
      </c>
      <c r="Y85" s="7">
        <f t="shared" si="13"/>
        <v>0.50271457582162538</v>
      </c>
    </row>
    <row r="86" spans="1:25" x14ac:dyDescent="0.25">
      <c r="A86" t="s">
        <v>50</v>
      </c>
      <c r="B86" t="s">
        <v>69</v>
      </c>
      <c r="C86" t="s">
        <v>70</v>
      </c>
      <c r="D86" t="s">
        <v>199</v>
      </c>
      <c r="E86" t="s">
        <v>14</v>
      </c>
      <c r="F86" t="s">
        <v>15</v>
      </c>
      <c r="G86" t="s">
        <v>1073</v>
      </c>
      <c r="H86" t="s">
        <v>1074</v>
      </c>
      <c r="K86" t="s">
        <v>200</v>
      </c>
      <c r="L86" t="s">
        <v>115</v>
      </c>
      <c r="M86" t="s">
        <v>21</v>
      </c>
      <c r="N86" s="4">
        <v>8000</v>
      </c>
      <c r="O86" s="4">
        <v>10</v>
      </c>
      <c r="P86" s="4">
        <v>4400</v>
      </c>
      <c r="Q86" s="4">
        <v>6379</v>
      </c>
      <c r="R86" s="4">
        <v>1</v>
      </c>
      <c r="S86" s="3">
        <v>6159.3669019999998</v>
      </c>
      <c r="T86" s="3">
        <f t="shared" si="8"/>
        <v>6159.3669019999998</v>
      </c>
      <c r="U86" s="5">
        <f t="shared" si="12"/>
        <v>0.1</v>
      </c>
      <c r="V86" s="5">
        <f t="shared" si="9"/>
        <v>1.25E-3</v>
      </c>
      <c r="W86" s="3">
        <f t="shared" si="10"/>
        <v>615.93669019999993</v>
      </c>
      <c r="X86" s="3">
        <f t="shared" si="11"/>
        <v>769.92086274999997</v>
      </c>
      <c r="Y86" s="7">
        <f t="shared" si="13"/>
        <v>0.6897632857814705</v>
      </c>
    </row>
    <row r="87" spans="1:25" x14ac:dyDescent="0.25">
      <c r="A87" t="s">
        <v>50</v>
      </c>
      <c r="B87" t="s">
        <v>201</v>
      </c>
      <c r="C87" t="s">
        <v>202</v>
      </c>
      <c r="E87" t="s">
        <v>23</v>
      </c>
      <c r="F87" t="s">
        <v>33</v>
      </c>
      <c r="G87" t="s">
        <v>1062</v>
      </c>
      <c r="H87" t="s">
        <v>1063</v>
      </c>
      <c r="K87" t="s">
        <v>203</v>
      </c>
      <c r="L87" t="s">
        <v>17</v>
      </c>
      <c r="M87" t="s">
        <v>21</v>
      </c>
      <c r="N87" s="4">
        <v>17382</v>
      </c>
      <c r="O87" s="4">
        <v>100</v>
      </c>
      <c r="P87" s="4">
        <v>7411</v>
      </c>
      <c r="Q87" s="4">
        <v>16576</v>
      </c>
      <c r="R87" s="4">
        <v>8</v>
      </c>
      <c r="S87" s="3">
        <v>5797.2199769999997</v>
      </c>
      <c r="T87" s="3">
        <f t="shared" si="8"/>
        <v>724.65249712499997</v>
      </c>
      <c r="U87" s="5">
        <f t="shared" si="12"/>
        <v>0.08</v>
      </c>
      <c r="V87" s="5">
        <f t="shared" si="9"/>
        <v>5.7530778966747211E-3</v>
      </c>
      <c r="W87" s="3">
        <f t="shared" si="10"/>
        <v>57.972199769999996</v>
      </c>
      <c r="X87" s="3">
        <f t="shared" si="11"/>
        <v>333.51858111839834</v>
      </c>
      <c r="Y87" s="7">
        <f t="shared" si="13"/>
        <v>0.44709218146718149</v>
      </c>
    </row>
    <row r="88" spans="1:25" x14ac:dyDescent="0.25">
      <c r="A88" t="s">
        <v>50</v>
      </c>
      <c r="B88" t="s">
        <v>201</v>
      </c>
      <c r="C88" t="s">
        <v>204</v>
      </c>
      <c r="E88" t="s">
        <v>14</v>
      </c>
      <c r="F88" t="s">
        <v>15</v>
      </c>
      <c r="G88" t="s">
        <v>1070</v>
      </c>
      <c r="H88" t="s">
        <v>1071</v>
      </c>
      <c r="K88" t="s">
        <v>205</v>
      </c>
      <c r="L88" t="s">
        <v>68</v>
      </c>
      <c r="M88" t="s">
        <v>29</v>
      </c>
      <c r="N88" s="4">
        <v>17075</v>
      </c>
      <c r="O88" s="4">
        <v>44</v>
      </c>
      <c r="P88" s="4">
        <v>5508</v>
      </c>
      <c r="Q88" s="4">
        <v>11539</v>
      </c>
      <c r="R88" s="4">
        <v>10</v>
      </c>
      <c r="S88" s="3">
        <v>5086.0899600000002</v>
      </c>
      <c r="T88" s="3">
        <f t="shared" si="8"/>
        <v>508.60899600000005</v>
      </c>
      <c r="U88" s="5">
        <f t="shared" si="12"/>
        <v>0.22727272727272727</v>
      </c>
      <c r="V88" s="5">
        <f t="shared" si="9"/>
        <v>2.5768667642752561E-3</v>
      </c>
      <c r="W88" s="3">
        <f t="shared" si="10"/>
        <v>115.59295363636365</v>
      </c>
      <c r="X88" s="3">
        <f t="shared" si="11"/>
        <v>297.8676404099561</v>
      </c>
      <c r="Y88" s="7">
        <f t="shared" si="13"/>
        <v>0.47733772423953547</v>
      </c>
    </row>
    <row r="89" spans="1:25" x14ac:dyDescent="0.25">
      <c r="A89" t="s">
        <v>50</v>
      </c>
      <c r="B89" t="s">
        <v>201</v>
      </c>
      <c r="C89" t="s">
        <v>206</v>
      </c>
      <c r="E89" t="s">
        <v>14</v>
      </c>
      <c r="F89" t="s">
        <v>15</v>
      </c>
      <c r="G89" t="s">
        <v>1096</v>
      </c>
      <c r="H89" t="s">
        <v>1097</v>
      </c>
      <c r="K89" t="s">
        <v>83</v>
      </c>
      <c r="L89" t="s">
        <v>17</v>
      </c>
      <c r="M89" t="s">
        <v>18</v>
      </c>
      <c r="N89" s="4">
        <v>21599</v>
      </c>
      <c r="O89" s="4">
        <v>66</v>
      </c>
      <c r="P89" s="4">
        <v>13600</v>
      </c>
      <c r="Q89" s="4">
        <v>20256</v>
      </c>
      <c r="R89" s="4">
        <v>9</v>
      </c>
      <c r="S89" s="3">
        <v>5551.3874150000001</v>
      </c>
      <c r="T89" s="3">
        <f t="shared" si="8"/>
        <v>616.82082388888887</v>
      </c>
      <c r="U89" s="5">
        <f t="shared" si="12"/>
        <v>0.13636363636363635</v>
      </c>
      <c r="V89" s="5">
        <f t="shared" si="9"/>
        <v>3.0556970230103246E-3</v>
      </c>
      <c r="W89" s="3">
        <f t="shared" si="10"/>
        <v>84.111930530303027</v>
      </c>
      <c r="X89" s="3">
        <f t="shared" si="11"/>
        <v>257.02057572109823</v>
      </c>
      <c r="Y89" s="7">
        <f t="shared" si="13"/>
        <v>0.67140600315955767</v>
      </c>
    </row>
    <row r="90" spans="1:25" x14ac:dyDescent="0.25">
      <c r="A90" t="s">
        <v>50</v>
      </c>
      <c r="B90" t="s">
        <v>201</v>
      </c>
      <c r="C90" t="s">
        <v>207</v>
      </c>
      <c r="E90" t="s">
        <v>14</v>
      </c>
      <c r="F90" t="s">
        <v>15</v>
      </c>
      <c r="G90" t="s">
        <v>1064</v>
      </c>
      <c r="H90" t="s">
        <v>1065</v>
      </c>
      <c r="K90" t="s">
        <v>117</v>
      </c>
      <c r="L90" t="s">
        <v>17</v>
      </c>
      <c r="M90" t="s">
        <v>29</v>
      </c>
      <c r="N90" s="4">
        <v>84460</v>
      </c>
      <c r="O90" s="4">
        <v>209</v>
      </c>
      <c r="P90" s="4">
        <v>13169</v>
      </c>
      <c r="Q90" s="4">
        <v>26688</v>
      </c>
      <c r="R90" s="4">
        <v>1</v>
      </c>
      <c r="S90" s="3">
        <v>4279.230955</v>
      </c>
      <c r="T90" s="3">
        <f t="shared" si="8"/>
        <v>4279.230955</v>
      </c>
      <c r="U90" s="5">
        <f t="shared" si="12"/>
        <v>4.7846889952153108E-3</v>
      </c>
      <c r="V90" s="5">
        <f t="shared" si="9"/>
        <v>2.4745441629173575E-3</v>
      </c>
      <c r="W90" s="3">
        <f t="shared" si="10"/>
        <v>20.474789258373207</v>
      </c>
      <c r="X90" s="3">
        <f t="shared" si="11"/>
        <v>50.665770246270426</v>
      </c>
      <c r="Y90" s="7">
        <f t="shared" si="13"/>
        <v>0.49344274580335734</v>
      </c>
    </row>
    <row r="91" spans="1:25" x14ac:dyDescent="0.25">
      <c r="A91" t="s">
        <v>50</v>
      </c>
      <c r="B91" t="s">
        <v>201</v>
      </c>
      <c r="C91" t="s">
        <v>208</v>
      </c>
      <c r="E91" t="s">
        <v>14</v>
      </c>
      <c r="F91" t="s">
        <v>15</v>
      </c>
      <c r="G91" t="s">
        <v>1066</v>
      </c>
      <c r="H91" t="s">
        <v>1067</v>
      </c>
      <c r="K91" t="s">
        <v>42</v>
      </c>
      <c r="L91" t="s">
        <v>17</v>
      </c>
      <c r="M91" t="s">
        <v>29</v>
      </c>
      <c r="N91" s="4">
        <v>83854</v>
      </c>
      <c r="O91" s="4">
        <v>197</v>
      </c>
      <c r="P91" s="4">
        <v>60626</v>
      </c>
      <c r="Q91" s="4">
        <v>76071</v>
      </c>
      <c r="R91" s="4">
        <v>15</v>
      </c>
      <c r="S91" s="3">
        <v>5783.843758</v>
      </c>
      <c r="T91" s="3">
        <f t="shared" si="8"/>
        <v>385.58958386666666</v>
      </c>
      <c r="U91" s="5">
        <f t="shared" si="12"/>
        <v>7.6142131979695438E-2</v>
      </c>
      <c r="V91" s="5">
        <f t="shared" si="9"/>
        <v>2.3493214396450974E-3</v>
      </c>
      <c r="W91" s="3">
        <f t="shared" si="10"/>
        <v>29.359612984771573</v>
      </c>
      <c r="X91" s="3">
        <f t="shared" si="11"/>
        <v>68.97516824480644</v>
      </c>
      <c r="Y91" s="7">
        <f t="shared" si="13"/>
        <v>0.7969659922966702</v>
      </c>
    </row>
    <row r="92" spans="1:25" x14ac:dyDescent="0.25">
      <c r="A92" t="s">
        <v>50</v>
      </c>
      <c r="B92" t="s">
        <v>201</v>
      </c>
      <c r="C92" t="s">
        <v>104</v>
      </c>
      <c r="E92" t="s">
        <v>14</v>
      </c>
      <c r="F92" t="s">
        <v>15</v>
      </c>
      <c r="G92" t="s">
        <v>1092</v>
      </c>
      <c r="H92" t="s">
        <v>1065</v>
      </c>
      <c r="K92" t="s">
        <v>209</v>
      </c>
      <c r="L92" t="s">
        <v>17</v>
      </c>
      <c r="M92" t="s">
        <v>21</v>
      </c>
      <c r="N92" s="4">
        <v>7789</v>
      </c>
      <c r="O92" s="4">
        <v>30</v>
      </c>
      <c r="P92" s="4">
        <v>4655</v>
      </c>
      <c r="Q92" s="4">
        <v>7434</v>
      </c>
      <c r="R92" s="4">
        <v>1</v>
      </c>
      <c r="S92" s="3">
        <v>6396.8687630000004</v>
      </c>
      <c r="T92" s="3">
        <f t="shared" si="8"/>
        <v>6396.8687630000004</v>
      </c>
      <c r="U92" s="5">
        <f t="shared" si="12"/>
        <v>3.3333333333333333E-2</v>
      </c>
      <c r="V92" s="5">
        <f t="shared" si="9"/>
        <v>3.8515855693927333E-3</v>
      </c>
      <c r="W92" s="3">
        <f t="shared" si="10"/>
        <v>213.22895876666669</v>
      </c>
      <c r="X92" s="3">
        <f t="shared" si="11"/>
        <v>821.26958056233161</v>
      </c>
      <c r="Y92" s="7">
        <f t="shared" si="13"/>
        <v>0.62617702448210921</v>
      </c>
    </row>
    <row r="93" spans="1:25" x14ac:dyDescent="0.25">
      <c r="A93" t="s">
        <v>50</v>
      </c>
      <c r="B93" t="s">
        <v>201</v>
      </c>
      <c r="C93" t="s">
        <v>210</v>
      </c>
      <c r="E93" t="s">
        <v>14</v>
      </c>
      <c r="F93" t="s">
        <v>44</v>
      </c>
      <c r="G93" t="s">
        <v>1070</v>
      </c>
      <c r="H93" t="s">
        <v>1071</v>
      </c>
      <c r="K93" t="s">
        <v>42</v>
      </c>
      <c r="L93" t="s">
        <v>25</v>
      </c>
      <c r="M93" t="s">
        <v>21</v>
      </c>
      <c r="N93" s="4">
        <v>14083</v>
      </c>
      <c r="O93" s="4">
        <v>97</v>
      </c>
      <c r="P93" s="4">
        <v>9945</v>
      </c>
      <c r="Q93" s="4">
        <v>12878</v>
      </c>
      <c r="R93" s="4">
        <v>11</v>
      </c>
      <c r="S93" s="3">
        <v>5979.67</v>
      </c>
      <c r="T93" s="3">
        <f t="shared" si="8"/>
        <v>543.60636363636365</v>
      </c>
      <c r="U93" s="5">
        <f t="shared" si="12"/>
        <v>0.1134020618556701</v>
      </c>
      <c r="V93" s="5">
        <f t="shared" si="9"/>
        <v>6.8877369878577004E-3</v>
      </c>
      <c r="W93" s="3">
        <f t="shared" si="10"/>
        <v>61.646082474226802</v>
      </c>
      <c r="X93" s="3">
        <f t="shared" si="11"/>
        <v>424.60200241425832</v>
      </c>
      <c r="Y93" s="7">
        <f t="shared" si="13"/>
        <v>0.77224724336077033</v>
      </c>
    </row>
    <row r="94" spans="1:25" x14ac:dyDescent="0.25">
      <c r="A94" t="s">
        <v>50</v>
      </c>
      <c r="B94" t="s">
        <v>201</v>
      </c>
      <c r="C94" t="s">
        <v>211</v>
      </c>
      <c r="E94" t="s">
        <v>19</v>
      </c>
      <c r="F94" t="s">
        <v>15</v>
      </c>
      <c r="G94" t="s">
        <v>1073</v>
      </c>
      <c r="H94" t="s">
        <v>1074</v>
      </c>
      <c r="K94" t="s">
        <v>81</v>
      </c>
      <c r="L94" t="s">
        <v>89</v>
      </c>
      <c r="M94" t="s">
        <v>21</v>
      </c>
      <c r="N94" s="4">
        <v>23965</v>
      </c>
      <c r="O94" s="4">
        <v>270</v>
      </c>
      <c r="P94" s="4">
        <v>13608</v>
      </c>
      <c r="Q94" s="4">
        <v>21704</v>
      </c>
      <c r="R94" s="4">
        <v>12</v>
      </c>
      <c r="S94" s="3">
        <v>5706.8644169999998</v>
      </c>
      <c r="T94" s="3">
        <f t="shared" si="8"/>
        <v>475.57203475</v>
      </c>
      <c r="U94" s="5">
        <f t="shared" si="12"/>
        <v>4.4444444444444446E-2</v>
      </c>
      <c r="V94" s="5">
        <f t="shared" si="9"/>
        <v>1.1266430210723972E-2</v>
      </c>
      <c r="W94" s="3">
        <f t="shared" si="10"/>
        <v>21.136534877777777</v>
      </c>
      <c r="X94" s="3">
        <f t="shared" si="11"/>
        <v>238.13329509701649</v>
      </c>
      <c r="Y94" s="7">
        <f t="shared" si="13"/>
        <v>0.62698120162182092</v>
      </c>
    </row>
    <row r="95" spans="1:25" x14ac:dyDescent="0.25">
      <c r="A95" t="s">
        <v>50</v>
      </c>
      <c r="B95" t="s">
        <v>201</v>
      </c>
      <c r="C95" t="s">
        <v>212</v>
      </c>
      <c r="E95" t="s">
        <v>19</v>
      </c>
      <c r="F95" t="s">
        <v>33</v>
      </c>
      <c r="G95" t="s">
        <v>1098</v>
      </c>
      <c r="H95" t="s">
        <v>1074</v>
      </c>
      <c r="I95" t="s">
        <v>1099</v>
      </c>
      <c r="K95" t="s">
        <v>213</v>
      </c>
      <c r="L95" t="s">
        <v>25</v>
      </c>
      <c r="M95" t="s">
        <v>21</v>
      </c>
      <c r="N95" s="4">
        <v>14047</v>
      </c>
      <c r="O95" s="4">
        <v>44</v>
      </c>
      <c r="P95" s="4">
        <v>9934</v>
      </c>
      <c r="Q95" s="4">
        <v>13377</v>
      </c>
      <c r="R95" s="4">
        <v>7</v>
      </c>
      <c r="S95" s="3">
        <v>5729.6507549999997</v>
      </c>
      <c r="T95" s="3">
        <f t="shared" si="8"/>
        <v>818.52153642857138</v>
      </c>
      <c r="U95" s="5">
        <f t="shared" si="12"/>
        <v>0.15909090909090909</v>
      </c>
      <c r="V95" s="5">
        <f t="shared" si="9"/>
        <v>3.1323414252153485E-3</v>
      </c>
      <c r="W95" s="3">
        <f t="shared" si="10"/>
        <v>130.21933534090908</v>
      </c>
      <c r="X95" s="3">
        <f t="shared" si="11"/>
        <v>407.89141845233854</v>
      </c>
      <c r="Y95" s="7">
        <f t="shared" si="13"/>
        <v>0.74261792629139567</v>
      </c>
    </row>
    <row r="96" spans="1:25" x14ac:dyDescent="0.25">
      <c r="A96" t="s">
        <v>50</v>
      </c>
      <c r="B96" t="s">
        <v>201</v>
      </c>
      <c r="C96" t="s">
        <v>214</v>
      </c>
      <c r="E96" t="s">
        <v>14</v>
      </c>
      <c r="F96" t="s">
        <v>33</v>
      </c>
      <c r="G96" t="s">
        <v>1078</v>
      </c>
      <c r="H96" t="s">
        <v>1065</v>
      </c>
      <c r="K96" t="s">
        <v>215</v>
      </c>
      <c r="L96" t="s">
        <v>17</v>
      </c>
      <c r="M96" t="s">
        <v>29</v>
      </c>
      <c r="N96" s="4">
        <v>88293</v>
      </c>
      <c r="O96" s="4">
        <v>255</v>
      </c>
      <c r="P96" s="4">
        <v>24101</v>
      </c>
      <c r="Q96" s="4">
        <v>75557</v>
      </c>
      <c r="R96" s="4">
        <v>19</v>
      </c>
      <c r="S96" s="3">
        <v>5054.481581</v>
      </c>
      <c r="T96" s="3">
        <f t="shared" si="8"/>
        <v>266.02534636842103</v>
      </c>
      <c r="U96" s="5">
        <f t="shared" si="12"/>
        <v>7.4509803921568626E-2</v>
      </c>
      <c r="V96" s="5">
        <f t="shared" si="9"/>
        <v>2.8881111752913596E-3</v>
      </c>
      <c r="W96" s="3">
        <f t="shared" si="10"/>
        <v>19.82149639607843</v>
      </c>
      <c r="X96" s="3">
        <f t="shared" si="11"/>
        <v>57.246685252511526</v>
      </c>
      <c r="Y96" s="7">
        <f t="shared" si="13"/>
        <v>0.31897772542583747</v>
      </c>
    </row>
    <row r="97" spans="1:25" x14ac:dyDescent="0.25">
      <c r="A97" t="s">
        <v>50</v>
      </c>
      <c r="B97" t="s">
        <v>201</v>
      </c>
      <c r="C97" t="s">
        <v>199</v>
      </c>
      <c r="E97" t="s">
        <v>19</v>
      </c>
      <c r="F97" t="s">
        <v>26</v>
      </c>
      <c r="G97" t="s">
        <v>1100</v>
      </c>
      <c r="H97" t="s">
        <v>1071</v>
      </c>
      <c r="K97" t="s">
        <v>216</v>
      </c>
      <c r="L97" t="s">
        <v>89</v>
      </c>
      <c r="M97" t="s">
        <v>21</v>
      </c>
      <c r="N97" s="4">
        <v>90463</v>
      </c>
      <c r="O97" s="4">
        <v>204</v>
      </c>
      <c r="P97" s="4">
        <v>803</v>
      </c>
      <c r="Q97" s="4">
        <v>2465</v>
      </c>
      <c r="R97" s="4">
        <v>9</v>
      </c>
      <c r="S97" s="3">
        <v>6120.6025140000002</v>
      </c>
      <c r="T97" s="3">
        <f t="shared" si="8"/>
        <v>680.06694600000003</v>
      </c>
      <c r="U97" s="5">
        <f t="shared" si="12"/>
        <v>4.4117647058823532E-2</v>
      </c>
      <c r="V97" s="5">
        <f t="shared" si="9"/>
        <v>2.2550656069332212E-3</v>
      </c>
      <c r="W97" s="3">
        <f t="shared" si="10"/>
        <v>30.0029535</v>
      </c>
      <c r="X97" s="3">
        <f t="shared" si="11"/>
        <v>67.658628544266719</v>
      </c>
      <c r="Y97" s="7">
        <f t="shared" si="13"/>
        <v>0.32576064908722108</v>
      </c>
    </row>
    <row r="98" spans="1:25" x14ac:dyDescent="0.25">
      <c r="A98" t="s">
        <v>50</v>
      </c>
      <c r="B98" t="s">
        <v>201</v>
      </c>
      <c r="C98" t="s">
        <v>217</v>
      </c>
      <c r="E98" t="s">
        <v>19</v>
      </c>
      <c r="F98" t="s">
        <v>33</v>
      </c>
      <c r="G98" t="s">
        <v>1078</v>
      </c>
      <c r="H98" t="s">
        <v>1065</v>
      </c>
      <c r="K98" t="s">
        <v>218</v>
      </c>
      <c r="L98" t="s">
        <v>28</v>
      </c>
      <c r="M98" t="s">
        <v>21</v>
      </c>
      <c r="N98" s="4">
        <v>23941</v>
      </c>
      <c r="O98" s="4">
        <v>150</v>
      </c>
      <c r="P98" s="4">
        <v>13054</v>
      </c>
      <c r="Q98" s="4">
        <v>22276</v>
      </c>
      <c r="R98" s="4">
        <v>6</v>
      </c>
      <c r="S98" s="3">
        <v>2856.1654250000001</v>
      </c>
      <c r="T98" s="3">
        <f t="shared" si="8"/>
        <v>476.02757083333336</v>
      </c>
      <c r="U98" s="5">
        <f t="shared" si="12"/>
        <v>0.04</v>
      </c>
      <c r="V98" s="5">
        <f t="shared" si="9"/>
        <v>6.2654024476838897E-3</v>
      </c>
      <c r="W98" s="3">
        <f t="shared" si="10"/>
        <v>19.041102833333333</v>
      </c>
      <c r="X98" s="3">
        <f t="shared" si="11"/>
        <v>119.30017229856732</v>
      </c>
      <c r="Y98" s="7">
        <f t="shared" si="13"/>
        <v>0.58601185131980604</v>
      </c>
    </row>
    <row r="99" spans="1:25" x14ac:dyDescent="0.25">
      <c r="A99" t="s">
        <v>50</v>
      </c>
      <c r="B99" t="s">
        <v>201</v>
      </c>
      <c r="C99" t="s">
        <v>93</v>
      </c>
      <c r="E99" t="s">
        <v>14</v>
      </c>
      <c r="F99" t="s">
        <v>26</v>
      </c>
      <c r="G99" t="s">
        <v>1084</v>
      </c>
      <c r="H99" t="s">
        <v>1065</v>
      </c>
      <c r="K99" t="s">
        <v>219</v>
      </c>
      <c r="L99" t="s">
        <v>25</v>
      </c>
      <c r="M99" t="s">
        <v>21</v>
      </c>
      <c r="N99" s="4">
        <v>43057</v>
      </c>
      <c r="O99" s="4">
        <v>122</v>
      </c>
      <c r="P99" s="4">
        <v>23767</v>
      </c>
      <c r="Q99" s="4">
        <v>41484</v>
      </c>
      <c r="R99" s="4">
        <v>7</v>
      </c>
      <c r="S99" s="3">
        <v>5884.9313940000002</v>
      </c>
      <c r="T99" s="3">
        <f t="shared" si="8"/>
        <v>840.70448485714292</v>
      </c>
      <c r="U99" s="5">
        <f t="shared" si="12"/>
        <v>5.737704918032787E-2</v>
      </c>
      <c r="V99" s="5">
        <f t="shared" si="9"/>
        <v>2.833453329307662E-3</v>
      </c>
      <c r="W99" s="3">
        <f t="shared" si="10"/>
        <v>48.237142573770491</v>
      </c>
      <c r="X99" s="3">
        <f t="shared" si="11"/>
        <v>136.67769222193837</v>
      </c>
      <c r="Y99" s="7">
        <f t="shared" si="13"/>
        <v>0.57291967987657888</v>
      </c>
    </row>
    <row r="100" spans="1:25" x14ac:dyDescent="0.25">
      <c r="A100" t="s">
        <v>50</v>
      </c>
      <c r="B100" t="s">
        <v>201</v>
      </c>
      <c r="C100" t="s">
        <v>220</v>
      </c>
      <c r="E100" t="s">
        <v>19</v>
      </c>
      <c r="F100" t="s">
        <v>33</v>
      </c>
      <c r="G100" t="s">
        <v>1070</v>
      </c>
      <c r="H100" t="s">
        <v>1071</v>
      </c>
      <c r="K100" t="s">
        <v>24</v>
      </c>
      <c r="L100" t="s">
        <v>73</v>
      </c>
      <c r="M100" t="s">
        <v>21</v>
      </c>
      <c r="N100" s="4">
        <v>3196231</v>
      </c>
      <c r="O100" s="4">
        <v>8745</v>
      </c>
      <c r="P100" s="4">
        <v>2013324</v>
      </c>
      <c r="Q100" s="4">
        <v>2669103</v>
      </c>
      <c r="R100" s="4">
        <v>70</v>
      </c>
      <c r="S100" s="3">
        <v>5756.2711719999998</v>
      </c>
      <c r="T100" s="3">
        <f t="shared" si="8"/>
        <v>82.232445314285712</v>
      </c>
      <c r="U100" s="5">
        <f t="shared" si="12"/>
        <v>8.0045740423098921E-3</v>
      </c>
      <c r="V100" s="5">
        <f t="shared" si="9"/>
        <v>2.7360350362661524E-3</v>
      </c>
      <c r="W100" s="3">
        <f t="shared" si="10"/>
        <v>0.65823569719839903</v>
      </c>
      <c r="X100" s="3">
        <f t="shared" si="11"/>
        <v>1.8009559296558977</v>
      </c>
      <c r="Y100" s="7">
        <f t="shared" si="13"/>
        <v>0.75430734595105542</v>
      </c>
    </row>
    <row r="101" spans="1:25" x14ac:dyDescent="0.25">
      <c r="A101" t="s">
        <v>50</v>
      </c>
      <c r="B101" t="s">
        <v>201</v>
      </c>
      <c r="C101" t="s">
        <v>221</v>
      </c>
      <c r="E101" t="s">
        <v>19</v>
      </c>
      <c r="F101" t="s">
        <v>44</v>
      </c>
      <c r="G101" t="s">
        <v>1101</v>
      </c>
      <c r="H101" t="s">
        <v>1071</v>
      </c>
      <c r="K101" t="s">
        <v>24</v>
      </c>
      <c r="L101" t="s">
        <v>17</v>
      </c>
      <c r="M101" t="s">
        <v>21</v>
      </c>
      <c r="N101" s="4">
        <v>48436</v>
      </c>
      <c r="O101" s="4">
        <v>171</v>
      </c>
      <c r="P101" s="4">
        <v>16543</v>
      </c>
      <c r="Q101" s="4">
        <v>42427</v>
      </c>
      <c r="R101" s="4">
        <v>6</v>
      </c>
      <c r="S101" s="3">
        <v>4386.6482150000002</v>
      </c>
      <c r="T101" s="3">
        <f t="shared" si="8"/>
        <v>731.10803583333336</v>
      </c>
      <c r="U101" s="5">
        <f t="shared" si="12"/>
        <v>3.5087719298245612E-2</v>
      </c>
      <c r="V101" s="5">
        <f t="shared" si="9"/>
        <v>3.5304319101494754E-3</v>
      </c>
      <c r="W101" s="3">
        <f t="shared" si="10"/>
        <v>25.652913538011695</v>
      </c>
      <c r="X101" s="3">
        <f t="shared" si="11"/>
        <v>90.565864542901977</v>
      </c>
      <c r="Y101" s="7">
        <f t="shared" si="13"/>
        <v>0.3899167982652556</v>
      </c>
    </row>
    <row r="102" spans="1:25" x14ac:dyDescent="0.25">
      <c r="A102" t="s">
        <v>50</v>
      </c>
      <c r="B102" t="s">
        <v>201</v>
      </c>
      <c r="C102" t="s">
        <v>90</v>
      </c>
      <c r="E102" t="s">
        <v>19</v>
      </c>
      <c r="F102" t="s">
        <v>44</v>
      </c>
      <c r="G102" t="s">
        <v>1062</v>
      </c>
      <c r="H102" t="s">
        <v>1063</v>
      </c>
      <c r="K102" t="s">
        <v>81</v>
      </c>
      <c r="L102" t="s">
        <v>17</v>
      </c>
      <c r="M102" t="s">
        <v>21</v>
      </c>
      <c r="N102" s="4">
        <v>23711</v>
      </c>
      <c r="O102" s="4">
        <v>69</v>
      </c>
      <c r="P102" s="4">
        <v>4337</v>
      </c>
      <c r="Q102" s="4">
        <v>17211</v>
      </c>
      <c r="R102" s="4">
        <v>8</v>
      </c>
      <c r="S102" s="3">
        <v>5740.9522189999998</v>
      </c>
      <c r="T102" s="3">
        <f t="shared" si="8"/>
        <v>717.61902737499997</v>
      </c>
      <c r="U102" s="5">
        <f t="shared" si="12"/>
        <v>0.11594202898550725</v>
      </c>
      <c r="V102" s="5">
        <f t="shared" si="9"/>
        <v>2.9100417527729745E-3</v>
      </c>
      <c r="W102" s="3">
        <f t="shared" si="10"/>
        <v>83.202206072463767</v>
      </c>
      <c r="X102" s="3">
        <f t="shared" si="11"/>
        <v>242.12189359369069</v>
      </c>
      <c r="Y102" s="7">
        <f t="shared" si="13"/>
        <v>0.2519900063912614</v>
      </c>
    </row>
    <row r="103" spans="1:25" x14ac:dyDescent="0.25">
      <c r="A103" t="s">
        <v>50</v>
      </c>
      <c r="B103" t="s">
        <v>201</v>
      </c>
      <c r="C103" t="s">
        <v>99</v>
      </c>
      <c r="E103" t="s">
        <v>23</v>
      </c>
      <c r="F103" t="s">
        <v>33</v>
      </c>
      <c r="G103" t="s">
        <v>1066</v>
      </c>
      <c r="H103" t="s">
        <v>1067</v>
      </c>
      <c r="K103" t="s">
        <v>132</v>
      </c>
      <c r="L103" t="s">
        <v>17</v>
      </c>
      <c r="M103" t="s">
        <v>21</v>
      </c>
      <c r="N103" s="4">
        <v>89744</v>
      </c>
      <c r="O103" s="4">
        <v>311</v>
      </c>
      <c r="P103" s="4">
        <v>48786</v>
      </c>
      <c r="Q103" s="4">
        <v>85900</v>
      </c>
      <c r="R103" s="4">
        <v>3</v>
      </c>
      <c r="S103" s="3">
        <v>6369.8112259999998</v>
      </c>
      <c r="T103" s="3">
        <f t="shared" si="8"/>
        <v>2123.2704086666668</v>
      </c>
      <c r="U103" s="5">
        <f t="shared" si="12"/>
        <v>9.6463022508038593E-3</v>
      </c>
      <c r="V103" s="5">
        <f t="shared" si="9"/>
        <v>3.4654127295418078E-3</v>
      </c>
      <c r="W103" s="3">
        <f t="shared" si="10"/>
        <v>20.481708122186493</v>
      </c>
      <c r="X103" s="3">
        <f t="shared" si="11"/>
        <v>70.977572049384918</v>
      </c>
      <c r="Y103" s="7">
        <f t="shared" si="13"/>
        <v>0.56793946449359722</v>
      </c>
    </row>
    <row r="104" spans="1:25" x14ac:dyDescent="0.25">
      <c r="A104" t="s">
        <v>50</v>
      </c>
      <c r="B104" t="s">
        <v>201</v>
      </c>
      <c r="C104" t="s">
        <v>222</v>
      </c>
      <c r="E104" t="s">
        <v>19</v>
      </c>
      <c r="F104" t="s">
        <v>33</v>
      </c>
      <c r="G104" t="s">
        <v>1092</v>
      </c>
      <c r="H104" t="s">
        <v>1065</v>
      </c>
      <c r="K104" t="s">
        <v>100</v>
      </c>
      <c r="L104" t="s">
        <v>25</v>
      </c>
      <c r="M104" t="s">
        <v>21</v>
      </c>
      <c r="N104" s="4">
        <v>38408</v>
      </c>
      <c r="O104" s="4">
        <v>101</v>
      </c>
      <c r="P104" s="4">
        <v>23557</v>
      </c>
      <c r="Q104" s="4">
        <v>35247</v>
      </c>
      <c r="R104" s="4">
        <v>7</v>
      </c>
      <c r="S104" s="3">
        <v>5343.4594310000002</v>
      </c>
      <c r="T104" s="3">
        <f t="shared" si="8"/>
        <v>763.35134728571427</v>
      </c>
      <c r="U104" s="5">
        <f t="shared" si="12"/>
        <v>6.9306930693069313E-2</v>
      </c>
      <c r="V104" s="5">
        <f t="shared" si="9"/>
        <v>2.6296604873984586E-3</v>
      </c>
      <c r="W104" s="3">
        <f t="shared" si="10"/>
        <v>52.905538920792083</v>
      </c>
      <c r="X104" s="3">
        <f t="shared" si="11"/>
        <v>139.12360526452821</v>
      </c>
      <c r="Y104" s="7">
        <f t="shared" si="13"/>
        <v>0.66834056799160213</v>
      </c>
    </row>
    <row r="105" spans="1:25" x14ac:dyDescent="0.25">
      <c r="A105" t="s">
        <v>50</v>
      </c>
      <c r="B105" t="s">
        <v>201</v>
      </c>
      <c r="C105" t="s">
        <v>157</v>
      </c>
      <c r="E105" t="s">
        <v>19</v>
      </c>
      <c r="F105" t="s">
        <v>15</v>
      </c>
      <c r="G105" t="s">
        <v>1066</v>
      </c>
      <c r="H105" t="s">
        <v>1067</v>
      </c>
      <c r="K105" t="s">
        <v>223</v>
      </c>
      <c r="L105" t="s">
        <v>64</v>
      </c>
      <c r="M105" t="s">
        <v>21</v>
      </c>
      <c r="N105" s="4">
        <v>134847</v>
      </c>
      <c r="O105" s="4">
        <v>450</v>
      </c>
      <c r="P105" s="4">
        <v>104268</v>
      </c>
      <c r="Q105" s="4">
        <v>128470</v>
      </c>
      <c r="R105" s="4">
        <v>125</v>
      </c>
      <c r="S105" s="3">
        <v>6040.5955780000004</v>
      </c>
      <c r="T105" s="3">
        <f t="shared" si="8"/>
        <v>48.324764624000004</v>
      </c>
      <c r="U105" s="5">
        <f t="shared" si="12"/>
        <v>0.27777777777777779</v>
      </c>
      <c r="V105" s="5">
        <f t="shared" si="9"/>
        <v>3.337115397450444E-3</v>
      </c>
      <c r="W105" s="3">
        <f t="shared" si="10"/>
        <v>13.42354572888889</v>
      </c>
      <c r="X105" s="3">
        <f t="shared" si="11"/>
        <v>44.795921140255253</v>
      </c>
      <c r="Y105" s="7">
        <f t="shared" si="13"/>
        <v>0.81161360628940604</v>
      </c>
    </row>
    <row r="106" spans="1:25" x14ac:dyDescent="0.25">
      <c r="A106" t="s">
        <v>50</v>
      </c>
      <c r="B106" t="s">
        <v>224</v>
      </c>
      <c r="E106" t="s">
        <v>14</v>
      </c>
      <c r="F106" t="s">
        <v>15</v>
      </c>
      <c r="G106" t="s">
        <v>1078</v>
      </c>
      <c r="H106" t="s">
        <v>1065</v>
      </c>
      <c r="K106" t="s">
        <v>225</v>
      </c>
      <c r="L106" t="s">
        <v>79</v>
      </c>
      <c r="M106" t="s">
        <v>21</v>
      </c>
      <c r="N106" s="4">
        <v>58477</v>
      </c>
      <c r="O106" s="4">
        <v>135</v>
      </c>
      <c r="P106" s="4">
        <v>43554</v>
      </c>
      <c r="Q106" s="4">
        <v>56558</v>
      </c>
      <c r="R106" s="4">
        <v>19</v>
      </c>
      <c r="S106" s="3">
        <v>5247.6238830000002</v>
      </c>
      <c r="T106" s="3">
        <f t="shared" si="8"/>
        <v>276.19073068421056</v>
      </c>
      <c r="U106" s="5">
        <f t="shared" si="12"/>
        <v>0.14074074074074075</v>
      </c>
      <c r="V106" s="5">
        <f t="shared" si="9"/>
        <v>2.3085999623783712E-3</v>
      </c>
      <c r="W106" s="3">
        <f t="shared" si="10"/>
        <v>38.871288022222224</v>
      </c>
      <c r="X106" s="3">
        <f t="shared" si="11"/>
        <v>89.738254065701042</v>
      </c>
      <c r="Y106" s="7">
        <f t="shared" si="13"/>
        <v>0.77007673538668264</v>
      </c>
    </row>
    <row r="107" spans="1:25" x14ac:dyDescent="0.25">
      <c r="A107" t="s">
        <v>50</v>
      </c>
      <c r="B107" t="s">
        <v>226</v>
      </c>
      <c r="E107" t="s">
        <v>19</v>
      </c>
      <c r="F107" t="s">
        <v>26</v>
      </c>
      <c r="G107" t="s">
        <v>1086</v>
      </c>
      <c r="H107" t="s">
        <v>1063</v>
      </c>
      <c r="K107" t="s">
        <v>24</v>
      </c>
      <c r="L107" t="s">
        <v>89</v>
      </c>
      <c r="M107" t="s">
        <v>21</v>
      </c>
      <c r="N107" s="4">
        <v>1601933</v>
      </c>
      <c r="O107" s="4">
        <v>4265</v>
      </c>
      <c r="P107" s="4">
        <v>1135085</v>
      </c>
      <c r="Q107" s="4">
        <v>1487426</v>
      </c>
      <c r="R107" s="4">
        <v>29</v>
      </c>
      <c r="S107" s="3">
        <v>6785.7097899999999</v>
      </c>
      <c r="T107" s="3">
        <f t="shared" si="8"/>
        <v>233.98999275862067</v>
      </c>
      <c r="U107" s="5">
        <f t="shared" si="12"/>
        <v>6.7995310668229779E-3</v>
      </c>
      <c r="V107" s="5">
        <f t="shared" si="9"/>
        <v>2.6624084777578088E-3</v>
      </c>
      <c r="W107" s="3">
        <f t="shared" si="10"/>
        <v>1.5910222250879249</v>
      </c>
      <c r="X107" s="3">
        <f t="shared" si="11"/>
        <v>4.235951060375184</v>
      </c>
      <c r="Y107" s="7">
        <f t="shared" si="13"/>
        <v>0.76312031657373203</v>
      </c>
    </row>
    <row r="108" spans="1:25" x14ac:dyDescent="0.25">
      <c r="A108" t="s">
        <v>50</v>
      </c>
      <c r="B108" t="s">
        <v>227</v>
      </c>
      <c r="C108" t="s">
        <v>228</v>
      </c>
      <c r="E108" t="s">
        <v>19</v>
      </c>
      <c r="F108" t="s">
        <v>33</v>
      </c>
      <c r="G108" t="s">
        <v>1066</v>
      </c>
      <c r="H108" t="s">
        <v>1067</v>
      </c>
      <c r="K108" t="s">
        <v>229</v>
      </c>
      <c r="L108" t="s">
        <v>17</v>
      </c>
      <c r="M108" t="s">
        <v>21</v>
      </c>
      <c r="N108" s="4">
        <v>92764</v>
      </c>
      <c r="O108" s="4">
        <v>320</v>
      </c>
      <c r="P108" s="4">
        <v>19625</v>
      </c>
      <c r="Q108" s="4">
        <v>76531</v>
      </c>
      <c r="R108" s="4">
        <v>14</v>
      </c>
      <c r="S108" s="3">
        <v>6730.012549</v>
      </c>
      <c r="T108" s="3">
        <f t="shared" si="8"/>
        <v>480.71518207142856</v>
      </c>
      <c r="U108" s="5">
        <f t="shared" si="12"/>
        <v>4.3749999999999997E-2</v>
      </c>
      <c r="V108" s="5">
        <f t="shared" si="9"/>
        <v>3.4496140744254234E-3</v>
      </c>
      <c r="W108" s="3">
        <f t="shared" si="10"/>
        <v>21.031289215625002</v>
      </c>
      <c r="X108" s="3">
        <f t="shared" si="11"/>
        <v>72.549831281531624</v>
      </c>
      <c r="Y108" s="7">
        <f t="shared" si="13"/>
        <v>0.25643203407769399</v>
      </c>
    </row>
    <row r="109" spans="1:25" x14ac:dyDescent="0.25">
      <c r="A109" t="s">
        <v>50</v>
      </c>
      <c r="B109" t="s">
        <v>201</v>
      </c>
      <c r="C109" t="s">
        <v>101</v>
      </c>
      <c r="E109" t="s">
        <v>19</v>
      </c>
      <c r="F109" t="s">
        <v>26</v>
      </c>
      <c r="G109" t="s">
        <v>1070</v>
      </c>
      <c r="H109" t="s">
        <v>1071</v>
      </c>
      <c r="K109" t="s">
        <v>230</v>
      </c>
      <c r="L109" t="s">
        <v>17</v>
      </c>
      <c r="M109" t="s">
        <v>21</v>
      </c>
      <c r="N109" s="4">
        <v>17317</v>
      </c>
      <c r="O109" s="4">
        <v>68</v>
      </c>
      <c r="P109" s="4">
        <v>8055</v>
      </c>
      <c r="Q109" s="4">
        <v>12724</v>
      </c>
      <c r="R109" s="4">
        <v>12</v>
      </c>
      <c r="S109" s="3">
        <v>5668.8570790000003</v>
      </c>
      <c r="T109" s="3">
        <f t="shared" si="8"/>
        <v>472.40475658333338</v>
      </c>
      <c r="U109" s="5">
        <f t="shared" si="12"/>
        <v>0.17647058823529413</v>
      </c>
      <c r="V109" s="5">
        <f t="shared" si="9"/>
        <v>3.9267771553964312E-3</v>
      </c>
      <c r="W109" s="3">
        <f t="shared" si="10"/>
        <v>83.365545279411776</v>
      </c>
      <c r="X109" s="3">
        <f t="shared" si="11"/>
        <v>327.35791875036091</v>
      </c>
      <c r="Y109" s="7">
        <f t="shared" si="13"/>
        <v>0.63305564287959759</v>
      </c>
    </row>
    <row r="110" spans="1:25" x14ac:dyDescent="0.25">
      <c r="A110" t="s">
        <v>50</v>
      </c>
      <c r="B110" t="s">
        <v>201</v>
      </c>
      <c r="C110" t="s">
        <v>231</v>
      </c>
      <c r="E110" t="s">
        <v>19</v>
      </c>
      <c r="F110" t="s">
        <v>15</v>
      </c>
      <c r="G110" t="s">
        <v>1086</v>
      </c>
      <c r="H110" t="s">
        <v>1063</v>
      </c>
      <c r="K110" t="s">
        <v>232</v>
      </c>
      <c r="L110" t="s">
        <v>25</v>
      </c>
      <c r="M110" t="s">
        <v>21</v>
      </c>
      <c r="N110" s="4">
        <v>7769</v>
      </c>
      <c r="O110" s="4">
        <v>10</v>
      </c>
      <c r="P110" s="4">
        <v>3152</v>
      </c>
      <c r="Q110" s="4">
        <v>6464</v>
      </c>
      <c r="R110" s="4">
        <v>1</v>
      </c>
      <c r="S110" s="3">
        <v>5603.0481319999999</v>
      </c>
      <c r="T110" s="3">
        <f t="shared" si="8"/>
        <v>5603.0481319999999</v>
      </c>
      <c r="U110" s="5">
        <f t="shared" si="12"/>
        <v>0.1</v>
      </c>
      <c r="V110" s="5">
        <f t="shared" si="9"/>
        <v>1.2871669455528382E-3</v>
      </c>
      <c r="W110" s="3">
        <f t="shared" si="10"/>
        <v>560.30481320000001</v>
      </c>
      <c r="X110" s="3">
        <f t="shared" si="11"/>
        <v>721.2058349851975</v>
      </c>
      <c r="Y110" s="7">
        <f t="shared" si="13"/>
        <v>0.48762376237623761</v>
      </c>
    </row>
    <row r="111" spans="1:25" x14ac:dyDescent="0.25">
      <c r="A111" t="s">
        <v>50</v>
      </c>
      <c r="B111" t="s">
        <v>201</v>
      </c>
      <c r="C111" t="s">
        <v>233</v>
      </c>
      <c r="E111" t="s">
        <v>19</v>
      </c>
      <c r="F111" t="s">
        <v>33</v>
      </c>
      <c r="G111" t="s">
        <v>1102</v>
      </c>
      <c r="H111" t="s">
        <v>1103</v>
      </c>
      <c r="K111" t="s">
        <v>234</v>
      </c>
      <c r="L111" t="s">
        <v>28</v>
      </c>
      <c r="M111" t="s">
        <v>21</v>
      </c>
      <c r="N111" s="4">
        <v>9319</v>
      </c>
      <c r="O111" s="4">
        <v>30</v>
      </c>
      <c r="P111" s="4">
        <v>6193</v>
      </c>
      <c r="Q111" s="4">
        <v>8682</v>
      </c>
      <c r="R111" s="4">
        <v>12</v>
      </c>
      <c r="S111" s="3">
        <v>4594.6040030000004</v>
      </c>
      <c r="T111" s="3">
        <f t="shared" si="8"/>
        <v>382.8836669166667</v>
      </c>
      <c r="U111" s="5">
        <f t="shared" si="12"/>
        <v>0.4</v>
      </c>
      <c r="V111" s="5">
        <f t="shared" si="9"/>
        <v>3.2192295310655649E-3</v>
      </c>
      <c r="W111" s="3">
        <f t="shared" si="10"/>
        <v>153.15346676666667</v>
      </c>
      <c r="X111" s="3">
        <f t="shared" si="11"/>
        <v>493.03616300032195</v>
      </c>
      <c r="Y111" s="7">
        <f t="shared" si="13"/>
        <v>0.71331490439990786</v>
      </c>
    </row>
    <row r="112" spans="1:25" x14ac:dyDescent="0.25">
      <c r="A112" t="s">
        <v>50</v>
      </c>
      <c r="B112" t="s">
        <v>201</v>
      </c>
      <c r="C112" t="s">
        <v>235</v>
      </c>
      <c r="E112" t="s">
        <v>19</v>
      </c>
      <c r="F112" t="s">
        <v>15</v>
      </c>
      <c r="G112" t="s">
        <v>1104</v>
      </c>
      <c r="H112" t="s">
        <v>1080</v>
      </c>
      <c r="K112" t="s">
        <v>83</v>
      </c>
      <c r="L112" t="s">
        <v>89</v>
      </c>
      <c r="M112" t="s">
        <v>21</v>
      </c>
      <c r="N112" s="4">
        <v>24100</v>
      </c>
      <c r="O112" s="4">
        <v>110</v>
      </c>
      <c r="P112" s="4">
        <v>11355</v>
      </c>
      <c r="Q112" s="4">
        <v>21740</v>
      </c>
      <c r="R112" s="4">
        <v>5</v>
      </c>
      <c r="S112" s="3">
        <v>5912.2609750000001</v>
      </c>
      <c r="T112" s="3">
        <f t="shared" si="8"/>
        <v>1182.4521950000001</v>
      </c>
      <c r="U112" s="5">
        <f t="shared" si="12"/>
        <v>4.5454545454545456E-2</v>
      </c>
      <c r="V112" s="5">
        <f t="shared" si="9"/>
        <v>4.5643153526970957E-3</v>
      </c>
      <c r="W112" s="3">
        <f t="shared" si="10"/>
        <v>53.747827045454549</v>
      </c>
      <c r="X112" s="3">
        <f t="shared" si="11"/>
        <v>245.32203215767638</v>
      </c>
      <c r="Y112" s="7">
        <f t="shared" si="13"/>
        <v>0.5223091076356946</v>
      </c>
    </row>
    <row r="113" spans="1:25" x14ac:dyDescent="0.25">
      <c r="A113" t="s">
        <v>50</v>
      </c>
      <c r="B113" t="s">
        <v>201</v>
      </c>
      <c r="C113" t="s">
        <v>236</v>
      </c>
      <c r="E113" t="s">
        <v>19</v>
      </c>
      <c r="F113" t="s">
        <v>15</v>
      </c>
      <c r="G113" t="s">
        <v>1096</v>
      </c>
      <c r="H113" t="s">
        <v>1097</v>
      </c>
      <c r="K113" t="s">
        <v>237</v>
      </c>
      <c r="L113" t="s">
        <v>17</v>
      </c>
      <c r="M113" t="s">
        <v>21</v>
      </c>
      <c r="N113" s="4">
        <v>14011</v>
      </c>
      <c r="O113" s="4">
        <v>40</v>
      </c>
      <c r="P113" s="4">
        <v>5060</v>
      </c>
      <c r="Q113" s="4">
        <v>12459</v>
      </c>
      <c r="R113" s="4">
        <v>5</v>
      </c>
      <c r="S113" s="3">
        <v>5632.0879729999997</v>
      </c>
      <c r="T113" s="3">
        <f t="shared" si="8"/>
        <v>1126.4175946</v>
      </c>
      <c r="U113" s="5">
        <f t="shared" si="12"/>
        <v>0.125</v>
      </c>
      <c r="V113" s="5">
        <f t="shared" si="9"/>
        <v>2.8548997216472772E-3</v>
      </c>
      <c r="W113" s="3">
        <f t="shared" si="10"/>
        <v>140.802199325</v>
      </c>
      <c r="X113" s="3">
        <f t="shared" si="11"/>
        <v>401.97615966026689</v>
      </c>
      <c r="Y113" s="7">
        <f t="shared" si="13"/>
        <v>0.40613211333172805</v>
      </c>
    </row>
    <row r="114" spans="1:25" x14ac:dyDescent="0.25">
      <c r="A114" t="s">
        <v>50</v>
      </c>
      <c r="B114" t="s">
        <v>201</v>
      </c>
      <c r="C114" t="s">
        <v>238</v>
      </c>
      <c r="E114" t="s">
        <v>23</v>
      </c>
      <c r="F114" t="s">
        <v>15</v>
      </c>
      <c r="G114" t="s">
        <v>1086</v>
      </c>
      <c r="H114" t="s">
        <v>1063</v>
      </c>
      <c r="K114" t="s">
        <v>91</v>
      </c>
      <c r="L114" t="s">
        <v>17</v>
      </c>
      <c r="M114" t="s">
        <v>21</v>
      </c>
      <c r="N114" s="4">
        <v>257862</v>
      </c>
      <c r="O114" s="4">
        <v>700</v>
      </c>
      <c r="P114" s="4">
        <v>105048</v>
      </c>
      <c r="Q114" s="4">
        <v>238629</v>
      </c>
      <c r="R114" s="4">
        <v>21</v>
      </c>
      <c r="S114" s="3">
        <v>5899.4294829999999</v>
      </c>
      <c r="T114" s="3">
        <f t="shared" si="8"/>
        <v>280.92521347619049</v>
      </c>
      <c r="U114" s="5">
        <f t="shared" si="12"/>
        <v>0.03</v>
      </c>
      <c r="V114" s="5">
        <f t="shared" si="9"/>
        <v>2.7146303061327376E-3</v>
      </c>
      <c r="W114" s="3">
        <f t="shared" si="10"/>
        <v>8.4277564042857147</v>
      </c>
      <c r="X114" s="3">
        <f t="shared" si="11"/>
        <v>22.878242947778269</v>
      </c>
      <c r="Y114" s="7">
        <f t="shared" si="13"/>
        <v>0.44021472662585015</v>
      </c>
    </row>
    <row r="115" spans="1:25" x14ac:dyDescent="0.25">
      <c r="A115" t="s">
        <v>50</v>
      </c>
      <c r="B115" t="s">
        <v>201</v>
      </c>
      <c r="C115" t="s">
        <v>239</v>
      </c>
      <c r="E115" t="s">
        <v>19</v>
      </c>
      <c r="F115" t="s">
        <v>26</v>
      </c>
      <c r="G115" t="s">
        <v>1105</v>
      </c>
      <c r="H115" t="s">
        <v>1077</v>
      </c>
      <c r="K115" t="s">
        <v>240</v>
      </c>
      <c r="L115" t="s">
        <v>17</v>
      </c>
      <c r="M115" t="s">
        <v>21</v>
      </c>
      <c r="N115" s="4">
        <v>109709</v>
      </c>
      <c r="O115" s="4">
        <v>278</v>
      </c>
      <c r="P115" s="4">
        <v>3064</v>
      </c>
      <c r="Q115" s="4">
        <v>15428</v>
      </c>
      <c r="R115" s="4">
        <v>20</v>
      </c>
      <c r="S115" s="3">
        <v>5409.0839550000001</v>
      </c>
      <c r="T115" s="3">
        <f t="shared" si="8"/>
        <v>270.45419774999999</v>
      </c>
      <c r="U115" s="5">
        <f t="shared" si="12"/>
        <v>7.1942446043165464E-2</v>
      </c>
      <c r="V115" s="5">
        <f t="shared" si="9"/>
        <v>2.533976246251447E-3</v>
      </c>
      <c r="W115" s="3">
        <f t="shared" si="10"/>
        <v>19.457136528776978</v>
      </c>
      <c r="X115" s="3">
        <f t="shared" si="11"/>
        <v>49.303921783992195</v>
      </c>
      <c r="Y115" s="7">
        <f t="shared" si="13"/>
        <v>0.19859994814622764</v>
      </c>
    </row>
    <row r="116" spans="1:25" x14ac:dyDescent="0.25">
      <c r="A116" t="s">
        <v>50</v>
      </c>
      <c r="B116" t="s">
        <v>201</v>
      </c>
      <c r="C116" t="s">
        <v>241</v>
      </c>
      <c r="E116" t="s">
        <v>14</v>
      </c>
      <c r="F116" t="s">
        <v>33</v>
      </c>
      <c r="G116" t="s">
        <v>1086</v>
      </c>
      <c r="H116" t="s">
        <v>1063</v>
      </c>
      <c r="K116" t="s">
        <v>24</v>
      </c>
      <c r="L116" t="s">
        <v>92</v>
      </c>
      <c r="M116" t="s">
        <v>21</v>
      </c>
      <c r="N116" s="4">
        <v>335461</v>
      </c>
      <c r="O116" s="4">
        <v>963</v>
      </c>
      <c r="P116" s="4">
        <v>171464</v>
      </c>
      <c r="Q116" s="4">
        <v>247450</v>
      </c>
      <c r="R116" s="4">
        <v>5</v>
      </c>
      <c r="S116" s="3">
        <v>4445.8746289999999</v>
      </c>
      <c r="T116" s="3">
        <f t="shared" si="8"/>
        <v>889.17492579999998</v>
      </c>
      <c r="U116" s="5">
        <f t="shared" si="12"/>
        <v>5.1921079958463139E-3</v>
      </c>
      <c r="V116" s="5">
        <f t="shared" si="9"/>
        <v>2.8706764720787216E-3</v>
      </c>
      <c r="W116" s="3">
        <f t="shared" si="10"/>
        <v>4.6166922419522329</v>
      </c>
      <c r="X116" s="3">
        <f t="shared" si="11"/>
        <v>13.253029797800638</v>
      </c>
      <c r="Y116" s="7">
        <f t="shared" si="13"/>
        <v>0.69292382299454436</v>
      </c>
    </row>
    <row r="117" spans="1:25" x14ac:dyDescent="0.25">
      <c r="A117" t="s">
        <v>50</v>
      </c>
      <c r="B117" t="s">
        <v>242</v>
      </c>
      <c r="E117" t="s">
        <v>19</v>
      </c>
      <c r="F117" t="s">
        <v>15</v>
      </c>
      <c r="G117" t="s">
        <v>1070</v>
      </c>
      <c r="H117" t="s">
        <v>1071</v>
      </c>
      <c r="K117" t="s">
        <v>243</v>
      </c>
      <c r="L117" t="s">
        <v>73</v>
      </c>
      <c r="M117" t="s">
        <v>21</v>
      </c>
      <c r="N117" s="4">
        <v>111624</v>
      </c>
      <c r="O117" s="4">
        <v>590</v>
      </c>
      <c r="P117" s="4">
        <v>40343</v>
      </c>
      <c r="Q117" s="4">
        <v>101306</v>
      </c>
      <c r="R117" s="4">
        <v>21</v>
      </c>
      <c r="S117" s="3">
        <v>6510.4466560000001</v>
      </c>
      <c r="T117" s="3">
        <f t="shared" si="8"/>
        <v>310.02126933333335</v>
      </c>
      <c r="U117" s="5">
        <f t="shared" si="12"/>
        <v>3.5593220338983052E-2</v>
      </c>
      <c r="V117" s="5">
        <f t="shared" si="9"/>
        <v>5.285601662724862E-3</v>
      </c>
      <c r="W117" s="3">
        <f t="shared" si="10"/>
        <v>11.034655349152542</v>
      </c>
      <c r="X117" s="3">
        <f t="shared" si="11"/>
        <v>58.324792661076472</v>
      </c>
      <c r="Y117" s="7">
        <f t="shared" si="13"/>
        <v>0.39822912759362722</v>
      </c>
    </row>
    <row r="118" spans="1:25" x14ac:dyDescent="0.25">
      <c r="A118" t="s">
        <v>50</v>
      </c>
      <c r="B118" t="s">
        <v>201</v>
      </c>
      <c r="C118" t="s">
        <v>244</v>
      </c>
      <c r="E118" t="s">
        <v>19</v>
      </c>
      <c r="F118" t="s">
        <v>15</v>
      </c>
      <c r="G118" t="s">
        <v>1066</v>
      </c>
      <c r="H118" t="s">
        <v>1067</v>
      </c>
      <c r="K118" t="s">
        <v>245</v>
      </c>
      <c r="L118" t="s">
        <v>17</v>
      </c>
      <c r="M118" t="s">
        <v>21</v>
      </c>
      <c r="N118" s="4">
        <v>7806</v>
      </c>
      <c r="O118" s="4">
        <v>20</v>
      </c>
      <c r="P118" s="4">
        <v>3150</v>
      </c>
      <c r="Q118" s="4">
        <v>7247</v>
      </c>
      <c r="R118" s="4">
        <v>1</v>
      </c>
      <c r="S118" s="3">
        <v>6162.3208329999998</v>
      </c>
      <c r="T118" s="3">
        <f t="shared" si="8"/>
        <v>6162.3208329999998</v>
      </c>
      <c r="U118" s="5">
        <f t="shared" si="12"/>
        <v>0.05</v>
      </c>
      <c r="V118" s="5">
        <f t="shared" si="9"/>
        <v>2.5621316935690495E-3</v>
      </c>
      <c r="W118" s="3">
        <f t="shared" si="10"/>
        <v>308.11604165</v>
      </c>
      <c r="X118" s="3">
        <f t="shared" si="11"/>
        <v>789.43387560850624</v>
      </c>
      <c r="Y118" s="7">
        <f t="shared" si="13"/>
        <v>0.43466261901476472</v>
      </c>
    </row>
    <row r="119" spans="1:25" x14ac:dyDescent="0.25">
      <c r="A119" t="s">
        <v>50</v>
      </c>
      <c r="B119" t="s">
        <v>201</v>
      </c>
      <c r="C119" t="s">
        <v>164</v>
      </c>
      <c r="E119" t="s">
        <v>14</v>
      </c>
      <c r="F119" t="s">
        <v>33</v>
      </c>
      <c r="G119" t="s">
        <v>1070</v>
      </c>
      <c r="H119" t="s">
        <v>1071</v>
      </c>
      <c r="K119" t="s">
        <v>246</v>
      </c>
      <c r="L119" t="s">
        <v>25</v>
      </c>
      <c r="M119" t="s">
        <v>21</v>
      </c>
      <c r="N119" s="4">
        <v>7691</v>
      </c>
      <c r="O119" s="4">
        <v>0</v>
      </c>
      <c r="P119" s="4">
        <v>3890</v>
      </c>
      <c r="Q119" s="4">
        <v>5905</v>
      </c>
      <c r="R119" s="4">
        <v>1</v>
      </c>
      <c r="S119" s="3">
        <v>5927.8067879999999</v>
      </c>
      <c r="T119" s="3">
        <f t="shared" si="8"/>
        <v>5927.8067879999999</v>
      </c>
      <c r="U119" s="5" t="e">
        <f t="shared" si="12"/>
        <v>#DIV/0!</v>
      </c>
      <c r="V119" s="5">
        <f t="shared" si="9"/>
        <v>0</v>
      </c>
      <c r="W119" s="3" t="e">
        <f t="shared" si="10"/>
        <v>#DIV/0!</v>
      </c>
      <c r="X119" s="3">
        <f t="shared" si="11"/>
        <v>770.74590924457152</v>
      </c>
      <c r="Y119" s="7">
        <f t="shared" si="13"/>
        <v>0.65876375952582555</v>
      </c>
    </row>
    <row r="120" spans="1:25" x14ac:dyDescent="0.25">
      <c r="A120" t="s">
        <v>50</v>
      </c>
      <c r="B120" t="s">
        <v>201</v>
      </c>
      <c r="C120" t="s">
        <v>247</v>
      </c>
      <c r="E120" t="s">
        <v>19</v>
      </c>
      <c r="F120" t="s">
        <v>33</v>
      </c>
      <c r="G120" t="s">
        <v>1072</v>
      </c>
      <c r="H120" t="s">
        <v>1065</v>
      </c>
      <c r="K120" t="s">
        <v>248</v>
      </c>
      <c r="L120" t="s">
        <v>17</v>
      </c>
      <c r="M120" t="s">
        <v>21</v>
      </c>
      <c r="N120" s="4">
        <v>98509</v>
      </c>
      <c r="O120" s="4">
        <v>299</v>
      </c>
      <c r="P120" s="4">
        <v>30688</v>
      </c>
      <c r="Q120" s="4">
        <v>109518</v>
      </c>
      <c r="R120" s="4">
        <v>15</v>
      </c>
      <c r="S120" s="3">
        <v>2059.2702939999999</v>
      </c>
      <c r="T120" s="3">
        <f t="shared" si="8"/>
        <v>137.28468626666665</v>
      </c>
      <c r="U120" s="5">
        <f t="shared" si="12"/>
        <v>5.016722408026756E-2</v>
      </c>
      <c r="V120" s="5">
        <f t="shared" si="9"/>
        <v>3.0352556619192153E-3</v>
      </c>
      <c r="W120" s="3">
        <f t="shared" si="10"/>
        <v>6.8871916187290969</v>
      </c>
      <c r="X120" s="3">
        <f t="shared" si="11"/>
        <v>20.904387355470057</v>
      </c>
      <c r="Y120" s="7">
        <f t="shared" si="13"/>
        <v>0.28020964590295661</v>
      </c>
    </row>
    <row r="121" spans="1:25" x14ac:dyDescent="0.25">
      <c r="A121" t="s">
        <v>50</v>
      </c>
      <c r="B121" t="s">
        <v>201</v>
      </c>
      <c r="C121" t="s">
        <v>95</v>
      </c>
      <c r="E121" t="s">
        <v>23</v>
      </c>
      <c r="F121" t="s">
        <v>44</v>
      </c>
      <c r="G121" t="s">
        <v>1084</v>
      </c>
      <c r="H121" t="s">
        <v>1065</v>
      </c>
      <c r="K121" t="s">
        <v>249</v>
      </c>
      <c r="L121" t="s">
        <v>64</v>
      </c>
      <c r="M121" t="s">
        <v>21</v>
      </c>
      <c r="N121" s="4">
        <v>88022</v>
      </c>
      <c r="O121" s="4">
        <v>370</v>
      </c>
      <c r="P121" s="4">
        <v>45972</v>
      </c>
      <c r="Q121" s="4">
        <v>83922</v>
      </c>
      <c r="R121" s="4">
        <v>11</v>
      </c>
      <c r="S121" s="3">
        <v>5669.1447600000001</v>
      </c>
      <c r="T121" s="3">
        <f t="shared" si="8"/>
        <v>515.37679636363634</v>
      </c>
      <c r="U121" s="5">
        <f t="shared" si="12"/>
        <v>2.9729729729729731E-2</v>
      </c>
      <c r="V121" s="5">
        <f t="shared" si="9"/>
        <v>4.2034945809002293E-3</v>
      </c>
      <c r="W121" s="3">
        <f t="shared" si="10"/>
        <v>15.322012864864865</v>
      </c>
      <c r="X121" s="3">
        <f t="shared" si="11"/>
        <v>64.405998045943065</v>
      </c>
      <c r="Y121" s="7">
        <f t="shared" si="13"/>
        <v>0.54779438049617502</v>
      </c>
    </row>
    <row r="122" spans="1:25" x14ac:dyDescent="0.25">
      <c r="A122" t="s">
        <v>50</v>
      </c>
      <c r="B122" t="s">
        <v>201</v>
      </c>
      <c r="C122" t="s">
        <v>250</v>
      </c>
      <c r="E122" t="s">
        <v>14</v>
      </c>
      <c r="F122" t="s">
        <v>26</v>
      </c>
      <c r="G122" t="s">
        <v>1070</v>
      </c>
      <c r="H122" t="s">
        <v>1071</v>
      </c>
      <c r="K122" t="s">
        <v>85</v>
      </c>
      <c r="L122" t="s">
        <v>68</v>
      </c>
      <c r="M122" t="s">
        <v>29</v>
      </c>
      <c r="N122" s="4">
        <v>16978</v>
      </c>
      <c r="O122" s="4">
        <v>30</v>
      </c>
      <c r="P122" s="4">
        <v>8367</v>
      </c>
      <c r="Q122" s="4">
        <v>15731</v>
      </c>
      <c r="R122" s="4">
        <v>9</v>
      </c>
      <c r="S122" s="3">
        <v>5886.0711460000002</v>
      </c>
      <c r="T122" s="3">
        <f t="shared" si="8"/>
        <v>654.00790511111109</v>
      </c>
      <c r="U122" s="5">
        <f t="shared" si="12"/>
        <v>0.3</v>
      </c>
      <c r="V122" s="5">
        <f t="shared" si="9"/>
        <v>1.7669925786311697E-3</v>
      </c>
      <c r="W122" s="3">
        <f t="shared" si="10"/>
        <v>196.20237153333335</v>
      </c>
      <c r="X122" s="3">
        <f t="shared" si="11"/>
        <v>346.68813440923549</v>
      </c>
      <c r="Y122" s="7">
        <f t="shared" si="13"/>
        <v>0.53187972792575167</v>
      </c>
    </row>
    <row r="123" spans="1:25" x14ac:dyDescent="0.25">
      <c r="A123" t="s">
        <v>50</v>
      </c>
      <c r="B123" t="s">
        <v>201</v>
      </c>
      <c r="C123" t="s">
        <v>251</v>
      </c>
      <c r="E123" t="s">
        <v>19</v>
      </c>
      <c r="F123" t="s">
        <v>44</v>
      </c>
      <c r="G123" t="s">
        <v>1070</v>
      </c>
      <c r="H123" t="s">
        <v>1071</v>
      </c>
      <c r="K123" t="s">
        <v>209</v>
      </c>
      <c r="L123" t="s">
        <v>17</v>
      </c>
      <c r="M123" t="s">
        <v>21</v>
      </c>
      <c r="N123" s="4">
        <v>38396</v>
      </c>
      <c r="O123" s="4">
        <v>87</v>
      </c>
      <c r="P123" s="4">
        <v>6305</v>
      </c>
      <c r="Q123" s="4">
        <v>35118</v>
      </c>
      <c r="R123" s="4">
        <v>9</v>
      </c>
      <c r="S123" s="3">
        <v>5740.164546</v>
      </c>
      <c r="T123" s="3">
        <f t="shared" si="8"/>
        <v>637.79606066666668</v>
      </c>
      <c r="U123" s="5">
        <f t="shared" si="12"/>
        <v>0.10344827586206896</v>
      </c>
      <c r="V123" s="5">
        <f t="shared" si="9"/>
        <v>2.2658610271903325E-3</v>
      </c>
      <c r="W123" s="3">
        <f t="shared" si="10"/>
        <v>65.978902827586211</v>
      </c>
      <c r="X123" s="3">
        <f t="shared" si="11"/>
        <v>149.4990245338056</v>
      </c>
      <c r="Y123" s="7">
        <f t="shared" si="13"/>
        <v>0.17953755908650834</v>
      </c>
    </row>
    <row r="124" spans="1:25" x14ac:dyDescent="0.25">
      <c r="A124" t="s">
        <v>50</v>
      </c>
      <c r="B124" t="s">
        <v>201</v>
      </c>
      <c r="C124" t="s">
        <v>252</v>
      </c>
      <c r="E124" t="s">
        <v>14</v>
      </c>
      <c r="F124" t="s">
        <v>44</v>
      </c>
      <c r="G124" t="s">
        <v>1072</v>
      </c>
      <c r="H124" t="s">
        <v>1065</v>
      </c>
      <c r="K124" t="s">
        <v>45</v>
      </c>
      <c r="L124" t="s">
        <v>17</v>
      </c>
      <c r="M124" t="s">
        <v>18</v>
      </c>
      <c r="N124" s="4">
        <v>104538</v>
      </c>
      <c r="O124" s="4">
        <v>347</v>
      </c>
      <c r="P124" s="4">
        <v>49049</v>
      </c>
      <c r="Q124" s="4">
        <v>97093</v>
      </c>
      <c r="R124" s="4">
        <v>2</v>
      </c>
      <c r="S124" s="3">
        <v>5266.4242329999997</v>
      </c>
      <c r="T124" s="3">
        <f t="shared" si="8"/>
        <v>2633.2121164999999</v>
      </c>
      <c r="U124" s="5">
        <f t="shared" si="12"/>
        <v>5.763688760806916E-3</v>
      </c>
      <c r="V124" s="5">
        <f t="shared" si="9"/>
        <v>3.319367120090302E-3</v>
      </c>
      <c r="W124" s="3">
        <f t="shared" si="10"/>
        <v>15.177015080691643</v>
      </c>
      <c r="X124" s="3">
        <f t="shared" si="11"/>
        <v>50.378084839962497</v>
      </c>
      <c r="Y124" s="7">
        <f t="shared" si="13"/>
        <v>0.50517545034142519</v>
      </c>
    </row>
    <row r="125" spans="1:25" x14ac:dyDescent="0.25">
      <c r="A125" t="s">
        <v>50</v>
      </c>
      <c r="B125" t="s">
        <v>201</v>
      </c>
      <c r="C125" t="s">
        <v>253</v>
      </c>
      <c r="E125" t="s">
        <v>14</v>
      </c>
      <c r="F125" t="s">
        <v>26</v>
      </c>
      <c r="G125" t="s">
        <v>1070</v>
      </c>
      <c r="H125" t="s">
        <v>1071</v>
      </c>
      <c r="K125" t="s">
        <v>254</v>
      </c>
      <c r="L125" t="s">
        <v>28</v>
      </c>
      <c r="M125" t="s">
        <v>21</v>
      </c>
      <c r="N125" s="4">
        <v>11417</v>
      </c>
      <c r="O125" s="4">
        <v>78</v>
      </c>
      <c r="P125" s="4">
        <v>1387</v>
      </c>
      <c r="Q125" s="4">
        <v>9924</v>
      </c>
      <c r="R125" s="4">
        <v>9</v>
      </c>
      <c r="S125" s="3">
        <v>6206.6371079999999</v>
      </c>
      <c r="T125" s="3">
        <f t="shared" si="8"/>
        <v>689.62634533333335</v>
      </c>
      <c r="U125" s="5">
        <f t="shared" si="12"/>
        <v>0.11538461538461539</v>
      </c>
      <c r="V125" s="5">
        <f t="shared" si="9"/>
        <v>6.831917316282736E-3</v>
      </c>
      <c r="W125" s="3">
        <f t="shared" si="10"/>
        <v>79.57227061538461</v>
      </c>
      <c r="X125" s="3">
        <f t="shared" si="11"/>
        <v>543.63117351318215</v>
      </c>
      <c r="Y125" s="7">
        <f t="shared" si="13"/>
        <v>0.13976219266424827</v>
      </c>
    </row>
    <row r="126" spans="1:25" x14ac:dyDescent="0.25">
      <c r="A126" t="s">
        <v>50</v>
      </c>
      <c r="B126" t="s">
        <v>255</v>
      </c>
      <c r="E126" t="s">
        <v>23</v>
      </c>
      <c r="F126" t="s">
        <v>44</v>
      </c>
      <c r="G126" t="s">
        <v>1066</v>
      </c>
      <c r="H126" t="s">
        <v>1067</v>
      </c>
      <c r="K126" t="s">
        <v>256</v>
      </c>
      <c r="L126" t="s">
        <v>17</v>
      </c>
      <c r="M126" t="s">
        <v>21</v>
      </c>
      <c r="N126" s="4">
        <v>17518</v>
      </c>
      <c r="O126" s="4">
        <v>60</v>
      </c>
      <c r="P126" s="4">
        <v>11513</v>
      </c>
      <c r="Q126" s="4">
        <v>16192</v>
      </c>
      <c r="R126" s="4">
        <v>12</v>
      </c>
      <c r="S126" s="3">
        <v>6765.0003999999999</v>
      </c>
      <c r="T126" s="3">
        <f t="shared" si="8"/>
        <v>563.75003333333336</v>
      </c>
      <c r="U126" s="5">
        <f t="shared" si="12"/>
        <v>0.2</v>
      </c>
      <c r="V126" s="5">
        <f t="shared" si="9"/>
        <v>3.4250485215207216E-3</v>
      </c>
      <c r="W126" s="3">
        <f t="shared" si="10"/>
        <v>112.75000666666666</v>
      </c>
      <c r="X126" s="3">
        <f t="shared" si="11"/>
        <v>386.17424363511816</v>
      </c>
      <c r="Y126" s="7">
        <f t="shared" si="13"/>
        <v>0.7110301383399209</v>
      </c>
    </row>
    <row r="127" spans="1:25" x14ac:dyDescent="0.25">
      <c r="A127" t="s">
        <v>257</v>
      </c>
      <c r="B127" t="s">
        <v>258</v>
      </c>
      <c r="C127" t="s">
        <v>259</v>
      </c>
      <c r="E127" t="s">
        <v>19</v>
      </c>
      <c r="F127" t="s">
        <v>15</v>
      </c>
      <c r="G127" t="s">
        <v>1072</v>
      </c>
      <c r="H127" t="s">
        <v>1065</v>
      </c>
      <c r="K127" t="s">
        <v>260</v>
      </c>
      <c r="L127" t="s">
        <v>28</v>
      </c>
      <c r="M127" t="s">
        <v>21</v>
      </c>
      <c r="N127" s="4">
        <v>12451</v>
      </c>
      <c r="O127" s="4">
        <v>30</v>
      </c>
      <c r="P127" s="4">
        <v>2987</v>
      </c>
      <c r="Q127" s="4">
        <v>11295</v>
      </c>
      <c r="R127" s="4">
        <v>4</v>
      </c>
      <c r="S127" s="3">
        <v>2127.323828</v>
      </c>
      <c r="T127" s="3">
        <f t="shared" si="8"/>
        <v>531.83095700000001</v>
      </c>
      <c r="U127" s="5">
        <f t="shared" si="12"/>
        <v>0.13333333333333333</v>
      </c>
      <c r="V127" s="5">
        <f t="shared" si="9"/>
        <v>2.4094450244960242E-3</v>
      </c>
      <c r="W127" s="3">
        <f t="shared" si="10"/>
        <v>70.91079426666667</v>
      </c>
      <c r="X127" s="3">
        <f t="shared" si="11"/>
        <v>170.85566042888124</v>
      </c>
      <c r="Y127" s="7">
        <f t="shared" si="13"/>
        <v>0.26445329791943339</v>
      </c>
    </row>
    <row r="128" spans="1:25" x14ac:dyDescent="0.25">
      <c r="A128" t="s">
        <v>257</v>
      </c>
      <c r="B128" t="s">
        <v>261</v>
      </c>
      <c r="C128" t="s">
        <v>262</v>
      </c>
      <c r="E128" t="s">
        <v>14</v>
      </c>
      <c r="F128" t="s">
        <v>44</v>
      </c>
      <c r="G128" t="s">
        <v>1072</v>
      </c>
      <c r="H128" t="s">
        <v>1065</v>
      </c>
      <c r="K128" t="s">
        <v>263</v>
      </c>
      <c r="L128" t="s">
        <v>17</v>
      </c>
      <c r="M128" t="s">
        <v>18</v>
      </c>
      <c r="N128" s="4">
        <v>7470</v>
      </c>
      <c r="O128" s="4">
        <v>0</v>
      </c>
      <c r="P128" s="4">
        <v>6753</v>
      </c>
      <c r="Q128" s="4">
        <v>7229</v>
      </c>
      <c r="R128" s="4">
        <v>1</v>
      </c>
      <c r="S128" s="3">
        <v>1738.9952820000001</v>
      </c>
      <c r="T128" s="3">
        <f t="shared" si="8"/>
        <v>1738.9952820000001</v>
      </c>
      <c r="U128" s="5" t="e">
        <f t="shared" si="12"/>
        <v>#DIV/0!</v>
      </c>
      <c r="V128" s="5">
        <f t="shared" si="9"/>
        <v>0</v>
      </c>
      <c r="W128" s="3" t="e">
        <f t="shared" si="10"/>
        <v>#DIV/0!</v>
      </c>
      <c r="X128" s="3">
        <f t="shared" si="11"/>
        <v>232.79722650602412</v>
      </c>
      <c r="Y128" s="7">
        <f t="shared" si="13"/>
        <v>0.93415410153548206</v>
      </c>
    </row>
    <row r="129" spans="1:25" x14ac:dyDescent="0.25">
      <c r="A129" t="s">
        <v>257</v>
      </c>
      <c r="B129" t="s">
        <v>258</v>
      </c>
      <c r="C129" t="s">
        <v>264</v>
      </c>
      <c r="E129" t="s">
        <v>14</v>
      </c>
      <c r="F129" t="s">
        <v>33</v>
      </c>
      <c r="G129" t="s">
        <v>1062</v>
      </c>
      <c r="H129" t="s">
        <v>1063</v>
      </c>
      <c r="K129" t="s">
        <v>45</v>
      </c>
      <c r="L129" t="s">
        <v>17</v>
      </c>
      <c r="M129" t="s">
        <v>29</v>
      </c>
      <c r="N129" s="4">
        <v>55692</v>
      </c>
      <c r="O129" s="4">
        <v>184</v>
      </c>
      <c r="P129" s="4">
        <v>3596</v>
      </c>
      <c r="Q129" s="4">
        <v>51209</v>
      </c>
      <c r="R129" s="4">
        <v>9</v>
      </c>
      <c r="S129" s="3">
        <v>1981.0502879999999</v>
      </c>
      <c r="T129" s="3">
        <f t="shared" si="8"/>
        <v>220.11669866666665</v>
      </c>
      <c r="U129" s="5">
        <f t="shared" si="12"/>
        <v>4.8913043478260872E-2</v>
      </c>
      <c r="V129" s="5">
        <f t="shared" si="9"/>
        <v>3.3038856568268333E-3</v>
      </c>
      <c r="W129" s="3">
        <f t="shared" si="10"/>
        <v>10.766577652173913</v>
      </c>
      <c r="X129" s="3">
        <f t="shared" si="11"/>
        <v>35.571541478129717</v>
      </c>
      <c r="Y129" s="7">
        <f t="shared" si="13"/>
        <v>7.0222031283563441E-2</v>
      </c>
    </row>
    <row r="130" spans="1:25" x14ac:dyDescent="0.25">
      <c r="A130" t="s">
        <v>257</v>
      </c>
      <c r="B130" t="s">
        <v>258</v>
      </c>
      <c r="C130" t="s">
        <v>265</v>
      </c>
      <c r="E130" t="s">
        <v>19</v>
      </c>
      <c r="F130" t="s">
        <v>26</v>
      </c>
      <c r="G130" t="s">
        <v>1086</v>
      </c>
      <c r="H130" t="s">
        <v>1063</v>
      </c>
      <c r="K130" t="s">
        <v>75</v>
      </c>
      <c r="L130" t="s">
        <v>266</v>
      </c>
      <c r="M130" t="s">
        <v>21</v>
      </c>
      <c r="N130" s="4">
        <v>51056</v>
      </c>
      <c r="O130" s="4">
        <v>120</v>
      </c>
      <c r="P130" s="4">
        <v>24672</v>
      </c>
      <c r="Q130" s="4">
        <v>45563</v>
      </c>
      <c r="R130" s="4">
        <v>4</v>
      </c>
      <c r="S130" s="3">
        <v>2215.6318449999999</v>
      </c>
      <c r="T130" s="3">
        <f t="shared" ref="T130:T193" si="14">S130/R130</f>
        <v>553.90796124999997</v>
      </c>
      <c r="U130" s="5">
        <f t="shared" si="12"/>
        <v>3.3333333333333333E-2</v>
      </c>
      <c r="V130" s="5">
        <f t="shared" ref="V130:V193" si="15">O130/N130</f>
        <v>2.3503603885929175E-3</v>
      </c>
      <c r="W130" s="3">
        <f t="shared" ref="W130:W193" si="16">S130/O130</f>
        <v>18.463598708333333</v>
      </c>
      <c r="X130" s="3">
        <f t="shared" ref="X130:X193" si="17">(S130/N130)*1000</f>
        <v>43.396111034942024</v>
      </c>
      <c r="Y130" s="7">
        <f t="shared" si="13"/>
        <v>0.54149200008779053</v>
      </c>
    </row>
    <row r="131" spans="1:25" x14ac:dyDescent="0.25">
      <c r="A131" t="s">
        <v>257</v>
      </c>
      <c r="B131" t="s">
        <v>258</v>
      </c>
      <c r="C131" t="s">
        <v>267</v>
      </c>
      <c r="E131" t="s">
        <v>19</v>
      </c>
      <c r="F131" t="s">
        <v>44</v>
      </c>
      <c r="G131" t="s">
        <v>1079</v>
      </c>
      <c r="H131" t="s">
        <v>1080</v>
      </c>
      <c r="K131" t="s">
        <v>268</v>
      </c>
      <c r="L131" t="s">
        <v>25</v>
      </c>
      <c r="M131" t="s">
        <v>21</v>
      </c>
      <c r="N131" s="4">
        <v>14917</v>
      </c>
      <c r="O131" s="4">
        <v>10</v>
      </c>
      <c r="P131" s="4">
        <v>3065</v>
      </c>
      <c r="Q131" s="4">
        <v>13109</v>
      </c>
      <c r="R131" s="4">
        <v>3</v>
      </c>
      <c r="S131" s="3">
        <v>1583.537104</v>
      </c>
      <c r="T131" s="3">
        <f t="shared" si="14"/>
        <v>527.8457013333333</v>
      </c>
      <c r="U131" s="5">
        <f t="shared" ref="U131:U194" si="18">R131/O131</f>
        <v>0.3</v>
      </c>
      <c r="V131" s="5">
        <f t="shared" si="15"/>
        <v>6.7037608098143063E-4</v>
      </c>
      <c r="W131" s="3">
        <f t="shared" si="16"/>
        <v>158.35371040000001</v>
      </c>
      <c r="X131" s="3">
        <f t="shared" si="17"/>
        <v>106.1565397868204</v>
      </c>
      <c r="Y131" s="7">
        <f t="shared" ref="Y131:Y194" si="19">P131/Q131</f>
        <v>0.2338088336257533</v>
      </c>
    </row>
    <row r="132" spans="1:25" x14ac:dyDescent="0.25">
      <c r="A132" t="s">
        <v>257</v>
      </c>
      <c r="B132" t="s">
        <v>258</v>
      </c>
      <c r="C132" t="s">
        <v>269</v>
      </c>
      <c r="E132" t="s">
        <v>14</v>
      </c>
      <c r="F132" t="s">
        <v>26</v>
      </c>
      <c r="G132" t="s">
        <v>1072</v>
      </c>
      <c r="H132" t="s">
        <v>1065</v>
      </c>
      <c r="K132" t="s">
        <v>16</v>
      </c>
      <c r="L132" t="s">
        <v>25</v>
      </c>
      <c r="M132" t="s">
        <v>21</v>
      </c>
      <c r="N132" s="4">
        <v>9790</v>
      </c>
      <c r="O132" s="4">
        <v>24</v>
      </c>
      <c r="P132" s="4">
        <v>1295</v>
      </c>
      <c r="Q132" s="4">
        <v>9196</v>
      </c>
      <c r="R132" s="4">
        <v>2</v>
      </c>
      <c r="S132" s="3">
        <v>1532.1488810000001</v>
      </c>
      <c r="T132" s="3">
        <f t="shared" si="14"/>
        <v>766.07444050000004</v>
      </c>
      <c r="U132" s="5">
        <f t="shared" si="18"/>
        <v>8.3333333333333329E-2</v>
      </c>
      <c r="V132" s="5">
        <f t="shared" si="15"/>
        <v>2.4514811031664963E-3</v>
      </c>
      <c r="W132" s="3">
        <f t="shared" si="16"/>
        <v>63.839536708333334</v>
      </c>
      <c r="X132" s="3">
        <f t="shared" si="17"/>
        <v>156.50141787538305</v>
      </c>
      <c r="Y132" s="7">
        <f t="shared" si="19"/>
        <v>0.14082209656372335</v>
      </c>
    </row>
    <row r="133" spans="1:25" x14ac:dyDescent="0.25">
      <c r="A133" t="s">
        <v>257</v>
      </c>
      <c r="B133" t="s">
        <v>258</v>
      </c>
      <c r="C133" t="s">
        <v>270</v>
      </c>
      <c r="E133" t="s">
        <v>14</v>
      </c>
      <c r="F133" t="s">
        <v>44</v>
      </c>
      <c r="G133" t="s">
        <v>1066</v>
      </c>
      <c r="H133" t="s">
        <v>1067</v>
      </c>
      <c r="K133" t="s">
        <v>271</v>
      </c>
      <c r="L133" t="s">
        <v>272</v>
      </c>
      <c r="M133" t="s">
        <v>18</v>
      </c>
      <c r="N133" s="4">
        <v>11668</v>
      </c>
      <c r="O133" s="4">
        <v>110</v>
      </c>
      <c r="P133" s="4">
        <v>7860</v>
      </c>
      <c r="Q133" s="4">
        <v>11009</v>
      </c>
      <c r="R133" s="4">
        <v>5</v>
      </c>
      <c r="S133" s="3">
        <v>2653.9815789999998</v>
      </c>
      <c r="T133" s="3">
        <f t="shared" si="14"/>
        <v>530.7963158</v>
      </c>
      <c r="U133" s="5">
        <f t="shared" si="18"/>
        <v>4.5454545454545456E-2</v>
      </c>
      <c r="V133" s="5">
        <f t="shared" si="15"/>
        <v>9.4274940006856354E-3</v>
      </c>
      <c r="W133" s="3">
        <f t="shared" si="16"/>
        <v>24.127105263636363</v>
      </c>
      <c r="X133" s="3">
        <f t="shared" si="17"/>
        <v>227.45814012684264</v>
      </c>
      <c r="Y133" s="7">
        <f t="shared" si="19"/>
        <v>0.71396130438731942</v>
      </c>
    </row>
    <row r="134" spans="1:25" x14ac:dyDescent="0.25">
      <c r="A134" t="s">
        <v>257</v>
      </c>
      <c r="B134" t="s">
        <v>258</v>
      </c>
      <c r="C134" t="s">
        <v>273</v>
      </c>
      <c r="E134" t="s">
        <v>14</v>
      </c>
      <c r="F134" t="s">
        <v>33</v>
      </c>
      <c r="G134" t="s">
        <v>1062</v>
      </c>
      <c r="H134" t="s">
        <v>1063</v>
      </c>
      <c r="K134" t="s">
        <v>171</v>
      </c>
      <c r="L134" t="s">
        <v>17</v>
      </c>
      <c r="M134" t="s">
        <v>29</v>
      </c>
      <c r="N134" s="4">
        <v>31625</v>
      </c>
      <c r="O134" s="4">
        <v>99</v>
      </c>
      <c r="P134" s="4">
        <v>23764</v>
      </c>
      <c r="Q134" s="4">
        <v>29364</v>
      </c>
      <c r="R134" s="4">
        <v>6</v>
      </c>
      <c r="S134" s="3">
        <v>2360.5552440000001</v>
      </c>
      <c r="T134" s="3">
        <f t="shared" si="14"/>
        <v>393.42587400000002</v>
      </c>
      <c r="U134" s="5">
        <f t="shared" si="18"/>
        <v>6.0606060606060608E-2</v>
      </c>
      <c r="V134" s="5">
        <f t="shared" si="15"/>
        <v>3.1304347826086958E-3</v>
      </c>
      <c r="W134" s="3">
        <f t="shared" si="16"/>
        <v>23.843992363636364</v>
      </c>
      <c r="X134" s="3">
        <f t="shared" si="17"/>
        <v>74.642063051383403</v>
      </c>
      <c r="Y134" s="7">
        <f t="shared" si="19"/>
        <v>0.80929028742678111</v>
      </c>
    </row>
    <row r="135" spans="1:25" x14ac:dyDescent="0.25">
      <c r="A135" t="s">
        <v>257</v>
      </c>
      <c r="B135" t="s">
        <v>258</v>
      </c>
      <c r="C135" t="s">
        <v>274</v>
      </c>
      <c r="E135" t="s">
        <v>14</v>
      </c>
      <c r="F135" t="s">
        <v>33</v>
      </c>
      <c r="G135" t="s">
        <v>1085</v>
      </c>
      <c r="H135" t="s">
        <v>1065</v>
      </c>
      <c r="K135" t="s">
        <v>100</v>
      </c>
      <c r="L135" t="s">
        <v>17</v>
      </c>
      <c r="M135" t="s">
        <v>29</v>
      </c>
      <c r="N135" s="4">
        <v>19951</v>
      </c>
      <c r="O135" s="4">
        <v>81</v>
      </c>
      <c r="P135" s="4">
        <v>10511</v>
      </c>
      <c r="Q135" s="4">
        <v>18132</v>
      </c>
      <c r="R135" s="4">
        <v>15</v>
      </c>
      <c r="S135" s="3">
        <v>1801.14885</v>
      </c>
      <c r="T135" s="3">
        <f t="shared" si="14"/>
        <v>120.07659</v>
      </c>
      <c r="U135" s="5">
        <f t="shared" si="18"/>
        <v>0.18518518518518517</v>
      </c>
      <c r="V135" s="5">
        <f t="shared" si="15"/>
        <v>4.0599468698310865E-3</v>
      </c>
      <c r="W135" s="3">
        <f t="shared" si="16"/>
        <v>22.236405555555557</v>
      </c>
      <c r="X135" s="3">
        <f t="shared" si="17"/>
        <v>90.278625131572355</v>
      </c>
      <c r="Y135" s="7">
        <f t="shared" si="19"/>
        <v>0.57969335980586811</v>
      </c>
    </row>
    <row r="136" spans="1:25" x14ac:dyDescent="0.25">
      <c r="A136" t="s">
        <v>257</v>
      </c>
      <c r="B136" t="s">
        <v>258</v>
      </c>
      <c r="C136" t="s">
        <v>275</v>
      </c>
      <c r="E136" t="s">
        <v>14</v>
      </c>
      <c r="F136" t="s">
        <v>15</v>
      </c>
      <c r="G136" t="s">
        <v>1106</v>
      </c>
      <c r="H136" t="s">
        <v>1097</v>
      </c>
      <c r="K136" t="s">
        <v>117</v>
      </c>
      <c r="L136" t="s">
        <v>89</v>
      </c>
      <c r="M136" t="s">
        <v>21</v>
      </c>
      <c r="N136" s="4">
        <v>276716</v>
      </c>
      <c r="O136" s="4">
        <v>799</v>
      </c>
      <c r="P136" s="4">
        <v>114927</v>
      </c>
      <c r="Q136" s="4">
        <v>255481</v>
      </c>
      <c r="R136" s="4">
        <v>49</v>
      </c>
      <c r="S136" s="3">
        <v>2276.2774709999999</v>
      </c>
      <c r="T136" s="3">
        <f t="shared" si="14"/>
        <v>46.45464226530612</v>
      </c>
      <c r="U136" s="5">
        <f t="shared" si="18"/>
        <v>6.1326658322903627E-2</v>
      </c>
      <c r="V136" s="5">
        <f t="shared" si="15"/>
        <v>2.8874369389554635E-3</v>
      </c>
      <c r="W136" s="3">
        <f t="shared" si="16"/>
        <v>2.8489079737171461</v>
      </c>
      <c r="X136" s="3">
        <f t="shared" si="17"/>
        <v>8.2260421189956485</v>
      </c>
      <c r="Y136" s="7">
        <f t="shared" si="19"/>
        <v>0.44984558538599739</v>
      </c>
    </row>
    <row r="137" spans="1:25" x14ac:dyDescent="0.25">
      <c r="A137" t="s">
        <v>257</v>
      </c>
      <c r="B137" t="s">
        <v>258</v>
      </c>
      <c r="C137" t="s">
        <v>276</v>
      </c>
      <c r="E137" t="s">
        <v>14</v>
      </c>
      <c r="F137" t="s">
        <v>33</v>
      </c>
      <c r="G137" t="s">
        <v>1062</v>
      </c>
      <c r="H137" t="s">
        <v>1063</v>
      </c>
      <c r="K137" t="s">
        <v>100</v>
      </c>
      <c r="L137" t="s">
        <v>17</v>
      </c>
      <c r="M137" t="s">
        <v>29</v>
      </c>
      <c r="N137" s="4">
        <v>51889</v>
      </c>
      <c r="O137" s="4">
        <v>174</v>
      </c>
      <c r="P137" s="4">
        <v>33879</v>
      </c>
      <c r="Q137" s="4">
        <v>49382</v>
      </c>
      <c r="R137" s="4">
        <v>5</v>
      </c>
      <c r="S137" s="3">
        <v>2172.8417469999999</v>
      </c>
      <c r="T137" s="3">
        <f t="shared" si="14"/>
        <v>434.56834939999999</v>
      </c>
      <c r="U137" s="5">
        <f t="shared" si="18"/>
        <v>2.8735632183908046E-2</v>
      </c>
      <c r="V137" s="5">
        <f t="shared" si="15"/>
        <v>3.3533118772764939E-3</v>
      </c>
      <c r="W137" s="3">
        <f t="shared" si="16"/>
        <v>12.487596247126437</v>
      </c>
      <c r="X137" s="3">
        <f t="shared" si="17"/>
        <v>41.874804814122449</v>
      </c>
      <c r="Y137" s="7">
        <f t="shared" si="19"/>
        <v>0.68605969786561904</v>
      </c>
    </row>
    <row r="138" spans="1:25" x14ac:dyDescent="0.25">
      <c r="A138" t="s">
        <v>257</v>
      </c>
      <c r="B138" t="s">
        <v>258</v>
      </c>
      <c r="C138" t="s">
        <v>277</v>
      </c>
      <c r="E138" t="s">
        <v>19</v>
      </c>
      <c r="F138" t="s">
        <v>15</v>
      </c>
      <c r="G138" t="s">
        <v>1073</v>
      </c>
      <c r="H138" t="s">
        <v>1074</v>
      </c>
      <c r="K138" t="s">
        <v>278</v>
      </c>
      <c r="L138" t="s">
        <v>89</v>
      </c>
      <c r="M138" t="s">
        <v>21</v>
      </c>
      <c r="N138" s="4">
        <v>12488</v>
      </c>
      <c r="O138" s="4">
        <v>99</v>
      </c>
      <c r="P138" s="4">
        <v>4021</v>
      </c>
      <c r="Q138" s="4">
        <v>11403</v>
      </c>
      <c r="R138" s="4">
        <v>4</v>
      </c>
      <c r="S138" s="3">
        <v>2176.6574690000002</v>
      </c>
      <c r="T138" s="3">
        <f t="shared" si="14"/>
        <v>544.16436725000005</v>
      </c>
      <c r="U138" s="5">
        <f t="shared" si="18"/>
        <v>4.0404040404040407E-2</v>
      </c>
      <c r="V138" s="5">
        <f t="shared" si="15"/>
        <v>7.9276105060858432E-3</v>
      </c>
      <c r="W138" s="3">
        <f t="shared" si="16"/>
        <v>21.986439080808083</v>
      </c>
      <c r="X138" s="3">
        <f t="shared" si="17"/>
        <v>174.29992544843051</v>
      </c>
      <c r="Y138" s="7">
        <f t="shared" si="19"/>
        <v>0.3526265017977725</v>
      </c>
    </row>
    <row r="139" spans="1:25" x14ac:dyDescent="0.25">
      <c r="A139" t="s">
        <v>257</v>
      </c>
      <c r="B139" t="s">
        <v>258</v>
      </c>
      <c r="C139" t="s">
        <v>279</v>
      </c>
      <c r="E139" t="s">
        <v>19</v>
      </c>
      <c r="F139" t="s">
        <v>44</v>
      </c>
      <c r="G139" t="s">
        <v>1072</v>
      </c>
      <c r="H139" t="s">
        <v>1065</v>
      </c>
      <c r="K139" t="s">
        <v>280</v>
      </c>
      <c r="L139" t="s">
        <v>17</v>
      </c>
      <c r="M139" t="s">
        <v>21</v>
      </c>
      <c r="N139" s="4">
        <v>54134</v>
      </c>
      <c r="O139" s="4">
        <v>155</v>
      </c>
      <c r="P139" s="4">
        <v>37418</v>
      </c>
      <c r="Q139" s="4">
        <v>51299</v>
      </c>
      <c r="R139" s="4">
        <v>4</v>
      </c>
      <c r="S139" s="3">
        <v>1502.01775</v>
      </c>
      <c r="T139" s="3">
        <f t="shared" si="14"/>
        <v>375.50443749999999</v>
      </c>
      <c r="U139" s="5">
        <f t="shared" si="18"/>
        <v>2.5806451612903226E-2</v>
      </c>
      <c r="V139" s="5">
        <f t="shared" si="15"/>
        <v>2.8632652307237594E-3</v>
      </c>
      <c r="W139" s="3">
        <f t="shared" si="16"/>
        <v>9.6904370967741933</v>
      </c>
      <c r="X139" s="3">
        <f t="shared" si="17"/>
        <v>27.746291609709242</v>
      </c>
      <c r="Y139" s="7">
        <f t="shared" si="19"/>
        <v>0.72940993001812904</v>
      </c>
    </row>
    <row r="140" spans="1:25" x14ac:dyDescent="0.25">
      <c r="A140" t="s">
        <v>257</v>
      </c>
      <c r="B140" t="s">
        <v>258</v>
      </c>
      <c r="C140" t="s">
        <v>1107</v>
      </c>
      <c r="D140" t="s">
        <v>1108</v>
      </c>
      <c r="E140" t="s">
        <v>14</v>
      </c>
      <c r="F140" t="s">
        <v>15</v>
      </c>
      <c r="G140" t="s">
        <v>1086</v>
      </c>
      <c r="H140" t="s">
        <v>1063</v>
      </c>
      <c r="K140" t="s">
        <v>281</v>
      </c>
      <c r="L140" t="s">
        <v>17</v>
      </c>
      <c r="M140" t="s">
        <v>21</v>
      </c>
      <c r="N140" s="4">
        <v>141157</v>
      </c>
      <c r="O140" s="4">
        <v>420</v>
      </c>
      <c r="P140" s="4">
        <v>8280</v>
      </c>
      <c r="Q140" s="4">
        <v>107935</v>
      </c>
      <c r="R140" s="4">
        <v>4</v>
      </c>
      <c r="S140" s="3">
        <v>1631.7829489999999</v>
      </c>
      <c r="T140" s="3">
        <f t="shared" si="14"/>
        <v>407.94573724999998</v>
      </c>
      <c r="U140" s="5">
        <f t="shared" si="18"/>
        <v>9.5238095238095247E-3</v>
      </c>
      <c r="V140" s="5">
        <f t="shared" si="15"/>
        <v>2.9754103586786345E-3</v>
      </c>
      <c r="W140" s="3">
        <f t="shared" si="16"/>
        <v>3.8851974976190475</v>
      </c>
      <c r="X140" s="3">
        <f t="shared" si="17"/>
        <v>11.560056879928023</v>
      </c>
      <c r="Y140" s="7">
        <f t="shared" si="19"/>
        <v>7.6712836429332465E-2</v>
      </c>
    </row>
    <row r="141" spans="1:25" x14ac:dyDescent="0.25">
      <c r="A141" t="s">
        <v>257</v>
      </c>
      <c r="B141" t="s">
        <v>261</v>
      </c>
      <c r="C141" t="s">
        <v>282</v>
      </c>
      <c r="E141" t="s">
        <v>19</v>
      </c>
      <c r="F141" t="s">
        <v>44</v>
      </c>
      <c r="G141" t="s">
        <v>1082</v>
      </c>
      <c r="H141" t="s">
        <v>1083</v>
      </c>
      <c r="K141" t="s">
        <v>283</v>
      </c>
      <c r="L141" t="s">
        <v>25</v>
      </c>
      <c r="M141" t="s">
        <v>21</v>
      </c>
      <c r="N141" s="4">
        <v>21962</v>
      </c>
      <c r="O141" s="4">
        <v>120</v>
      </c>
      <c r="P141" s="4">
        <v>10702</v>
      </c>
      <c r="Q141" s="4">
        <v>21034</v>
      </c>
      <c r="R141" s="4">
        <v>11</v>
      </c>
      <c r="S141" s="3">
        <v>6404.0031280000003</v>
      </c>
      <c r="T141" s="3">
        <f t="shared" si="14"/>
        <v>582.18210254545454</v>
      </c>
      <c r="U141" s="5">
        <f t="shared" si="18"/>
        <v>9.166666666666666E-2</v>
      </c>
      <c r="V141" s="5">
        <f t="shared" si="15"/>
        <v>5.4639832437847194E-3</v>
      </c>
      <c r="W141" s="3">
        <f t="shared" si="16"/>
        <v>53.366692733333338</v>
      </c>
      <c r="X141" s="3">
        <f t="shared" si="17"/>
        <v>291.59471487114109</v>
      </c>
      <c r="Y141" s="7">
        <f t="shared" si="19"/>
        <v>0.50879528382618622</v>
      </c>
    </row>
    <row r="142" spans="1:25" x14ac:dyDescent="0.25">
      <c r="A142" t="s">
        <v>257</v>
      </c>
      <c r="B142" t="s">
        <v>261</v>
      </c>
      <c r="C142" t="s">
        <v>284</v>
      </c>
      <c r="E142" t="s">
        <v>14</v>
      </c>
      <c r="F142" t="s">
        <v>26</v>
      </c>
      <c r="G142" t="s">
        <v>1070</v>
      </c>
      <c r="H142" t="s">
        <v>1071</v>
      </c>
      <c r="K142" t="s">
        <v>67</v>
      </c>
      <c r="L142" t="s">
        <v>17</v>
      </c>
      <c r="M142" t="s">
        <v>18</v>
      </c>
      <c r="N142" s="4">
        <v>7447</v>
      </c>
      <c r="O142" s="4">
        <v>10</v>
      </c>
      <c r="P142" s="4">
        <v>4163</v>
      </c>
      <c r="Q142" s="4">
        <v>5586</v>
      </c>
      <c r="R142" s="4">
        <v>19</v>
      </c>
      <c r="S142" s="3">
        <v>3311.9412459999999</v>
      </c>
      <c r="T142" s="3">
        <f t="shared" si="14"/>
        <v>174.31269715789472</v>
      </c>
      <c r="U142" s="5">
        <f t="shared" si="18"/>
        <v>1.9</v>
      </c>
      <c r="V142" s="5">
        <f t="shared" si="15"/>
        <v>1.3428226131328052E-3</v>
      </c>
      <c r="W142" s="3">
        <f t="shared" si="16"/>
        <v>331.19412460000001</v>
      </c>
      <c r="X142" s="3">
        <f t="shared" si="17"/>
        <v>444.73495984960385</v>
      </c>
      <c r="Y142" s="7">
        <f t="shared" si="19"/>
        <v>0.74525599713569635</v>
      </c>
    </row>
    <row r="143" spans="1:25" x14ac:dyDescent="0.25">
      <c r="A143" t="s">
        <v>257</v>
      </c>
      <c r="B143" t="s">
        <v>258</v>
      </c>
      <c r="C143" t="s">
        <v>285</v>
      </c>
      <c r="E143" t="s">
        <v>14</v>
      </c>
      <c r="F143" t="s">
        <v>33</v>
      </c>
      <c r="G143" t="s">
        <v>1073</v>
      </c>
      <c r="H143" t="s">
        <v>1074</v>
      </c>
      <c r="K143" t="s">
        <v>85</v>
      </c>
      <c r="L143" t="s">
        <v>25</v>
      </c>
      <c r="M143" t="s">
        <v>18</v>
      </c>
      <c r="N143" s="4">
        <v>49412</v>
      </c>
      <c r="O143" s="4">
        <v>170</v>
      </c>
      <c r="P143" s="4">
        <v>22155</v>
      </c>
      <c r="Q143" s="4">
        <v>43802</v>
      </c>
      <c r="R143" s="4">
        <v>3</v>
      </c>
      <c r="S143" s="3">
        <v>1595.6594660000001</v>
      </c>
      <c r="T143" s="3">
        <f t="shared" si="14"/>
        <v>531.88648866666665</v>
      </c>
      <c r="U143" s="5">
        <f t="shared" si="18"/>
        <v>1.7647058823529412E-2</v>
      </c>
      <c r="V143" s="5">
        <f t="shared" si="15"/>
        <v>3.440459807334251E-3</v>
      </c>
      <c r="W143" s="3">
        <f t="shared" si="16"/>
        <v>9.3862321529411776</v>
      </c>
      <c r="X143" s="3">
        <f t="shared" si="17"/>
        <v>32.29295446450255</v>
      </c>
      <c r="Y143" s="7">
        <f t="shared" si="19"/>
        <v>0.50579882197159942</v>
      </c>
    </row>
    <row r="144" spans="1:25" x14ac:dyDescent="0.25">
      <c r="A144" t="s">
        <v>257</v>
      </c>
      <c r="B144" t="s">
        <v>258</v>
      </c>
      <c r="C144" t="s">
        <v>286</v>
      </c>
      <c r="E144" t="s">
        <v>14</v>
      </c>
      <c r="F144" t="s">
        <v>26</v>
      </c>
      <c r="G144" t="s">
        <v>1078</v>
      </c>
      <c r="H144" t="s">
        <v>1065</v>
      </c>
      <c r="K144" t="s">
        <v>287</v>
      </c>
      <c r="L144" t="s">
        <v>17</v>
      </c>
      <c r="M144" t="s">
        <v>29</v>
      </c>
      <c r="N144" s="4">
        <v>31443</v>
      </c>
      <c r="O144" s="4">
        <v>70</v>
      </c>
      <c r="P144" s="4">
        <v>19134</v>
      </c>
      <c r="Q144" s="4">
        <v>28059</v>
      </c>
      <c r="R144" s="4">
        <v>9</v>
      </c>
      <c r="S144" s="3">
        <v>2122.7658879999999</v>
      </c>
      <c r="T144" s="3">
        <f t="shared" si="14"/>
        <v>235.86287644444442</v>
      </c>
      <c r="U144" s="5">
        <f t="shared" si="18"/>
        <v>0.12857142857142856</v>
      </c>
      <c r="V144" s="5">
        <f t="shared" si="15"/>
        <v>2.2262506758260981E-3</v>
      </c>
      <c r="W144" s="3">
        <f t="shared" si="16"/>
        <v>30.32522697142857</v>
      </c>
      <c r="X144" s="3">
        <f t="shared" si="17"/>
        <v>67.511557039722675</v>
      </c>
      <c r="Y144" s="7">
        <f t="shared" si="19"/>
        <v>0.68192023949534908</v>
      </c>
    </row>
    <row r="145" spans="1:25" x14ac:dyDescent="0.25">
      <c r="A145" t="s">
        <v>257</v>
      </c>
      <c r="B145" t="s">
        <v>258</v>
      </c>
      <c r="C145" t="s">
        <v>288</v>
      </c>
      <c r="E145" t="s">
        <v>19</v>
      </c>
      <c r="F145" t="s">
        <v>33</v>
      </c>
      <c r="G145" t="s">
        <v>1079</v>
      </c>
      <c r="H145" t="s">
        <v>1080</v>
      </c>
      <c r="K145" t="s">
        <v>81</v>
      </c>
      <c r="L145" t="s">
        <v>73</v>
      </c>
      <c r="M145" t="s">
        <v>21</v>
      </c>
      <c r="N145" s="4">
        <v>49936</v>
      </c>
      <c r="O145" s="4">
        <v>126</v>
      </c>
      <c r="P145" s="4">
        <v>25461</v>
      </c>
      <c r="Q145" s="4">
        <v>44751</v>
      </c>
      <c r="R145" s="4">
        <v>13</v>
      </c>
      <c r="S145" s="3">
        <v>2025.7840189999999</v>
      </c>
      <c r="T145" s="3">
        <f t="shared" si="14"/>
        <v>155.82953992307691</v>
      </c>
      <c r="U145" s="5">
        <f t="shared" si="18"/>
        <v>0.10317460317460317</v>
      </c>
      <c r="V145" s="5">
        <f t="shared" si="15"/>
        <v>2.5232297340595962E-3</v>
      </c>
      <c r="W145" s="3">
        <f t="shared" si="16"/>
        <v>16.077650944444443</v>
      </c>
      <c r="X145" s="3">
        <f t="shared" si="17"/>
        <v>40.56760691685357</v>
      </c>
      <c r="Y145" s="7">
        <f t="shared" si="19"/>
        <v>0.56894817992894009</v>
      </c>
    </row>
    <row r="146" spans="1:25" x14ac:dyDescent="0.25">
      <c r="A146" t="s">
        <v>257</v>
      </c>
      <c r="B146" t="s">
        <v>258</v>
      </c>
      <c r="C146" t="s">
        <v>289</v>
      </c>
      <c r="E146" t="s">
        <v>19</v>
      </c>
      <c r="F146" t="s">
        <v>33</v>
      </c>
      <c r="G146" t="s">
        <v>1078</v>
      </c>
      <c r="H146" t="s">
        <v>1065</v>
      </c>
      <c r="K146" t="s">
        <v>290</v>
      </c>
      <c r="L146" t="s">
        <v>17</v>
      </c>
      <c r="M146" t="s">
        <v>21</v>
      </c>
      <c r="N146" s="4">
        <v>12606</v>
      </c>
      <c r="O146" s="4">
        <v>74</v>
      </c>
      <c r="P146" s="4">
        <v>8332</v>
      </c>
      <c r="Q146" s="4">
        <v>11170</v>
      </c>
      <c r="R146" s="4">
        <v>5</v>
      </c>
      <c r="S146" s="3">
        <v>2002.5379889999999</v>
      </c>
      <c r="T146" s="3">
        <f t="shared" si="14"/>
        <v>400.50759779999998</v>
      </c>
      <c r="U146" s="5">
        <f t="shared" si="18"/>
        <v>6.7567567567567571E-2</v>
      </c>
      <c r="V146" s="5">
        <f t="shared" si="15"/>
        <v>5.8702205299063937E-3</v>
      </c>
      <c r="W146" s="3">
        <f t="shared" si="16"/>
        <v>27.061324175675676</v>
      </c>
      <c r="X146" s="3">
        <f t="shared" si="17"/>
        <v>158.85594074250355</v>
      </c>
      <c r="Y146" s="7">
        <f t="shared" si="19"/>
        <v>0.74592658907788723</v>
      </c>
    </row>
    <row r="147" spans="1:25" x14ac:dyDescent="0.25">
      <c r="A147" t="s">
        <v>257</v>
      </c>
      <c r="B147" t="s">
        <v>261</v>
      </c>
      <c r="C147" t="s">
        <v>291</v>
      </c>
      <c r="E147" t="s">
        <v>14</v>
      </c>
      <c r="F147" t="s">
        <v>15</v>
      </c>
      <c r="G147" t="s">
        <v>1078</v>
      </c>
      <c r="H147" t="s">
        <v>1065</v>
      </c>
      <c r="K147" t="s">
        <v>292</v>
      </c>
      <c r="L147" t="s">
        <v>25</v>
      </c>
      <c r="M147" t="s">
        <v>29</v>
      </c>
      <c r="N147" s="4">
        <v>24464</v>
      </c>
      <c r="O147" s="4">
        <v>0</v>
      </c>
      <c r="P147" s="4">
        <v>3275</v>
      </c>
      <c r="Q147" s="4">
        <v>21993</v>
      </c>
      <c r="R147" s="4">
        <v>6</v>
      </c>
      <c r="S147" s="3">
        <v>2959.1149730000002</v>
      </c>
      <c r="T147" s="3">
        <f t="shared" si="14"/>
        <v>493.18582883333335</v>
      </c>
      <c r="U147" s="5" t="e">
        <f t="shared" si="18"/>
        <v>#DIV/0!</v>
      </c>
      <c r="V147" s="5">
        <f t="shared" si="15"/>
        <v>0</v>
      </c>
      <c r="W147" s="3" t="e">
        <f t="shared" si="16"/>
        <v>#DIV/0!</v>
      </c>
      <c r="X147" s="3">
        <f t="shared" si="17"/>
        <v>120.9579370912361</v>
      </c>
      <c r="Y147" s="7">
        <f t="shared" si="19"/>
        <v>0.14891101714181784</v>
      </c>
    </row>
    <row r="148" spans="1:25" x14ac:dyDescent="0.25">
      <c r="A148" t="s">
        <v>257</v>
      </c>
      <c r="B148" t="s">
        <v>261</v>
      </c>
      <c r="C148" t="s">
        <v>293</v>
      </c>
      <c r="E148" t="s">
        <v>19</v>
      </c>
      <c r="F148" t="s">
        <v>33</v>
      </c>
      <c r="G148" t="s">
        <v>1064</v>
      </c>
      <c r="H148" t="s">
        <v>1065</v>
      </c>
      <c r="K148" t="s">
        <v>294</v>
      </c>
      <c r="L148" t="s">
        <v>17</v>
      </c>
      <c r="M148" t="s">
        <v>21</v>
      </c>
      <c r="N148" s="4">
        <v>17752</v>
      </c>
      <c r="O148" s="4">
        <v>98</v>
      </c>
      <c r="P148" s="4">
        <v>5855</v>
      </c>
      <c r="Q148" s="4">
        <v>15753</v>
      </c>
      <c r="R148" s="4">
        <v>5</v>
      </c>
      <c r="S148" s="3">
        <v>2200.297094</v>
      </c>
      <c r="T148" s="3">
        <f t="shared" si="14"/>
        <v>440.0594188</v>
      </c>
      <c r="U148" s="5">
        <f t="shared" si="18"/>
        <v>5.1020408163265307E-2</v>
      </c>
      <c r="V148" s="5">
        <f t="shared" si="15"/>
        <v>5.5205047318611991E-3</v>
      </c>
      <c r="W148" s="3">
        <f t="shared" si="16"/>
        <v>22.452011163265308</v>
      </c>
      <c r="X148" s="3">
        <f t="shared" si="17"/>
        <v>123.94643386660658</v>
      </c>
      <c r="Y148" s="7">
        <f t="shared" si="19"/>
        <v>0.37167523646289596</v>
      </c>
    </row>
    <row r="149" spans="1:25" x14ac:dyDescent="0.25">
      <c r="A149" t="s">
        <v>257</v>
      </c>
      <c r="B149" t="s">
        <v>258</v>
      </c>
      <c r="C149" t="s">
        <v>295</v>
      </c>
      <c r="E149" t="s">
        <v>14</v>
      </c>
      <c r="F149" t="s">
        <v>15</v>
      </c>
      <c r="G149" t="s">
        <v>1062</v>
      </c>
      <c r="H149" t="s">
        <v>1063</v>
      </c>
      <c r="K149" t="s">
        <v>42</v>
      </c>
      <c r="L149" t="s">
        <v>25</v>
      </c>
      <c r="M149" t="s">
        <v>21</v>
      </c>
      <c r="N149" s="4">
        <v>136733</v>
      </c>
      <c r="O149" s="4">
        <v>110</v>
      </c>
      <c r="P149" s="4">
        <v>102728</v>
      </c>
      <c r="Q149" s="4">
        <v>127130</v>
      </c>
      <c r="R149" s="4">
        <v>4</v>
      </c>
      <c r="S149" s="3">
        <v>1946.0504470000001</v>
      </c>
      <c r="T149" s="3">
        <f t="shared" si="14"/>
        <v>486.51261175000002</v>
      </c>
      <c r="U149" s="5">
        <f t="shared" si="18"/>
        <v>3.6363636363636362E-2</v>
      </c>
      <c r="V149" s="5">
        <f t="shared" si="15"/>
        <v>8.0448757798044367E-4</v>
      </c>
      <c r="W149" s="3">
        <f t="shared" si="16"/>
        <v>17.691367700000001</v>
      </c>
      <c r="X149" s="3">
        <f t="shared" si="17"/>
        <v>14.232485552134452</v>
      </c>
      <c r="Y149" s="7">
        <f t="shared" si="19"/>
        <v>0.80805474710925829</v>
      </c>
    </row>
    <row r="150" spans="1:25" x14ac:dyDescent="0.25">
      <c r="A150" t="s">
        <v>257</v>
      </c>
      <c r="B150" t="s">
        <v>261</v>
      </c>
      <c r="C150" t="s">
        <v>296</v>
      </c>
      <c r="E150" t="s">
        <v>14</v>
      </c>
      <c r="F150" t="s">
        <v>15</v>
      </c>
      <c r="G150" t="s">
        <v>1078</v>
      </c>
      <c r="H150" t="s">
        <v>1065</v>
      </c>
      <c r="K150" t="s">
        <v>137</v>
      </c>
      <c r="L150" t="s">
        <v>17</v>
      </c>
      <c r="M150" t="s">
        <v>21</v>
      </c>
      <c r="N150" s="4">
        <v>11420</v>
      </c>
      <c r="O150" s="4">
        <v>67</v>
      </c>
      <c r="P150" s="4">
        <v>4647</v>
      </c>
      <c r="Q150" s="4">
        <v>9909</v>
      </c>
      <c r="R150" s="4">
        <v>9</v>
      </c>
      <c r="S150" s="3">
        <v>3804.64417</v>
      </c>
      <c r="T150" s="3">
        <f t="shared" si="14"/>
        <v>422.73824111111111</v>
      </c>
      <c r="U150" s="5">
        <f t="shared" si="18"/>
        <v>0.13432835820895522</v>
      </c>
      <c r="V150" s="5">
        <f t="shared" si="15"/>
        <v>5.8669001751313482E-3</v>
      </c>
      <c r="W150" s="3">
        <f t="shared" si="16"/>
        <v>56.785733880597014</v>
      </c>
      <c r="X150" s="3">
        <f t="shared" si="17"/>
        <v>333.15623204903676</v>
      </c>
      <c r="Y150" s="7">
        <f t="shared" si="19"/>
        <v>0.46896760520738723</v>
      </c>
    </row>
    <row r="151" spans="1:25" x14ac:dyDescent="0.25">
      <c r="A151" t="s">
        <v>257</v>
      </c>
      <c r="B151" t="s">
        <v>261</v>
      </c>
      <c r="C151" t="s">
        <v>297</v>
      </c>
      <c r="E151" t="s">
        <v>19</v>
      </c>
      <c r="F151" t="s">
        <v>44</v>
      </c>
      <c r="G151" t="s">
        <v>1070</v>
      </c>
      <c r="H151" t="s">
        <v>1071</v>
      </c>
      <c r="K151" t="s">
        <v>298</v>
      </c>
      <c r="L151" t="s">
        <v>17</v>
      </c>
      <c r="M151" t="s">
        <v>21</v>
      </c>
      <c r="N151" s="4">
        <v>95289</v>
      </c>
      <c r="O151" s="4">
        <v>199</v>
      </c>
      <c r="P151" s="4">
        <v>19527</v>
      </c>
      <c r="Q151" s="4">
        <v>82800</v>
      </c>
      <c r="R151" s="4">
        <v>5</v>
      </c>
      <c r="S151" s="3">
        <v>3223.5359480000002</v>
      </c>
      <c r="T151" s="3">
        <f t="shared" si="14"/>
        <v>644.70718959999999</v>
      </c>
      <c r="U151" s="5">
        <f t="shared" si="18"/>
        <v>2.5125628140703519E-2</v>
      </c>
      <c r="V151" s="5">
        <f t="shared" si="15"/>
        <v>2.0883837588808784E-3</v>
      </c>
      <c r="W151" s="3">
        <f t="shared" si="16"/>
        <v>16.198673105527639</v>
      </c>
      <c r="X151" s="3">
        <f t="shared" si="17"/>
        <v>33.8290458290044</v>
      </c>
      <c r="Y151" s="7">
        <f t="shared" si="19"/>
        <v>0.23583333333333334</v>
      </c>
    </row>
    <row r="152" spans="1:25" x14ac:dyDescent="0.25">
      <c r="A152" t="s">
        <v>257</v>
      </c>
      <c r="B152" t="s">
        <v>299</v>
      </c>
      <c r="C152" t="s">
        <v>1109</v>
      </c>
      <c r="D152" t="s">
        <v>1110</v>
      </c>
      <c r="E152" t="s">
        <v>14</v>
      </c>
      <c r="F152" t="s">
        <v>26</v>
      </c>
      <c r="G152" t="s">
        <v>1062</v>
      </c>
      <c r="H152" t="s">
        <v>1063</v>
      </c>
      <c r="K152" t="s">
        <v>215</v>
      </c>
      <c r="L152" t="s">
        <v>17</v>
      </c>
      <c r="M152" t="s">
        <v>21</v>
      </c>
      <c r="N152" s="4">
        <v>130796</v>
      </c>
      <c r="O152" s="4">
        <v>300</v>
      </c>
      <c r="P152" s="4">
        <v>109118</v>
      </c>
      <c r="Q152" s="4">
        <v>122937</v>
      </c>
      <c r="R152" s="4">
        <v>6</v>
      </c>
      <c r="S152" s="3">
        <v>2196.6612319999999</v>
      </c>
      <c r="T152" s="3">
        <f t="shared" si="14"/>
        <v>366.11020533333334</v>
      </c>
      <c r="U152" s="5">
        <f t="shared" si="18"/>
        <v>0.02</v>
      </c>
      <c r="V152" s="5">
        <f t="shared" si="15"/>
        <v>2.2936481237958348E-3</v>
      </c>
      <c r="W152" s="3">
        <f t="shared" si="16"/>
        <v>7.3222041066666668</v>
      </c>
      <c r="X152" s="3">
        <f t="shared" si="17"/>
        <v>16.794559711306157</v>
      </c>
      <c r="Y152" s="7">
        <f t="shared" si="19"/>
        <v>0.88759283210099482</v>
      </c>
    </row>
    <row r="153" spans="1:25" x14ac:dyDescent="0.25">
      <c r="A153" t="s">
        <v>257</v>
      </c>
      <c r="B153" t="s">
        <v>261</v>
      </c>
      <c r="C153" t="s">
        <v>300</v>
      </c>
      <c r="E153" t="s">
        <v>14</v>
      </c>
      <c r="F153" t="s">
        <v>15</v>
      </c>
      <c r="G153" t="s">
        <v>1070</v>
      </c>
      <c r="H153" t="s">
        <v>1071</v>
      </c>
      <c r="K153" t="s">
        <v>301</v>
      </c>
      <c r="L153" t="s">
        <v>79</v>
      </c>
      <c r="M153" t="s">
        <v>29</v>
      </c>
      <c r="N153" s="4">
        <v>17833</v>
      </c>
      <c r="O153" s="4">
        <v>61</v>
      </c>
      <c r="P153" s="4">
        <v>8670</v>
      </c>
      <c r="Q153" s="4">
        <v>16871</v>
      </c>
      <c r="R153" s="4">
        <v>10</v>
      </c>
      <c r="S153" s="3">
        <v>4899.1559550000002</v>
      </c>
      <c r="T153" s="3">
        <f t="shared" si="14"/>
        <v>489.91559549999999</v>
      </c>
      <c r="U153" s="5">
        <f t="shared" si="18"/>
        <v>0.16393442622950818</v>
      </c>
      <c r="V153" s="5">
        <f t="shared" si="15"/>
        <v>3.4206246845735434E-3</v>
      </c>
      <c r="W153" s="3">
        <f t="shared" si="16"/>
        <v>80.314032049180327</v>
      </c>
      <c r="X153" s="3">
        <f t="shared" si="17"/>
        <v>274.72416054505692</v>
      </c>
      <c r="Y153" s="7">
        <f t="shared" si="19"/>
        <v>0.51389959101416627</v>
      </c>
    </row>
    <row r="154" spans="1:25" x14ac:dyDescent="0.25">
      <c r="A154" t="s">
        <v>257</v>
      </c>
      <c r="B154" t="s">
        <v>261</v>
      </c>
      <c r="C154" t="s">
        <v>302</v>
      </c>
      <c r="E154" t="s">
        <v>19</v>
      </c>
      <c r="F154" t="s">
        <v>33</v>
      </c>
      <c r="G154" t="s">
        <v>1070</v>
      </c>
      <c r="H154" t="s">
        <v>1071</v>
      </c>
      <c r="K154" t="s">
        <v>303</v>
      </c>
      <c r="L154" t="s">
        <v>17</v>
      </c>
      <c r="M154" t="s">
        <v>21</v>
      </c>
      <c r="N154" s="4">
        <v>38735</v>
      </c>
      <c r="O154" s="4">
        <v>114</v>
      </c>
      <c r="P154" s="4">
        <v>28719</v>
      </c>
      <c r="Q154" s="4">
        <v>36629</v>
      </c>
      <c r="R154" s="4">
        <v>4</v>
      </c>
      <c r="S154" s="3">
        <v>2127.8240660000001</v>
      </c>
      <c r="T154" s="3">
        <f t="shared" si="14"/>
        <v>531.95601650000003</v>
      </c>
      <c r="U154" s="5">
        <f t="shared" si="18"/>
        <v>3.5087719298245612E-2</v>
      </c>
      <c r="V154" s="5">
        <f t="shared" si="15"/>
        <v>2.9430747386084938E-3</v>
      </c>
      <c r="W154" s="3">
        <f t="shared" si="16"/>
        <v>18.665123385964915</v>
      </c>
      <c r="X154" s="3">
        <f t="shared" si="17"/>
        <v>54.93285313024397</v>
      </c>
      <c r="Y154" s="7">
        <f t="shared" si="19"/>
        <v>0.78405088864014849</v>
      </c>
    </row>
    <row r="155" spans="1:25" x14ac:dyDescent="0.25">
      <c r="A155" t="s">
        <v>257</v>
      </c>
      <c r="B155" t="s">
        <v>261</v>
      </c>
      <c r="C155" t="s">
        <v>304</v>
      </c>
      <c r="E155" t="s">
        <v>19</v>
      </c>
      <c r="F155" t="s">
        <v>26</v>
      </c>
      <c r="G155" t="s">
        <v>1086</v>
      </c>
      <c r="H155" t="s">
        <v>1063</v>
      </c>
      <c r="K155" t="s">
        <v>91</v>
      </c>
      <c r="L155" t="s">
        <v>89</v>
      </c>
      <c r="M155" t="s">
        <v>21</v>
      </c>
      <c r="N155" s="4">
        <v>686858</v>
      </c>
      <c r="O155" s="4">
        <v>2085</v>
      </c>
      <c r="P155" s="4">
        <v>81956</v>
      </c>
      <c r="Q155" s="4">
        <v>624118</v>
      </c>
      <c r="R155" s="4">
        <v>19</v>
      </c>
      <c r="S155" s="3">
        <v>7467.0814870000004</v>
      </c>
      <c r="T155" s="3">
        <f t="shared" si="14"/>
        <v>393.00428878947372</v>
      </c>
      <c r="U155" s="5">
        <f t="shared" si="18"/>
        <v>9.1127098321342921E-3</v>
      </c>
      <c r="V155" s="5">
        <f t="shared" si="15"/>
        <v>3.0355619356548223E-3</v>
      </c>
      <c r="W155" s="3">
        <f t="shared" si="16"/>
        <v>3.5813340465227821</v>
      </c>
      <c r="X155" s="3">
        <f t="shared" si="17"/>
        <v>10.871361310489213</v>
      </c>
      <c r="Y155" s="7">
        <f t="shared" si="19"/>
        <v>0.13131491160325451</v>
      </c>
    </row>
    <row r="156" spans="1:25" x14ac:dyDescent="0.25">
      <c r="A156" t="s">
        <v>257</v>
      </c>
      <c r="B156" t="s">
        <v>299</v>
      </c>
      <c r="C156" t="s">
        <v>1109</v>
      </c>
      <c r="D156" t="s">
        <v>1111</v>
      </c>
      <c r="E156" t="s">
        <v>14</v>
      </c>
      <c r="F156" t="s">
        <v>26</v>
      </c>
      <c r="G156" t="s">
        <v>1084</v>
      </c>
      <c r="H156" t="s">
        <v>1065</v>
      </c>
      <c r="K156" t="s">
        <v>305</v>
      </c>
      <c r="L156" t="s">
        <v>64</v>
      </c>
      <c r="M156" t="s">
        <v>21</v>
      </c>
      <c r="N156" s="4">
        <v>217824</v>
      </c>
      <c r="O156" s="4">
        <v>560</v>
      </c>
      <c r="P156" s="4">
        <v>75089</v>
      </c>
      <c r="Q156" s="4">
        <v>179723</v>
      </c>
      <c r="R156" s="4">
        <v>16</v>
      </c>
      <c r="S156" s="3">
        <v>1451.808544</v>
      </c>
      <c r="T156" s="3">
        <f t="shared" si="14"/>
        <v>90.738033999999999</v>
      </c>
      <c r="U156" s="5">
        <f t="shared" si="18"/>
        <v>2.8571428571428571E-2</v>
      </c>
      <c r="V156" s="5">
        <f t="shared" si="15"/>
        <v>2.5708829146466874E-3</v>
      </c>
      <c r="W156" s="3">
        <f t="shared" si="16"/>
        <v>2.5925152571428569</v>
      </c>
      <c r="X156" s="3">
        <f t="shared" si="17"/>
        <v>6.6650531805494344</v>
      </c>
      <c r="Y156" s="7">
        <f t="shared" si="19"/>
        <v>0.41780406514469487</v>
      </c>
    </row>
    <row r="157" spans="1:25" x14ac:dyDescent="0.25">
      <c r="A157" t="s">
        <v>257</v>
      </c>
      <c r="B157" t="s">
        <v>261</v>
      </c>
      <c r="C157" t="s">
        <v>306</v>
      </c>
      <c r="E157" t="s">
        <v>14</v>
      </c>
      <c r="F157" t="s">
        <v>26</v>
      </c>
      <c r="G157" t="s">
        <v>1112</v>
      </c>
      <c r="H157" t="s">
        <v>1074</v>
      </c>
      <c r="K157" t="s">
        <v>85</v>
      </c>
      <c r="L157" t="s">
        <v>115</v>
      </c>
      <c r="M157" t="s">
        <v>18</v>
      </c>
      <c r="N157" s="4">
        <v>114194</v>
      </c>
      <c r="O157" s="4">
        <v>380</v>
      </c>
      <c r="P157" s="4">
        <v>50923</v>
      </c>
      <c r="Q157" s="4">
        <v>104074</v>
      </c>
      <c r="R157" s="4">
        <v>2</v>
      </c>
      <c r="S157" s="3">
        <v>4036.0893759999999</v>
      </c>
      <c r="T157" s="3">
        <f t="shared" si="14"/>
        <v>2018.044688</v>
      </c>
      <c r="U157" s="5">
        <f t="shared" si="18"/>
        <v>5.263157894736842E-3</v>
      </c>
      <c r="V157" s="5">
        <f t="shared" si="15"/>
        <v>3.3276704555405714E-3</v>
      </c>
      <c r="W157" s="3">
        <f t="shared" si="16"/>
        <v>10.621287831578947</v>
      </c>
      <c r="X157" s="3">
        <f t="shared" si="17"/>
        <v>35.344145716937845</v>
      </c>
      <c r="Y157" s="7">
        <f t="shared" si="19"/>
        <v>0.4892960777908027</v>
      </c>
    </row>
    <row r="158" spans="1:25" x14ac:dyDescent="0.25">
      <c r="A158" t="s">
        <v>257</v>
      </c>
      <c r="B158" t="s">
        <v>261</v>
      </c>
      <c r="C158" t="s">
        <v>307</v>
      </c>
      <c r="E158" t="s">
        <v>14</v>
      </c>
      <c r="F158" t="s">
        <v>33</v>
      </c>
      <c r="G158" t="s">
        <v>1070</v>
      </c>
      <c r="H158" t="s">
        <v>1071</v>
      </c>
      <c r="K158" t="s">
        <v>160</v>
      </c>
      <c r="L158" t="s">
        <v>73</v>
      </c>
      <c r="M158" t="s">
        <v>21</v>
      </c>
      <c r="N158" s="4">
        <v>49014</v>
      </c>
      <c r="O158" s="4">
        <v>100</v>
      </c>
      <c r="P158" s="4">
        <v>30349</v>
      </c>
      <c r="Q158" s="4">
        <v>46446</v>
      </c>
      <c r="R158" s="4">
        <v>6</v>
      </c>
      <c r="S158" s="3">
        <v>3628.3461699999998</v>
      </c>
      <c r="T158" s="3">
        <f t="shared" si="14"/>
        <v>604.7243616666666</v>
      </c>
      <c r="U158" s="5">
        <f t="shared" si="18"/>
        <v>0.06</v>
      </c>
      <c r="V158" s="5">
        <f t="shared" si="15"/>
        <v>2.0402334027012688E-3</v>
      </c>
      <c r="W158" s="3">
        <f t="shared" si="16"/>
        <v>36.283461699999997</v>
      </c>
      <c r="X158" s="3">
        <f t="shared" si="17"/>
        <v>74.02673052597217</v>
      </c>
      <c r="Y158" s="7">
        <f t="shared" si="19"/>
        <v>0.65342548335701678</v>
      </c>
    </row>
    <row r="159" spans="1:25" x14ac:dyDescent="0.25">
      <c r="A159" t="s">
        <v>257</v>
      </c>
      <c r="B159" t="s">
        <v>299</v>
      </c>
      <c r="C159" t="s">
        <v>1109</v>
      </c>
      <c r="D159" t="s">
        <v>1113</v>
      </c>
      <c r="E159" t="s">
        <v>19</v>
      </c>
      <c r="F159" t="s">
        <v>15</v>
      </c>
      <c r="G159" t="s">
        <v>1070</v>
      </c>
      <c r="H159" t="s">
        <v>1071</v>
      </c>
      <c r="K159" t="s">
        <v>308</v>
      </c>
      <c r="L159" t="s">
        <v>309</v>
      </c>
      <c r="M159" t="s">
        <v>21</v>
      </c>
      <c r="N159" s="4">
        <v>56927</v>
      </c>
      <c r="O159" s="4">
        <v>165</v>
      </c>
      <c r="P159" s="4">
        <v>20980</v>
      </c>
      <c r="Q159" s="4">
        <v>55050</v>
      </c>
      <c r="R159" s="4">
        <v>5</v>
      </c>
      <c r="S159" s="3">
        <v>2463.8219170000002</v>
      </c>
      <c r="T159" s="3">
        <f t="shared" si="14"/>
        <v>492.76438340000004</v>
      </c>
      <c r="U159" s="5">
        <f t="shared" si="18"/>
        <v>3.0303030303030304E-2</v>
      </c>
      <c r="V159" s="5">
        <f t="shared" si="15"/>
        <v>2.8984488906845609E-3</v>
      </c>
      <c r="W159" s="3">
        <f t="shared" si="16"/>
        <v>14.932254042424244</v>
      </c>
      <c r="X159" s="3">
        <f t="shared" si="17"/>
        <v>43.2803751646846</v>
      </c>
      <c r="Y159" s="7">
        <f t="shared" si="19"/>
        <v>0.38110808356039966</v>
      </c>
    </row>
    <row r="160" spans="1:25" x14ac:dyDescent="0.25">
      <c r="A160" t="s">
        <v>257</v>
      </c>
      <c r="B160" t="s">
        <v>261</v>
      </c>
      <c r="C160" t="s">
        <v>310</v>
      </c>
      <c r="E160" t="s">
        <v>14</v>
      </c>
      <c r="F160" t="s">
        <v>26</v>
      </c>
      <c r="G160" t="s">
        <v>1086</v>
      </c>
      <c r="H160" t="s">
        <v>1063</v>
      </c>
      <c r="K160" t="s">
        <v>45</v>
      </c>
      <c r="L160" t="s">
        <v>17</v>
      </c>
      <c r="M160" t="s">
        <v>29</v>
      </c>
      <c r="N160" s="4">
        <v>39163</v>
      </c>
      <c r="O160" s="4">
        <v>113</v>
      </c>
      <c r="P160" s="4">
        <v>16254</v>
      </c>
      <c r="Q160" s="4">
        <v>36526</v>
      </c>
      <c r="R160" s="4">
        <v>15</v>
      </c>
      <c r="S160" s="3">
        <v>5692.765813</v>
      </c>
      <c r="T160" s="3">
        <f t="shared" si="14"/>
        <v>379.51772086666665</v>
      </c>
      <c r="U160" s="5">
        <f t="shared" si="18"/>
        <v>0.13274336283185842</v>
      </c>
      <c r="V160" s="5">
        <f t="shared" si="15"/>
        <v>2.8853765033322269E-3</v>
      </c>
      <c r="W160" s="3">
        <f t="shared" si="16"/>
        <v>50.378458522123893</v>
      </c>
      <c r="X160" s="3">
        <f t="shared" si="17"/>
        <v>145.36082049383347</v>
      </c>
      <c r="Y160" s="7">
        <f t="shared" si="19"/>
        <v>0.44499808355691833</v>
      </c>
    </row>
    <row r="161" spans="1:25" x14ac:dyDescent="0.25">
      <c r="A161" t="s">
        <v>257</v>
      </c>
      <c r="B161" t="s">
        <v>258</v>
      </c>
      <c r="C161" t="s">
        <v>311</v>
      </c>
      <c r="D161" t="s">
        <v>312</v>
      </c>
      <c r="E161" t="s">
        <v>14</v>
      </c>
      <c r="F161" t="s">
        <v>15</v>
      </c>
      <c r="G161" t="s">
        <v>1072</v>
      </c>
      <c r="H161" t="s">
        <v>1065</v>
      </c>
      <c r="K161" t="s">
        <v>313</v>
      </c>
      <c r="L161" t="s">
        <v>17</v>
      </c>
      <c r="M161" t="s">
        <v>29</v>
      </c>
      <c r="N161" s="4">
        <v>56737</v>
      </c>
      <c r="O161" s="4">
        <v>145</v>
      </c>
      <c r="P161" s="4">
        <v>41296</v>
      </c>
      <c r="Q161" s="4">
        <v>53472</v>
      </c>
      <c r="R161" s="4">
        <v>5</v>
      </c>
      <c r="S161" s="3">
        <v>2028.370144</v>
      </c>
      <c r="T161" s="3">
        <f t="shared" si="14"/>
        <v>405.67402879999997</v>
      </c>
      <c r="U161" s="5">
        <f t="shared" si="18"/>
        <v>3.4482758620689655E-2</v>
      </c>
      <c r="V161" s="5">
        <f t="shared" si="15"/>
        <v>2.555651514884467E-3</v>
      </c>
      <c r="W161" s="3">
        <f t="shared" si="16"/>
        <v>13.988759613793103</v>
      </c>
      <c r="X161" s="3">
        <f t="shared" si="17"/>
        <v>35.750394698344998</v>
      </c>
      <c r="Y161" s="7">
        <f t="shared" si="19"/>
        <v>0.7722920406941951</v>
      </c>
    </row>
    <row r="162" spans="1:25" x14ac:dyDescent="0.25">
      <c r="A162" t="s">
        <v>314</v>
      </c>
      <c r="B162" t="s">
        <v>315</v>
      </c>
      <c r="C162" t="s">
        <v>316</v>
      </c>
      <c r="E162" t="s">
        <v>19</v>
      </c>
      <c r="F162" t="s">
        <v>33</v>
      </c>
      <c r="G162" t="s">
        <v>1066</v>
      </c>
      <c r="H162" t="s">
        <v>1067</v>
      </c>
      <c r="K162" t="s">
        <v>317</v>
      </c>
      <c r="L162" t="s">
        <v>17</v>
      </c>
      <c r="M162" t="s">
        <v>21</v>
      </c>
      <c r="N162" s="4">
        <v>25835</v>
      </c>
      <c r="O162" s="4">
        <v>69</v>
      </c>
      <c r="P162" s="4">
        <v>3753</v>
      </c>
      <c r="Q162" s="4">
        <v>20808</v>
      </c>
      <c r="R162" s="4">
        <v>11</v>
      </c>
      <c r="S162" s="3">
        <v>5751.9122969999999</v>
      </c>
      <c r="T162" s="3">
        <f t="shared" si="14"/>
        <v>522.90111790909089</v>
      </c>
      <c r="U162" s="5">
        <f t="shared" si="18"/>
        <v>0.15942028985507245</v>
      </c>
      <c r="V162" s="5">
        <f t="shared" si="15"/>
        <v>2.6707954325527385E-3</v>
      </c>
      <c r="W162" s="3">
        <f t="shared" si="16"/>
        <v>83.361047782608694</v>
      </c>
      <c r="X162" s="3">
        <f t="shared" si="17"/>
        <v>222.64030567060189</v>
      </c>
      <c r="Y162" s="7">
        <f t="shared" si="19"/>
        <v>0.18036332179930795</v>
      </c>
    </row>
    <row r="163" spans="1:25" x14ac:dyDescent="0.25">
      <c r="A163" t="s">
        <v>314</v>
      </c>
      <c r="B163" t="s">
        <v>318</v>
      </c>
      <c r="E163" t="s">
        <v>19</v>
      </c>
      <c r="F163" t="s">
        <v>15</v>
      </c>
      <c r="G163" t="s">
        <v>1066</v>
      </c>
      <c r="H163" t="s">
        <v>1067</v>
      </c>
      <c r="K163" t="s">
        <v>319</v>
      </c>
      <c r="L163" t="s">
        <v>79</v>
      </c>
      <c r="M163" t="s">
        <v>21</v>
      </c>
      <c r="N163" s="4">
        <v>18022</v>
      </c>
      <c r="O163" s="4">
        <v>30</v>
      </c>
      <c r="P163" s="4">
        <v>10618</v>
      </c>
      <c r="Q163" s="4">
        <v>16643</v>
      </c>
      <c r="R163" s="4">
        <v>15</v>
      </c>
      <c r="S163" s="3">
        <v>4051.1587490000002</v>
      </c>
      <c r="T163" s="3">
        <f t="shared" si="14"/>
        <v>270.07724993333335</v>
      </c>
      <c r="U163" s="5">
        <f t="shared" si="18"/>
        <v>0.5</v>
      </c>
      <c r="V163" s="5">
        <f t="shared" si="15"/>
        <v>1.6646321163022971E-3</v>
      </c>
      <c r="W163" s="3">
        <f t="shared" si="16"/>
        <v>135.03862496666667</v>
      </c>
      <c r="X163" s="3">
        <f t="shared" si="17"/>
        <v>224.78963206081457</v>
      </c>
      <c r="Y163" s="7">
        <f t="shared" si="19"/>
        <v>0.63798594003484954</v>
      </c>
    </row>
    <row r="164" spans="1:25" x14ac:dyDescent="0.25">
      <c r="A164" t="s">
        <v>314</v>
      </c>
      <c r="B164" t="s">
        <v>315</v>
      </c>
      <c r="C164" t="s">
        <v>320</v>
      </c>
      <c r="E164" t="s">
        <v>14</v>
      </c>
      <c r="F164" t="s">
        <v>44</v>
      </c>
      <c r="G164" t="s">
        <v>1085</v>
      </c>
      <c r="H164" t="s">
        <v>1065</v>
      </c>
      <c r="K164" t="s">
        <v>321</v>
      </c>
      <c r="L164" t="s">
        <v>17</v>
      </c>
      <c r="M164" t="s">
        <v>29</v>
      </c>
      <c r="N164" s="4">
        <v>24875</v>
      </c>
      <c r="O164" s="4">
        <v>67</v>
      </c>
      <c r="P164" s="4">
        <v>14213</v>
      </c>
      <c r="Q164" s="4">
        <v>23455</v>
      </c>
      <c r="R164" s="4">
        <v>8</v>
      </c>
      <c r="S164" s="3">
        <v>4652.2420510000002</v>
      </c>
      <c r="T164" s="3">
        <f t="shared" si="14"/>
        <v>581.53025637500002</v>
      </c>
      <c r="U164" s="5">
        <f t="shared" si="18"/>
        <v>0.11940298507462686</v>
      </c>
      <c r="V164" s="5">
        <f t="shared" si="15"/>
        <v>2.693467336683417E-3</v>
      </c>
      <c r="W164" s="3">
        <f t="shared" si="16"/>
        <v>69.436448522388062</v>
      </c>
      <c r="X164" s="3">
        <f t="shared" si="17"/>
        <v>187.02480607035176</v>
      </c>
      <c r="Y164" s="7">
        <f t="shared" si="19"/>
        <v>0.60596887657215948</v>
      </c>
    </row>
    <row r="165" spans="1:25" x14ac:dyDescent="0.25">
      <c r="A165" t="s">
        <v>314</v>
      </c>
      <c r="B165" t="s">
        <v>315</v>
      </c>
      <c r="C165" t="s">
        <v>322</v>
      </c>
      <c r="E165" t="s">
        <v>14</v>
      </c>
      <c r="F165" t="s">
        <v>26</v>
      </c>
      <c r="G165" t="s">
        <v>1064</v>
      </c>
      <c r="H165" t="s">
        <v>1065</v>
      </c>
      <c r="K165" t="s">
        <v>229</v>
      </c>
      <c r="L165" t="s">
        <v>115</v>
      </c>
      <c r="M165" t="s">
        <v>21</v>
      </c>
      <c r="N165" s="4">
        <v>14224</v>
      </c>
      <c r="O165" s="4">
        <v>30</v>
      </c>
      <c r="P165" s="4">
        <v>2549</v>
      </c>
      <c r="Q165" s="4">
        <v>11974</v>
      </c>
      <c r="R165" s="4">
        <v>7</v>
      </c>
      <c r="S165" s="3">
        <v>5637.3034969999999</v>
      </c>
      <c r="T165" s="3">
        <f t="shared" si="14"/>
        <v>805.329071</v>
      </c>
      <c r="U165" s="5">
        <f t="shared" si="18"/>
        <v>0.23333333333333334</v>
      </c>
      <c r="V165" s="5">
        <f t="shared" si="15"/>
        <v>2.1091113610798651E-3</v>
      </c>
      <c r="W165" s="3">
        <f t="shared" si="16"/>
        <v>187.91011656666666</v>
      </c>
      <c r="X165" s="3">
        <f t="shared" si="17"/>
        <v>396.3233617125984</v>
      </c>
      <c r="Y165" s="7">
        <f t="shared" si="19"/>
        <v>0.21287790212126273</v>
      </c>
    </row>
    <row r="166" spans="1:25" x14ac:dyDescent="0.25">
      <c r="A166" t="s">
        <v>314</v>
      </c>
      <c r="B166" t="s">
        <v>323</v>
      </c>
      <c r="E166" t="s">
        <v>19</v>
      </c>
      <c r="F166" t="s">
        <v>26</v>
      </c>
      <c r="G166" t="s">
        <v>1078</v>
      </c>
      <c r="H166" t="s">
        <v>1065</v>
      </c>
      <c r="K166" t="s">
        <v>303</v>
      </c>
      <c r="L166" t="s">
        <v>79</v>
      </c>
      <c r="M166" t="s">
        <v>21</v>
      </c>
      <c r="N166" s="4">
        <v>7320</v>
      </c>
      <c r="O166" s="4">
        <v>33</v>
      </c>
      <c r="P166" s="4">
        <v>4020</v>
      </c>
      <c r="Q166" s="4">
        <v>6692</v>
      </c>
      <c r="R166" s="4">
        <v>15</v>
      </c>
      <c r="S166" s="3">
        <v>1730.37357</v>
      </c>
      <c r="T166" s="3">
        <f t="shared" si="14"/>
        <v>115.358238</v>
      </c>
      <c r="U166" s="5">
        <f t="shared" si="18"/>
        <v>0.45454545454545453</v>
      </c>
      <c r="V166" s="5">
        <f t="shared" si="15"/>
        <v>4.5081967213114757E-3</v>
      </c>
      <c r="W166" s="3">
        <f t="shared" si="16"/>
        <v>52.435562727272725</v>
      </c>
      <c r="X166" s="3">
        <f t="shared" si="17"/>
        <v>236.3898319672131</v>
      </c>
      <c r="Y166" s="7">
        <f t="shared" si="19"/>
        <v>0.60071727435744171</v>
      </c>
    </row>
    <row r="167" spans="1:25" x14ac:dyDescent="0.25">
      <c r="A167" t="s">
        <v>314</v>
      </c>
      <c r="B167" t="s">
        <v>323</v>
      </c>
      <c r="C167" t="s">
        <v>324</v>
      </c>
      <c r="E167" t="s">
        <v>14</v>
      </c>
      <c r="F167" t="s">
        <v>44</v>
      </c>
      <c r="G167" t="s">
        <v>1078</v>
      </c>
      <c r="H167" t="s">
        <v>1065</v>
      </c>
      <c r="K167" t="s">
        <v>191</v>
      </c>
      <c r="L167" t="s">
        <v>17</v>
      </c>
      <c r="M167" t="s">
        <v>21</v>
      </c>
      <c r="N167" s="4">
        <v>23774</v>
      </c>
      <c r="O167" s="4">
        <v>60</v>
      </c>
      <c r="P167" s="4">
        <v>10735</v>
      </c>
      <c r="Q167" s="4">
        <v>21076</v>
      </c>
      <c r="R167" s="4">
        <v>24</v>
      </c>
      <c r="S167" s="3">
        <v>7657.1080339999999</v>
      </c>
      <c r="T167" s="3">
        <f t="shared" si="14"/>
        <v>319.04616808333333</v>
      </c>
      <c r="U167" s="5">
        <f t="shared" si="18"/>
        <v>0.4</v>
      </c>
      <c r="V167" s="5">
        <f t="shared" si="15"/>
        <v>2.5237654580634308E-3</v>
      </c>
      <c r="W167" s="3">
        <f t="shared" si="16"/>
        <v>127.61846723333333</v>
      </c>
      <c r="X167" s="3">
        <f t="shared" si="17"/>
        <v>322.07907941448644</v>
      </c>
      <c r="Y167" s="7">
        <f t="shared" si="19"/>
        <v>0.50934712469159238</v>
      </c>
    </row>
    <row r="168" spans="1:25" x14ac:dyDescent="0.25">
      <c r="A168" t="s">
        <v>314</v>
      </c>
      <c r="B168" t="s">
        <v>315</v>
      </c>
      <c r="C168" t="s">
        <v>325</v>
      </c>
      <c r="E168" t="s">
        <v>14</v>
      </c>
      <c r="F168" t="s">
        <v>44</v>
      </c>
      <c r="G168" t="s">
        <v>1070</v>
      </c>
      <c r="H168" t="s">
        <v>1071</v>
      </c>
      <c r="K168" t="s">
        <v>81</v>
      </c>
      <c r="L168" t="s">
        <v>28</v>
      </c>
      <c r="M168" t="s">
        <v>18</v>
      </c>
      <c r="N168" s="4">
        <v>23156</v>
      </c>
      <c r="O168" s="4">
        <v>73</v>
      </c>
      <c r="P168" s="4">
        <v>4468</v>
      </c>
      <c r="Q168" s="4">
        <v>18821</v>
      </c>
      <c r="R168" s="4">
        <v>15</v>
      </c>
      <c r="S168" s="3">
        <v>6173.4128899999996</v>
      </c>
      <c r="T168" s="3">
        <f t="shared" si="14"/>
        <v>411.56085933333333</v>
      </c>
      <c r="U168" s="5">
        <f t="shared" si="18"/>
        <v>0.20547945205479451</v>
      </c>
      <c r="V168" s="5">
        <f t="shared" si="15"/>
        <v>3.1525306615995856E-3</v>
      </c>
      <c r="W168" s="3">
        <f t="shared" si="16"/>
        <v>84.567299863013687</v>
      </c>
      <c r="X168" s="3">
        <f t="shared" si="17"/>
        <v>266.60100578683711</v>
      </c>
      <c r="Y168" s="7">
        <f t="shared" si="19"/>
        <v>0.23739439987248287</v>
      </c>
    </row>
    <row r="169" spans="1:25" x14ac:dyDescent="0.25">
      <c r="A169" t="s">
        <v>314</v>
      </c>
      <c r="B169" t="s">
        <v>315</v>
      </c>
      <c r="E169" t="s">
        <v>14</v>
      </c>
      <c r="F169" t="s">
        <v>26</v>
      </c>
      <c r="G169" t="s">
        <v>1070</v>
      </c>
      <c r="H169" t="s">
        <v>1071</v>
      </c>
      <c r="K169" t="s">
        <v>191</v>
      </c>
      <c r="L169" t="s">
        <v>25</v>
      </c>
      <c r="M169" t="s">
        <v>21</v>
      </c>
      <c r="N169" s="4">
        <v>728841</v>
      </c>
      <c r="O169" s="4">
        <v>2174</v>
      </c>
      <c r="P169" s="4">
        <v>424340</v>
      </c>
      <c r="Q169" s="4">
        <v>634059</v>
      </c>
      <c r="R169" s="4">
        <v>37</v>
      </c>
      <c r="S169" s="3">
        <v>8054.1413679999996</v>
      </c>
      <c r="T169" s="3">
        <f t="shared" si="14"/>
        <v>217.67949643243242</v>
      </c>
      <c r="U169" s="5">
        <f t="shared" si="18"/>
        <v>1.7019319227230909E-2</v>
      </c>
      <c r="V169" s="5">
        <f t="shared" si="15"/>
        <v>2.9828179259948329E-3</v>
      </c>
      <c r="W169" s="3">
        <f t="shared" si="16"/>
        <v>3.7047568390064396</v>
      </c>
      <c r="X169" s="3">
        <f t="shared" si="17"/>
        <v>11.050615110840361</v>
      </c>
      <c r="Y169" s="7">
        <f t="shared" si="19"/>
        <v>0.66924371391305859</v>
      </c>
    </row>
    <row r="170" spans="1:25" x14ac:dyDescent="0.25">
      <c r="A170" t="s">
        <v>314</v>
      </c>
      <c r="B170" t="s">
        <v>315</v>
      </c>
      <c r="C170" t="s">
        <v>326</v>
      </c>
      <c r="E170" t="s">
        <v>14</v>
      </c>
      <c r="F170" t="s">
        <v>26</v>
      </c>
      <c r="G170" t="s">
        <v>1084</v>
      </c>
      <c r="H170" t="s">
        <v>1065</v>
      </c>
      <c r="K170" t="s">
        <v>225</v>
      </c>
      <c r="L170" t="s">
        <v>28</v>
      </c>
      <c r="M170" t="s">
        <v>21</v>
      </c>
      <c r="N170" s="4">
        <v>57168</v>
      </c>
      <c r="O170" s="4">
        <v>160</v>
      </c>
      <c r="P170" s="4">
        <v>43261</v>
      </c>
      <c r="Q170" s="4">
        <v>55261</v>
      </c>
      <c r="R170" s="4">
        <v>12</v>
      </c>
      <c r="S170" s="3">
        <v>5841.1513599999998</v>
      </c>
      <c r="T170" s="3">
        <f t="shared" si="14"/>
        <v>486.76261333333332</v>
      </c>
      <c r="U170" s="5">
        <f t="shared" si="18"/>
        <v>7.4999999999999997E-2</v>
      </c>
      <c r="V170" s="5">
        <f t="shared" si="15"/>
        <v>2.7987685418415899E-3</v>
      </c>
      <c r="W170" s="3">
        <f t="shared" si="16"/>
        <v>36.507196</v>
      </c>
      <c r="X170" s="3">
        <f t="shared" si="17"/>
        <v>102.17519171564511</v>
      </c>
      <c r="Y170" s="7">
        <f t="shared" si="19"/>
        <v>0.78284866361448402</v>
      </c>
    </row>
    <row r="171" spans="1:25" x14ac:dyDescent="0.25">
      <c r="A171" t="s">
        <v>314</v>
      </c>
      <c r="B171" t="s">
        <v>323</v>
      </c>
      <c r="C171" t="s">
        <v>327</v>
      </c>
      <c r="E171" t="s">
        <v>19</v>
      </c>
      <c r="F171" t="s">
        <v>44</v>
      </c>
      <c r="G171" t="s">
        <v>1070</v>
      </c>
      <c r="H171" t="s">
        <v>1071</v>
      </c>
      <c r="K171" t="s">
        <v>249</v>
      </c>
      <c r="L171" t="s">
        <v>17</v>
      </c>
      <c r="M171" t="s">
        <v>21</v>
      </c>
      <c r="N171" s="4">
        <v>18095</v>
      </c>
      <c r="O171" s="4">
        <v>50</v>
      </c>
      <c r="P171" s="4">
        <v>10021</v>
      </c>
      <c r="Q171" s="4">
        <v>16755</v>
      </c>
      <c r="R171" s="4">
        <v>24</v>
      </c>
      <c r="S171" s="3">
        <v>6768.7587679999997</v>
      </c>
      <c r="T171" s="3">
        <f t="shared" si="14"/>
        <v>282.03161533333332</v>
      </c>
      <c r="U171" s="5">
        <f t="shared" si="18"/>
        <v>0.48</v>
      </c>
      <c r="V171" s="5">
        <f t="shared" si="15"/>
        <v>2.7631942525559545E-3</v>
      </c>
      <c r="W171" s="3">
        <f t="shared" si="16"/>
        <v>135.37517535999999</v>
      </c>
      <c r="X171" s="3">
        <f t="shared" si="17"/>
        <v>374.06790649350648</v>
      </c>
      <c r="Y171" s="7">
        <f t="shared" si="19"/>
        <v>0.5980901223515368</v>
      </c>
    </row>
    <row r="172" spans="1:25" x14ac:dyDescent="0.25">
      <c r="A172" t="s">
        <v>314</v>
      </c>
      <c r="B172" t="s">
        <v>328</v>
      </c>
      <c r="E172" t="s">
        <v>19</v>
      </c>
      <c r="F172" t="s">
        <v>33</v>
      </c>
      <c r="G172" t="s">
        <v>1086</v>
      </c>
      <c r="H172" t="s">
        <v>1063</v>
      </c>
      <c r="K172" t="s">
        <v>24</v>
      </c>
      <c r="L172" t="s">
        <v>17</v>
      </c>
      <c r="M172" t="s">
        <v>21</v>
      </c>
      <c r="N172" s="4">
        <v>999915</v>
      </c>
      <c r="O172" s="4">
        <v>2748</v>
      </c>
      <c r="P172" s="4">
        <v>618816</v>
      </c>
      <c r="Q172" s="4">
        <v>829942</v>
      </c>
      <c r="R172" s="4">
        <v>23</v>
      </c>
      <c r="S172" s="3">
        <v>7879.3167869999997</v>
      </c>
      <c r="T172" s="3">
        <f t="shared" si="14"/>
        <v>342.5789907391304</v>
      </c>
      <c r="U172" s="5">
        <f t="shared" si="18"/>
        <v>8.3697234352256185E-3</v>
      </c>
      <c r="V172" s="5">
        <f t="shared" si="15"/>
        <v>2.7482335998559879E-3</v>
      </c>
      <c r="W172" s="3">
        <f t="shared" si="16"/>
        <v>2.86729140720524</v>
      </c>
      <c r="X172" s="3">
        <f t="shared" si="17"/>
        <v>7.8799865858597986</v>
      </c>
      <c r="Y172" s="7">
        <f t="shared" si="19"/>
        <v>0.74561354889859777</v>
      </c>
    </row>
    <row r="173" spans="1:25" x14ac:dyDescent="0.25">
      <c r="A173" t="s">
        <v>314</v>
      </c>
      <c r="B173" t="s">
        <v>329</v>
      </c>
      <c r="E173" t="s">
        <v>19</v>
      </c>
      <c r="F173" t="s">
        <v>26</v>
      </c>
      <c r="G173" t="s">
        <v>1073</v>
      </c>
      <c r="H173" t="s">
        <v>1074</v>
      </c>
      <c r="K173" t="s">
        <v>75</v>
      </c>
      <c r="L173" t="s">
        <v>17</v>
      </c>
      <c r="M173" t="s">
        <v>21</v>
      </c>
      <c r="N173" s="4">
        <v>22690</v>
      </c>
      <c r="O173" s="4">
        <v>68</v>
      </c>
      <c r="P173" s="4">
        <v>10212</v>
      </c>
      <c r="Q173" s="4">
        <v>19934</v>
      </c>
      <c r="R173" s="4">
        <v>19</v>
      </c>
      <c r="S173" s="3">
        <v>7210.686506</v>
      </c>
      <c r="T173" s="3">
        <f t="shared" si="14"/>
        <v>379.50981610526316</v>
      </c>
      <c r="U173" s="5">
        <f t="shared" si="18"/>
        <v>0.27941176470588236</v>
      </c>
      <c r="V173" s="5">
        <f t="shared" si="15"/>
        <v>2.996914940502424E-3</v>
      </c>
      <c r="W173" s="3">
        <f t="shared" si="16"/>
        <v>106.03950744117647</v>
      </c>
      <c r="X173" s="3">
        <f t="shared" si="17"/>
        <v>317.7913841339797</v>
      </c>
      <c r="Y173" s="7">
        <f t="shared" si="19"/>
        <v>0.51229055884418584</v>
      </c>
    </row>
    <row r="174" spans="1:25" x14ac:dyDescent="0.25">
      <c r="A174" t="s">
        <v>314</v>
      </c>
      <c r="B174" t="s">
        <v>330</v>
      </c>
      <c r="E174" t="s">
        <v>23</v>
      </c>
      <c r="F174" t="s">
        <v>44</v>
      </c>
      <c r="G174" t="s">
        <v>1070</v>
      </c>
      <c r="H174" t="s">
        <v>1071</v>
      </c>
      <c r="K174" t="s">
        <v>191</v>
      </c>
      <c r="L174" t="s">
        <v>28</v>
      </c>
      <c r="M174" t="s">
        <v>21</v>
      </c>
      <c r="N174" s="4">
        <v>1083050</v>
      </c>
      <c r="O174" s="4">
        <v>3984</v>
      </c>
      <c r="P174" s="4">
        <v>590156</v>
      </c>
      <c r="Q174" s="4">
        <v>953556</v>
      </c>
      <c r="R174" s="4">
        <v>19</v>
      </c>
      <c r="S174" s="3">
        <v>7495.749847</v>
      </c>
      <c r="T174" s="3">
        <f t="shared" si="14"/>
        <v>394.51314984210529</v>
      </c>
      <c r="U174" s="5">
        <f t="shared" si="18"/>
        <v>4.7690763052208839E-3</v>
      </c>
      <c r="V174" s="5">
        <f t="shared" si="15"/>
        <v>3.6785005309080835E-3</v>
      </c>
      <c r="W174" s="3">
        <f t="shared" si="16"/>
        <v>1.8814633150100402</v>
      </c>
      <c r="X174" s="3">
        <f t="shared" si="17"/>
        <v>6.9209638031485161</v>
      </c>
      <c r="Y174" s="7">
        <f t="shared" si="19"/>
        <v>0.61890020093208997</v>
      </c>
    </row>
    <row r="175" spans="1:25" x14ac:dyDescent="0.25">
      <c r="A175" t="s">
        <v>314</v>
      </c>
      <c r="B175" t="s">
        <v>331</v>
      </c>
      <c r="C175" t="s">
        <v>332</v>
      </c>
      <c r="E175" t="s">
        <v>14</v>
      </c>
      <c r="F175" t="s">
        <v>26</v>
      </c>
      <c r="G175" t="s">
        <v>1086</v>
      </c>
      <c r="H175" t="s">
        <v>1063</v>
      </c>
      <c r="K175" t="s">
        <v>24</v>
      </c>
      <c r="L175" t="s">
        <v>17</v>
      </c>
      <c r="M175" t="s">
        <v>21</v>
      </c>
      <c r="N175" s="4">
        <v>109128</v>
      </c>
      <c r="O175" s="4">
        <v>470</v>
      </c>
      <c r="P175" s="4">
        <v>38487</v>
      </c>
      <c r="Q175" s="4">
        <v>90615</v>
      </c>
      <c r="R175" s="4">
        <v>3</v>
      </c>
      <c r="S175" s="3">
        <v>5153.1172040000001</v>
      </c>
      <c r="T175" s="3">
        <f t="shared" si="14"/>
        <v>1717.7057346666668</v>
      </c>
      <c r="U175" s="5">
        <f t="shared" si="18"/>
        <v>6.382978723404255E-3</v>
      </c>
      <c r="V175" s="5">
        <f t="shared" si="15"/>
        <v>4.3068689978740561E-3</v>
      </c>
      <c r="W175" s="3">
        <f t="shared" si="16"/>
        <v>10.964079157446809</v>
      </c>
      <c r="X175" s="3">
        <f t="shared" si="17"/>
        <v>47.220852613444762</v>
      </c>
      <c r="Y175" s="7">
        <f t="shared" si="19"/>
        <v>0.42473100480052972</v>
      </c>
    </row>
    <row r="176" spans="1:25" x14ac:dyDescent="0.25">
      <c r="A176" t="s">
        <v>314</v>
      </c>
      <c r="B176" t="s">
        <v>331</v>
      </c>
      <c r="E176" t="s">
        <v>19</v>
      </c>
      <c r="F176" t="s">
        <v>33</v>
      </c>
      <c r="G176" t="s">
        <v>1070</v>
      </c>
      <c r="H176" t="s">
        <v>1071</v>
      </c>
      <c r="K176" t="s">
        <v>117</v>
      </c>
      <c r="L176" t="s">
        <v>89</v>
      </c>
      <c r="M176" t="s">
        <v>21</v>
      </c>
      <c r="N176" s="4">
        <v>888037</v>
      </c>
      <c r="O176" s="4">
        <v>2841</v>
      </c>
      <c r="P176" s="4">
        <v>370429</v>
      </c>
      <c r="Q176" s="4">
        <v>820340</v>
      </c>
      <c r="R176" s="4">
        <v>42</v>
      </c>
      <c r="S176" s="3">
        <v>8134.3505240000004</v>
      </c>
      <c r="T176" s="3">
        <f t="shared" si="14"/>
        <v>193.67501247619049</v>
      </c>
      <c r="U176" s="5">
        <f t="shared" si="18"/>
        <v>1.4783526927138331E-2</v>
      </c>
      <c r="V176" s="5">
        <f t="shared" si="15"/>
        <v>3.1991910246982952E-3</v>
      </c>
      <c r="W176" s="3">
        <f t="shared" si="16"/>
        <v>2.8631997620556144</v>
      </c>
      <c r="X176" s="3">
        <f t="shared" si="17"/>
        <v>9.1599229806866163</v>
      </c>
      <c r="Y176" s="7">
        <f t="shared" si="19"/>
        <v>0.45155545261720748</v>
      </c>
    </row>
    <row r="177" spans="1:25" x14ac:dyDescent="0.25">
      <c r="A177" t="s">
        <v>314</v>
      </c>
      <c r="B177" t="s">
        <v>333</v>
      </c>
      <c r="E177" t="s">
        <v>14</v>
      </c>
      <c r="F177" t="s">
        <v>33</v>
      </c>
      <c r="G177" t="s">
        <v>1070</v>
      </c>
      <c r="H177" t="s">
        <v>1071</v>
      </c>
      <c r="K177" t="s">
        <v>117</v>
      </c>
      <c r="L177" t="s">
        <v>25</v>
      </c>
      <c r="M177" t="s">
        <v>18</v>
      </c>
      <c r="N177" s="4">
        <v>7584</v>
      </c>
      <c r="O177" s="4">
        <v>40</v>
      </c>
      <c r="P177" s="4">
        <v>3093</v>
      </c>
      <c r="Q177" s="4">
        <v>6897</v>
      </c>
      <c r="R177" s="4">
        <v>2</v>
      </c>
      <c r="S177" s="3">
        <v>4467.0807580000001</v>
      </c>
      <c r="T177" s="3">
        <f t="shared" si="14"/>
        <v>2233.540379</v>
      </c>
      <c r="U177" s="5">
        <f t="shared" si="18"/>
        <v>0.05</v>
      </c>
      <c r="V177" s="5">
        <f t="shared" si="15"/>
        <v>5.2742616033755272E-3</v>
      </c>
      <c r="W177" s="3">
        <f t="shared" si="16"/>
        <v>111.67701895</v>
      </c>
      <c r="X177" s="3">
        <f t="shared" si="17"/>
        <v>589.01381302742618</v>
      </c>
      <c r="Y177" s="7">
        <f t="shared" si="19"/>
        <v>0.44845585036972596</v>
      </c>
    </row>
    <row r="178" spans="1:25" x14ac:dyDescent="0.25">
      <c r="A178" t="s">
        <v>314</v>
      </c>
      <c r="B178" t="s">
        <v>334</v>
      </c>
      <c r="C178" t="s">
        <v>335</v>
      </c>
      <c r="E178" t="s">
        <v>14</v>
      </c>
      <c r="F178" t="s">
        <v>15</v>
      </c>
      <c r="G178" t="s">
        <v>1066</v>
      </c>
      <c r="H178" t="s">
        <v>1067</v>
      </c>
      <c r="K178" t="s">
        <v>98</v>
      </c>
      <c r="L178" t="s">
        <v>17</v>
      </c>
      <c r="M178" t="s">
        <v>21</v>
      </c>
      <c r="N178" s="4">
        <v>106392</v>
      </c>
      <c r="O178" s="4">
        <v>299</v>
      </c>
      <c r="P178" s="4">
        <v>39599</v>
      </c>
      <c r="Q178" s="4">
        <v>94941</v>
      </c>
      <c r="R178" s="4">
        <v>3</v>
      </c>
      <c r="S178" s="3">
        <v>6542.6124280000004</v>
      </c>
      <c r="T178" s="3">
        <f t="shared" si="14"/>
        <v>2180.8708093333335</v>
      </c>
      <c r="U178" s="5">
        <f t="shared" si="18"/>
        <v>1.0033444816053512E-2</v>
      </c>
      <c r="V178" s="5">
        <f t="shared" si="15"/>
        <v>2.8103616813294234E-3</v>
      </c>
      <c r="W178" s="3">
        <f t="shared" si="16"/>
        <v>21.881646916387961</v>
      </c>
      <c r="X178" s="3">
        <f t="shared" si="17"/>
        <v>61.495342018196865</v>
      </c>
      <c r="Y178" s="7">
        <f t="shared" si="19"/>
        <v>0.41709061417090615</v>
      </c>
    </row>
    <row r="179" spans="1:25" x14ac:dyDescent="0.25">
      <c r="A179" t="s">
        <v>314</v>
      </c>
      <c r="B179" t="s">
        <v>334</v>
      </c>
      <c r="C179" t="s">
        <v>336</v>
      </c>
      <c r="E179" t="s">
        <v>14</v>
      </c>
      <c r="F179" t="s">
        <v>26</v>
      </c>
      <c r="G179" t="s">
        <v>1086</v>
      </c>
      <c r="H179" t="s">
        <v>1063</v>
      </c>
      <c r="K179" t="s">
        <v>337</v>
      </c>
      <c r="L179" t="s">
        <v>25</v>
      </c>
      <c r="M179" t="s">
        <v>18</v>
      </c>
      <c r="N179" s="4">
        <v>7585</v>
      </c>
      <c r="O179" s="4">
        <v>13</v>
      </c>
      <c r="P179" s="4">
        <v>5396</v>
      </c>
      <c r="Q179" s="4">
        <v>7417</v>
      </c>
      <c r="R179" s="4">
        <v>24</v>
      </c>
      <c r="S179" s="3">
        <v>7082.6538019999998</v>
      </c>
      <c r="T179" s="3">
        <f t="shared" si="14"/>
        <v>295.11057508333334</v>
      </c>
      <c r="U179" s="5">
        <f t="shared" si="18"/>
        <v>1.8461538461538463</v>
      </c>
      <c r="V179" s="5">
        <f t="shared" si="15"/>
        <v>1.7139090309822016E-3</v>
      </c>
      <c r="W179" s="3">
        <f t="shared" si="16"/>
        <v>544.81952323076916</v>
      </c>
      <c r="X179" s="3">
        <f t="shared" si="17"/>
        <v>933.77110112063281</v>
      </c>
      <c r="Y179" s="7">
        <f t="shared" si="19"/>
        <v>0.72751786436564647</v>
      </c>
    </row>
    <row r="180" spans="1:25" x14ac:dyDescent="0.25">
      <c r="A180" t="s">
        <v>314</v>
      </c>
      <c r="B180" t="s">
        <v>334</v>
      </c>
      <c r="C180" t="s">
        <v>338</v>
      </c>
      <c r="E180" t="s">
        <v>14</v>
      </c>
      <c r="F180" t="s">
        <v>44</v>
      </c>
      <c r="G180" t="s">
        <v>1070</v>
      </c>
      <c r="H180" t="s">
        <v>1071</v>
      </c>
      <c r="K180" t="s">
        <v>339</v>
      </c>
      <c r="L180" t="s">
        <v>73</v>
      </c>
      <c r="M180" t="s">
        <v>21</v>
      </c>
      <c r="N180" s="4">
        <v>247106</v>
      </c>
      <c r="O180" s="4">
        <v>750</v>
      </c>
      <c r="P180" s="4">
        <v>159618</v>
      </c>
      <c r="Q180" s="4">
        <v>233150</v>
      </c>
      <c r="R180" s="4">
        <v>32</v>
      </c>
      <c r="S180" s="3">
        <v>7629.94427</v>
      </c>
      <c r="T180" s="3">
        <f t="shared" si="14"/>
        <v>238.4357584375</v>
      </c>
      <c r="U180" s="5">
        <f t="shared" si="18"/>
        <v>4.2666666666666665E-2</v>
      </c>
      <c r="V180" s="5">
        <f t="shared" si="15"/>
        <v>3.0351347195130833E-3</v>
      </c>
      <c r="W180" s="3">
        <f t="shared" si="16"/>
        <v>10.173259026666667</v>
      </c>
      <c r="X180" s="3">
        <f t="shared" si="17"/>
        <v>30.877211682435878</v>
      </c>
      <c r="Y180" s="7">
        <f t="shared" si="19"/>
        <v>0.68461505468582462</v>
      </c>
    </row>
    <row r="181" spans="1:25" x14ac:dyDescent="0.25">
      <c r="A181" t="s">
        <v>314</v>
      </c>
      <c r="B181" t="s">
        <v>315</v>
      </c>
      <c r="C181" t="s">
        <v>340</v>
      </c>
      <c r="E181" t="s">
        <v>14</v>
      </c>
      <c r="F181" t="s">
        <v>26</v>
      </c>
      <c r="G181" t="s">
        <v>1066</v>
      </c>
      <c r="H181" t="s">
        <v>1067</v>
      </c>
      <c r="K181" t="s">
        <v>243</v>
      </c>
      <c r="L181" t="s">
        <v>89</v>
      </c>
      <c r="M181" t="s">
        <v>29</v>
      </c>
      <c r="N181" s="4">
        <v>95644</v>
      </c>
      <c r="O181" s="4">
        <v>240</v>
      </c>
      <c r="P181" s="4">
        <v>13294</v>
      </c>
      <c r="Q181" s="4">
        <v>86775</v>
      </c>
      <c r="R181" s="4">
        <v>9</v>
      </c>
      <c r="S181" s="3">
        <v>5587.7636750000001</v>
      </c>
      <c r="T181" s="3">
        <f t="shared" si="14"/>
        <v>620.8626305555556</v>
      </c>
      <c r="U181" s="5">
        <f t="shared" si="18"/>
        <v>3.7499999999999999E-2</v>
      </c>
      <c r="V181" s="5">
        <f t="shared" si="15"/>
        <v>2.5093053406381998E-3</v>
      </c>
      <c r="W181" s="3">
        <f t="shared" si="16"/>
        <v>23.282348645833334</v>
      </c>
      <c r="X181" s="3">
        <f t="shared" si="17"/>
        <v>58.42252179959015</v>
      </c>
      <c r="Y181" s="7">
        <f t="shared" si="19"/>
        <v>0.15320080668395275</v>
      </c>
    </row>
    <row r="182" spans="1:25" x14ac:dyDescent="0.25">
      <c r="A182" t="s">
        <v>314</v>
      </c>
      <c r="B182" t="s">
        <v>334</v>
      </c>
      <c r="C182" t="s">
        <v>341</v>
      </c>
      <c r="E182" t="s">
        <v>23</v>
      </c>
      <c r="F182" t="s">
        <v>26</v>
      </c>
      <c r="G182" t="s">
        <v>1062</v>
      </c>
      <c r="H182" t="s">
        <v>1063</v>
      </c>
      <c r="K182" t="s">
        <v>342</v>
      </c>
      <c r="L182" t="s">
        <v>25</v>
      </c>
      <c r="M182" t="s">
        <v>21</v>
      </c>
      <c r="N182" s="4">
        <v>100800</v>
      </c>
      <c r="O182" s="4">
        <v>185</v>
      </c>
      <c r="P182" s="4">
        <v>14473</v>
      </c>
      <c r="Q182" s="4">
        <v>85424</v>
      </c>
      <c r="R182" s="4">
        <v>10</v>
      </c>
      <c r="S182" s="3">
        <v>7004.7304830000003</v>
      </c>
      <c r="T182" s="3">
        <f t="shared" si="14"/>
        <v>700.47304830000007</v>
      </c>
      <c r="U182" s="5">
        <f t="shared" si="18"/>
        <v>5.4054054054054057E-2</v>
      </c>
      <c r="V182" s="5">
        <f t="shared" si="15"/>
        <v>1.8353174603174603E-3</v>
      </c>
      <c r="W182" s="3">
        <f t="shared" si="16"/>
        <v>37.863408016216219</v>
      </c>
      <c r="X182" s="3">
        <f t="shared" si="17"/>
        <v>69.491373839285714</v>
      </c>
      <c r="Y182" s="7">
        <f t="shared" si="19"/>
        <v>0.16942545420490729</v>
      </c>
    </row>
    <row r="183" spans="1:25" x14ac:dyDescent="0.25">
      <c r="A183" t="s">
        <v>343</v>
      </c>
      <c r="B183" t="s">
        <v>344</v>
      </c>
      <c r="C183" t="s">
        <v>345</v>
      </c>
      <c r="E183" t="s">
        <v>14</v>
      </c>
      <c r="F183" t="s">
        <v>15</v>
      </c>
      <c r="G183" t="s">
        <v>1066</v>
      </c>
      <c r="H183" t="s">
        <v>1067</v>
      </c>
      <c r="K183" t="s">
        <v>20</v>
      </c>
      <c r="L183" t="s">
        <v>17</v>
      </c>
      <c r="M183" t="s">
        <v>18</v>
      </c>
      <c r="N183" s="4">
        <v>50517</v>
      </c>
      <c r="O183" s="4">
        <v>270</v>
      </c>
      <c r="P183" s="4">
        <v>17179</v>
      </c>
      <c r="Q183" s="4">
        <v>48389</v>
      </c>
      <c r="R183" s="4">
        <v>2</v>
      </c>
      <c r="S183" s="3">
        <v>1718.4710769999999</v>
      </c>
      <c r="T183" s="3">
        <f t="shared" si="14"/>
        <v>859.23553849999996</v>
      </c>
      <c r="U183" s="5">
        <f t="shared" si="18"/>
        <v>7.4074074074074077E-3</v>
      </c>
      <c r="V183" s="5">
        <f t="shared" si="15"/>
        <v>5.3447354355959384E-3</v>
      </c>
      <c r="W183" s="3">
        <f t="shared" si="16"/>
        <v>6.3647076925925923</v>
      </c>
      <c r="X183" s="3">
        <f t="shared" si="17"/>
        <v>34.017678741809682</v>
      </c>
      <c r="Y183" s="7">
        <f t="shared" si="19"/>
        <v>0.3550187025976978</v>
      </c>
    </row>
    <row r="184" spans="1:25" x14ac:dyDescent="0.25">
      <c r="A184" t="s">
        <v>343</v>
      </c>
      <c r="B184" t="s">
        <v>346</v>
      </c>
      <c r="C184" t="s">
        <v>347</v>
      </c>
      <c r="E184" t="s">
        <v>19</v>
      </c>
      <c r="F184" t="s">
        <v>26</v>
      </c>
      <c r="G184" t="s">
        <v>1072</v>
      </c>
      <c r="H184" t="s">
        <v>1065</v>
      </c>
      <c r="K184" t="s">
        <v>75</v>
      </c>
      <c r="L184" t="s">
        <v>17</v>
      </c>
      <c r="M184" t="s">
        <v>21</v>
      </c>
      <c r="N184" s="4">
        <v>52582</v>
      </c>
      <c r="O184" s="4">
        <v>140</v>
      </c>
      <c r="P184" s="4">
        <v>22065</v>
      </c>
      <c r="Q184" s="4">
        <v>46126</v>
      </c>
      <c r="R184" s="4">
        <v>10</v>
      </c>
      <c r="S184" s="3">
        <v>1631.741712</v>
      </c>
      <c r="T184" s="3">
        <f t="shared" si="14"/>
        <v>163.17417119999999</v>
      </c>
      <c r="U184" s="5">
        <f t="shared" si="18"/>
        <v>7.1428571428571425E-2</v>
      </c>
      <c r="V184" s="5">
        <f t="shared" si="15"/>
        <v>2.6625080826138221E-3</v>
      </c>
      <c r="W184" s="3">
        <f t="shared" si="16"/>
        <v>11.655297942857143</v>
      </c>
      <c r="X184" s="3">
        <f t="shared" si="17"/>
        <v>31.032324978129395</v>
      </c>
      <c r="Y184" s="7">
        <f t="shared" si="19"/>
        <v>0.47836361271300354</v>
      </c>
    </row>
    <row r="185" spans="1:25" x14ac:dyDescent="0.25">
      <c r="A185" t="s">
        <v>343</v>
      </c>
      <c r="B185" t="s">
        <v>346</v>
      </c>
      <c r="C185" t="s">
        <v>348</v>
      </c>
      <c r="E185" t="s">
        <v>14</v>
      </c>
      <c r="F185" t="s">
        <v>26</v>
      </c>
      <c r="G185" t="s">
        <v>1070</v>
      </c>
      <c r="H185" t="s">
        <v>1071</v>
      </c>
      <c r="K185" t="s">
        <v>349</v>
      </c>
      <c r="L185" t="s">
        <v>68</v>
      </c>
      <c r="M185" t="s">
        <v>21</v>
      </c>
      <c r="N185" s="4">
        <v>61227</v>
      </c>
      <c r="O185" s="4">
        <v>174</v>
      </c>
      <c r="P185" s="4">
        <v>10434</v>
      </c>
      <c r="Q185" s="4">
        <v>53104</v>
      </c>
      <c r="R185" s="4">
        <v>8</v>
      </c>
      <c r="S185" s="3">
        <v>1919.553678</v>
      </c>
      <c r="T185" s="3">
        <f t="shared" si="14"/>
        <v>239.94420975</v>
      </c>
      <c r="U185" s="5">
        <f t="shared" si="18"/>
        <v>4.5977011494252873E-2</v>
      </c>
      <c r="V185" s="5">
        <f t="shared" si="15"/>
        <v>2.8418834827772061E-3</v>
      </c>
      <c r="W185" s="3">
        <f t="shared" si="16"/>
        <v>11.031917689655172</v>
      </c>
      <c r="X185" s="3">
        <f t="shared" si="17"/>
        <v>31.351424665588713</v>
      </c>
      <c r="Y185" s="7">
        <f t="shared" si="19"/>
        <v>0.19648237420909911</v>
      </c>
    </row>
    <row r="186" spans="1:25" x14ac:dyDescent="0.25">
      <c r="A186" t="s">
        <v>343</v>
      </c>
      <c r="B186" t="s">
        <v>350</v>
      </c>
      <c r="C186" t="s">
        <v>351</v>
      </c>
      <c r="E186" t="s">
        <v>14</v>
      </c>
      <c r="F186" t="s">
        <v>26</v>
      </c>
      <c r="G186" t="s">
        <v>1073</v>
      </c>
      <c r="H186" t="s">
        <v>1074</v>
      </c>
      <c r="K186" t="s">
        <v>24</v>
      </c>
      <c r="L186" t="s">
        <v>17</v>
      </c>
      <c r="M186" t="s">
        <v>29</v>
      </c>
      <c r="N186" s="4">
        <v>60412</v>
      </c>
      <c r="O186" s="4">
        <v>169</v>
      </c>
      <c r="P186" s="4">
        <v>33457</v>
      </c>
      <c r="Q186" s="4">
        <v>52172</v>
      </c>
      <c r="R186" s="4">
        <v>24</v>
      </c>
      <c r="S186" s="3">
        <v>1679.5727079999999</v>
      </c>
      <c r="T186" s="3">
        <f t="shared" si="14"/>
        <v>69.982196166666668</v>
      </c>
      <c r="U186" s="5">
        <f t="shared" si="18"/>
        <v>0.14201183431952663</v>
      </c>
      <c r="V186" s="5">
        <f t="shared" si="15"/>
        <v>2.7974574587830234E-3</v>
      </c>
      <c r="W186" s="3">
        <f t="shared" si="16"/>
        <v>9.9383000473372771</v>
      </c>
      <c r="X186" s="3">
        <f t="shared" si="17"/>
        <v>27.801971595047341</v>
      </c>
      <c r="Y186" s="7">
        <f t="shared" si="19"/>
        <v>0.64128268036494673</v>
      </c>
    </row>
    <row r="187" spans="1:25" x14ac:dyDescent="0.25">
      <c r="A187" t="s">
        <v>343</v>
      </c>
      <c r="B187" t="s">
        <v>350</v>
      </c>
      <c r="C187" t="s">
        <v>352</v>
      </c>
      <c r="E187" t="s">
        <v>14</v>
      </c>
      <c r="F187" t="s">
        <v>33</v>
      </c>
      <c r="G187" t="s">
        <v>1062</v>
      </c>
      <c r="H187" t="s">
        <v>1063</v>
      </c>
      <c r="K187" t="s">
        <v>353</v>
      </c>
      <c r="L187" t="s">
        <v>64</v>
      </c>
      <c r="M187" t="s">
        <v>21</v>
      </c>
      <c r="N187" s="4">
        <v>8437</v>
      </c>
      <c r="O187" s="4">
        <v>63</v>
      </c>
      <c r="P187" s="4">
        <v>5271</v>
      </c>
      <c r="Q187" s="4">
        <v>7065</v>
      </c>
      <c r="R187" s="4">
        <v>2</v>
      </c>
      <c r="S187" s="3">
        <v>1880.5331679999999</v>
      </c>
      <c r="T187" s="3">
        <f t="shared" si="14"/>
        <v>940.26658399999997</v>
      </c>
      <c r="U187" s="5">
        <f t="shared" si="18"/>
        <v>3.1746031746031744E-2</v>
      </c>
      <c r="V187" s="5">
        <f t="shared" si="15"/>
        <v>7.467109162024416E-3</v>
      </c>
      <c r="W187" s="3">
        <f t="shared" si="16"/>
        <v>29.849732825396824</v>
      </c>
      <c r="X187" s="3">
        <f t="shared" si="17"/>
        <v>222.89121346450159</v>
      </c>
      <c r="Y187" s="7">
        <f t="shared" si="19"/>
        <v>0.74607218683651799</v>
      </c>
    </row>
    <row r="188" spans="1:25" x14ac:dyDescent="0.25">
      <c r="A188" t="s">
        <v>343</v>
      </c>
      <c r="B188" t="s">
        <v>354</v>
      </c>
      <c r="C188" t="s">
        <v>355</v>
      </c>
      <c r="E188" t="s">
        <v>19</v>
      </c>
      <c r="F188" t="s">
        <v>33</v>
      </c>
      <c r="G188" t="s">
        <v>1106</v>
      </c>
      <c r="H188" t="s">
        <v>1097</v>
      </c>
      <c r="K188" t="s">
        <v>356</v>
      </c>
      <c r="L188" t="s">
        <v>145</v>
      </c>
      <c r="M188" t="s">
        <v>21</v>
      </c>
      <c r="N188" s="4">
        <v>12148</v>
      </c>
      <c r="O188" s="4">
        <v>40</v>
      </c>
      <c r="P188" s="4">
        <v>7950</v>
      </c>
      <c r="Q188" s="4">
        <v>11360</v>
      </c>
      <c r="R188" s="4">
        <v>9</v>
      </c>
      <c r="S188" s="3">
        <v>1936.008049</v>
      </c>
      <c r="T188" s="3">
        <f t="shared" si="14"/>
        <v>215.11200544444443</v>
      </c>
      <c r="U188" s="5">
        <f t="shared" si="18"/>
        <v>0.22500000000000001</v>
      </c>
      <c r="V188" s="5">
        <f t="shared" si="15"/>
        <v>3.2927230819888046E-3</v>
      </c>
      <c r="W188" s="3">
        <f t="shared" si="16"/>
        <v>48.400201225000004</v>
      </c>
      <c r="X188" s="3">
        <f t="shared" si="17"/>
        <v>159.36845974646033</v>
      </c>
      <c r="Y188" s="7">
        <f t="shared" si="19"/>
        <v>0.69982394366197187</v>
      </c>
    </row>
    <row r="189" spans="1:25" x14ac:dyDescent="0.25">
      <c r="A189" t="s">
        <v>343</v>
      </c>
      <c r="B189" t="s">
        <v>346</v>
      </c>
      <c r="C189" t="s">
        <v>357</v>
      </c>
      <c r="E189" t="s">
        <v>14</v>
      </c>
      <c r="F189" t="s">
        <v>44</v>
      </c>
      <c r="G189" t="s">
        <v>1092</v>
      </c>
      <c r="H189" t="s">
        <v>1065</v>
      </c>
      <c r="K189" t="s">
        <v>358</v>
      </c>
      <c r="L189" t="s">
        <v>17</v>
      </c>
      <c r="M189" t="s">
        <v>29</v>
      </c>
      <c r="N189" s="4">
        <v>20348</v>
      </c>
      <c r="O189" s="4">
        <v>101</v>
      </c>
      <c r="P189" s="4">
        <v>14945</v>
      </c>
      <c r="Q189" s="4">
        <v>19548</v>
      </c>
      <c r="R189" s="4">
        <v>6</v>
      </c>
      <c r="S189" s="3">
        <v>1596.552373</v>
      </c>
      <c r="T189" s="3">
        <f t="shared" si="14"/>
        <v>266.09206216666666</v>
      </c>
      <c r="U189" s="5">
        <f t="shared" si="18"/>
        <v>5.9405940594059403E-2</v>
      </c>
      <c r="V189" s="5">
        <f t="shared" si="15"/>
        <v>4.9636327894633375E-3</v>
      </c>
      <c r="W189" s="3">
        <f t="shared" si="16"/>
        <v>15.807449237623763</v>
      </c>
      <c r="X189" s="3">
        <f t="shared" si="17"/>
        <v>78.462373353646541</v>
      </c>
      <c r="Y189" s="7">
        <f t="shared" si="19"/>
        <v>0.76452834049519136</v>
      </c>
    </row>
    <row r="190" spans="1:25" x14ac:dyDescent="0.25">
      <c r="A190" t="s">
        <v>343</v>
      </c>
      <c r="B190" t="s">
        <v>172</v>
      </c>
      <c r="C190" t="s">
        <v>359</v>
      </c>
      <c r="E190" t="s">
        <v>19</v>
      </c>
      <c r="F190" t="s">
        <v>15</v>
      </c>
      <c r="G190" t="s">
        <v>1078</v>
      </c>
      <c r="H190" t="s">
        <v>1065</v>
      </c>
      <c r="K190" t="s">
        <v>78</v>
      </c>
      <c r="L190" t="s">
        <v>17</v>
      </c>
      <c r="M190" t="s">
        <v>21</v>
      </c>
      <c r="N190" s="4">
        <v>22259</v>
      </c>
      <c r="O190" s="4">
        <v>120</v>
      </c>
      <c r="P190" s="4">
        <v>12405</v>
      </c>
      <c r="Q190" s="4">
        <v>17609</v>
      </c>
      <c r="R190" s="4">
        <v>14</v>
      </c>
      <c r="S190" s="3">
        <v>1611.340211</v>
      </c>
      <c r="T190" s="3">
        <f t="shared" si="14"/>
        <v>115.09572935714286</v>
      </c>
      <c r="U190" s="5">
        <f t="shared" si="18"/>
        <v>0.11666666666666667</v>
      </c>
      <c r="V190" s="5">
        <f t="shared" si="15"/>
        <v>5.3910777662967788E-3</v>
      </c>
      <c r="W190" s="3">
        <f t="shared" si="16"/>
        <v>13.427835091666667</v>
      </c>
      <c r="X190" s="3">
        <f t="shared" si="17"/>
        <v>72.39050321218383</v>
      </c>
      <c r="Y190" s="7">
        <f t="shared" si="19"/>
        <v>0.70446930546879438</v>
      </c>
    </row>
    <row r="191" spans="1:25" x14ac:dyDescent="0.25">
      <c r="A191" t="s">
        <v>343</v>
      </c>
      <c r="B191" t="s">
        <v>360</v>
      </c>
      <c r="C191" t="s">
        <v>361</v>
      </c>
      <c r="E191" t="s">
        <v>14</v>
      </c>
      <c r="F191" t="s">
        <v>44</v>
      </c>
      <c r="G191" t="s">
        <v>1078</v>
      </c>
      <c r="H191" t="s">
        <v>1065</v>
      </c>
      <c r="K191" t="s">
        <v>117</v>
      </c>
      <c r="L191" t="s">
        <v>25</v>
      </c>
      <c r="M191" t="s">
        <v>21</v>
      </c>
      <c r="N191" s="4">
        <v>335664</v>
      </c>
      <c r="O191" s="4">
        <v>852</v>
      </c>
      <c r="P191" s="4">
        <v>148742</v>
      </c>
      <c r="Q191" s="4">
        <v>313071</v>
      </c>
      <c r="R191" s="4">
        <v>25</v>
      </c>
      <c r="S191" s="3">
        <v>1542.5002159999999</v>
      </c>
      <c r="T191" s="3">
        <f t="shared" si="14"/>
        <v>61.700008639999993</v>
      </c>
      <c r="U191" s="5">
        <f t="shared" si="18"/>
        <v>2.9342723004694836E-2</v>
      </c>
      <c r="V191" s="5">
        <f t="shared" si="15"/>
        <v>2.5382525382525384E-3</v>
      </c>
      <c r="W191" s="3">
        <f t="shared" si="16"/>
        <v>1.810446262910798</v>
      </c>
      <c r="X191" s="3">
        <f t="shared" si="17"/>
        <v>4.5953698222031552</v>
      </c>
      <c r="Y191" s="7">
        <f t="shared" si="19"/>
        <v>0.47510628579459613</v>
      </c>
    </row>
    <row r="192" spans="1:25" x14ac:dyDescent="0.25">
      <c r="A192" t="s">
        <v>343</v>
      </c>
      <c r="B192" t="s">
        <v>362</v>
      </c>
      <c r="C192" t="s">
        <v>363</v>
      </c>
      <c r="E192" t="s">
        <v>14</v>
      </c>
      <c r="F192" t="s">
        <v>15</v>
      </c>
      <c r="G192" t="s">
        <v>1114</v>
      </c>
      <c r="H192" t="s">
        <v>1115</v>
      </c>
      <c r="K192" t="s">
        <v>281</v>
      </c>
      <c r="L192" t="s">
        <v>89</v>
      </c>
      <c r="M192" t="s">
        <v>29</v>
      </c>
      <c r="N192" s="4">
        <v>57257</v>
      </c>
      <c r="O192" s="4">
        <v>167</v>
      </c>
      <c r="P192" s="4">
        <v>3797</v>
      </c>
      <c r="Q192" s="4">
        <v>51520</v>
      </c>
      <c r="R192" s="4">
        <v>1</v>
      </c>
      <c r="S192" s="3">
        <v>1841.3581260000001</v>
      </c>
      <c r="T192" s="3">
        <f t="shared" si="14"/>
        <v>1841.3581260000001</v>
      </c>
      <c r="U192" s="5">
        <f t="shared" si="18"/>
        <v>5.9880239520958087E-3</v>
      </c>
      <c r="V192" s="5">
        <f t="shared" si="15"/>
        <v>2.916673943797265E-3</v>
      </c>
      <c r="W192" s="3">
        <f t="shared" si="16"/>
        <v>11.026096562874253</v>
      </c>
      <c r="X192" s="3">
        <f t="shared" si="17"/>
        <v>32.159528546727913</v>
      </c>
      <c r="Y192" s="7">
        <f t="shared" si="19"/>
        <v>7.3699534161490679E-2</v>
      </c>
    </row>
    <row r="193" spans="1:25" x14ac:dyDescent="0.25">
      <c r="A193" t="s">
        <v>343</v>
      </c>
      <c r="B193" t="s">
        <v>346</v>
      </c>
      <c r="C193" t="s">
        <v>364</v>
      </c>
      <c r="E193" t="s">
        <v>14</v>
      </c>
      <c r="F193" t="s">
        <v>26</v>
      </c>
      <c r="G193" t="s">
        <v>1084</v>
      </c>
      <c r="H193" t="s">
        <v>1065</v>
      </c>
      <c r="K193" t="s">
        <v>42</v>
      </c>
      <c r="L193" t="s">
        <v>89</v>
      </c>
      <c r="M193" t="s">
        <v>29</v>
      </c>
      <c r="N193" s="4">
        <v>32173</v>
      </c>
      <c r="O193" s="4">
        <v>104</v>
      </c>
      <c r="P193" s="4">
        <v>24427</v>
      </c>
      <c r="Q193" s="4">
        <v>30084</v>
      </c>
      <c r="R193" s="4">
        <v>11</v>
      </c>
      <c r="S193" s="3">
        <v>1498.2915399999999</v>
      </c>
      <c r="T193" s="3">
        <f t="shared" si="14"/>
        <v>136.20832181818182</v>
      </c>
      <c r="U193" s="5">
        <f t="shared" si="18"/>
        <v>0.10576923076923077</v>
      </c>
      <c r="V193" s="5">
        <f t="shared" si="15"/>
        <v>3.2325241662263388E-3</v>
      </c>
      <c r="W193" s="3">
        <f t="shared" si="16"/>
        <v>14.406649423076923</v>
      </c>
      <c r="X193" s="3">
        <f t="shared" si="17"/>
        <v>46.569842414446896</v>
      </c>
      <c r="Y193" s="7">
        <f t="shared" si="19"/>
        <v>0.81195984576519076</v>
      </c>
    </row>
    <row r="194" spans="1:25" x14ac:dyDescent="0.25">
      <c r="A194" t="s">
        <v>343</v>
      </c>
      <c r="B194" t="s">
        <v>172</v>
      </c>
      <c r="C194" t="s">
        <v>365</v>
      </c>
      <c r="E194" t="s">
        <v>14</v>
      </c>
      <c r="F194" t="s">
        <v>26</v>
      </c>
      <c r="G194" t="s">
        <v>1072</v>
      </c>
      <c r="H194" t="s">
        <v>1065</v>
      </c>
      <c r="K194" t="s">
        <v>215</v>
      </c>
      <c r="L194" t="s">
        <v>28</v>
      </c>
      <c r="M194" t="s">
        <v>21</v>
      </c>
      <c r="N194" s="4">
        <v>188170</v>
      </c>
      <c r="O194" s="4">
        <v>490</v>
      </c>
      <c r="P194" s="4">
        <v>155266</v>
      </c>
      <c r="Q194" s="4">
        <v>176562</v>
      </c>
      <c r="R194" s="4">
        <v>6</v>
      </c>
      <c r="S194" s="3">
        <v>1599.7150690000001</v>
      </c>
      <c r="T194" s="3">
        <f t="shared" ref="T194:T257" si="20">S194/R194</f>
        <v>266.6191781666667</v>
      </c>
      <c r="U194" s="5">
        <f t="shared" si="18"/>
        <v>1.2244897959183673E-2</v>
      </c>
      <c r="V194" s="5">
        <f t="shared" ref="V194:V257" si="21">O194/N194</f>
        <v>2.6040282723069565E-3</v>
      </c>
      <c r="W194" s="3">
        <f t="shared" ref="W194:W257" si="22">S194/O194</f>
        <v>3.2647246306122453</v>
      </c>
      <c r="X194" s="3">
        <f t="shared" ref="X194:X257" si="23">(S194/N194)*1000</f>
        <v>8.5014352394111707</v>
      </c>
      <c r="Y194" s="7">
        <f t="shared" si="19"/>
        <v>0.87938514516147304</v>
      </c>
    </row>
    <row r="195" spans="1:25" x14ac:dyDescent="0.25">
      <c r="A195" t="s">
        <v>343</v>
      </c>
      <c r="B195" t="s">
        <v>362</v>
      </c>
      <c r="C195" t="s">
        <v>366</v>
      </c>
      <c r="E195" t="s">
        <v>14</v>
      </c>
      <c r="F195" t="s">
        <v>44</v>
      </c>
      <c r="G195" t="s">
        <v>1092</v>
      </c>
      <c r="H195" t="s">
        <v>1065</v>
      </c>
      <c r="K195" t="s">
        <v>117</v>
      </c>
      <c r="L195" t="s">
        <v>25</v>
      </c>
      <c r="M195" t="s">
        <v>29</v>
      </c>
      <c r="N195" s="4">
        <v>59296</v>
      </c>
      <c r="O195" s="4">
        <v>170</v>
      </c>
      <c r="P195" s="4">
        <v>25482</v>
      </c>
      <c r="Q195" s="4">
        <v>54149</v>
      </c>
      <c r="R195" s="4">
        <v>4</v>
      </c>
      <c r="S195" s="3">
        <v>1568.7152590000001</v>
      </c>
      <c r="T195" s="3">
        <f t="shared" si="20"/>
        <v>392.17881475000002</v>
      </c>
      <c r="U195" s="5">
        <f t="shared" ref="U195:U258" si="24">R195/O195</f>
        <v>2.3529411764705882E-2</v>
      </c>
      <c r="V195" s="5">
        <f t="shared" si="21"/>
        <v>2.8669724770642203E-3</v>
      </c>
      <c r="W195" s="3">
        <f t="shared" si="22"/>
        <v>9.2277368176470596</v>
      </c>
      <c r="X195" s="3">
        <f t="shared" si="23"/>
        <v>26.455667481786293</v>
      </c>
      <c r="Y195" s="7">
        <f t="shared" ref="Y195:Y258" si="25">P195/Q195</f>
        <v>0.47059040794843859</v>
      </c>
    </row>
    <row r="196" spans="1:25" x14ac:dyDescent="0.25">
      <c r="A196" t="s">
        <v>343</v>
      </c>
      <c r="B196" t="s">
        <v>346</v>
      </c>
      <c r="C196" t="s">
        <v>367</v>
      </c>
      <c r="E196" t="s">
        <v>19</v>
      </c>
      <c r="F196" t="s">
        <v>33</v>
      </c>
      <c r="G196" t="s">
        <v>1086</v>
      </c>
      <c r="H196" t="s">
        <v>1063</v>
      </c>
      <c r="K196" t="s">
        <v>191</v>
      </c>
      <c r="L196" t="s">
        <v>17</v>
      </c>
      <c r="M196" t="s">
        <v>21</v>
      </c>
      <c r="N196" s="4">
        <v>780475</v>
      </c>
      <c r="O196" s="4">
        <v>2186</v>
      </c>
      <c r="P196" s="4">
        <v>453974</v>
      </c>
      <c r="Q196" s="4">
        <v>691696</v>
      </c>
      <c r="R196" s="4">
        <v>11</v>
      </c>
      <c r="S196" s="3">
        <v>1726.2494569999999</v>
      </c>
      <c r="T196" s="3">
        <f t="shared" si="20"/>
        <v>156.93176881818181</v>
      </c>
      <c r="U196" s="5">
        <f t="shared" si="24"/>
        <v>5.0320219579139984E-3</v>
      </c>
      <c r="V196" s="5">
        <f t="shared" si="21"/>
        <v>2.8008584515839714E-3</v>
      </c>
      <c r="W196" s="3">
        <f t="shared" si="22"/>
        <v>0.7896841065873742</v>
      </c>
      <c r="X196" s="3">
        <f t="shared" si="23"/>
        <v>2.2117934040167846</v>
      </c>
      <c r="Y196" s="7">
        <f t="shared" si="25"/>
        <v>0.65632011750826957</v>
      </c>
    </row>
    <row r="197" spans="1:25" x14ac:dyDescent="0.25">
      <c r="A197" t="s">
        <v>343</v>
      </c>
      <c r="B197" t="s">
        <v>172</v>
      </c>
      <c r="C197" t="s">
        <v>368</v>
      </c>
      <c r="E197" t="s">
        <v>23</v>
      </c>
      <c r="F197" t="s">
        <v>15</v>
      </c>
      <c r="G197" t="s">
        <v>1066</v>
      </c>
      <c r="H197" t="s">
        <v>1067</v>
      </c>
      <c r="K197" t="s">
        <v>369</v>
      </c>
      <c r="L197" t="s">
        <v>25</v>
      </c>
      <c r="M197" t="s">
        <v>21</v>
      </c>
      <c r="N197" s="4">
        <v>32400</v>
      </c>
      <c r="O197" s="4">
        <v>87</v>
      </c>
      <c r="P197" s="4">
        <v>5152</v>
      </c>
      <c r="Q197" s="4">
        <v>30383</v>
      </c>
      <c r="R197" s="4">
        <v>9</v>
      </c>
      <c r="S197" s="3">
        <v>1522.352623</v>
      </c>
      <c r="T197" s="3">
        <f t="shared" si="20"/>
        <v>169.15029144444443</v>
      </c>
      <c r="U197" s="5">
        <f t="shared" si="24"/>
        <v>0.10344827586206896</v>
      </c>
      <c r="V197" s="5">
        <f t="shared" si="21"/>
        <v>2.685185185185185E-3</v>
      </c>
      <c r="W197" s="3">
        <f t="shared" si="22"/>
        <v>17.498306011494254</v>
      </c>
      <c r="X197" s="3">
        <f t="shared" si="23"/>
        <v>46.986192067901236</v>
      </c>
      <c r="Y197" s="7">
        <f t="shared" si="25"/>
        <v>0.16956850870552612</v>
      </c>
    </row>
    <row r="198" spans="1:25" x14ac:dyDescent="0.25">
      <c r="A198" t="s">
        <v>343</v>
      </c>
      <c r="B198" t="s">
        <v>172</v>
      </c>
      <c r="C198" t="s">
        <v>370</v>
      </c>
      <c r="E198" t="s">
        <v>14</v>
      </c>
      <c r="F198" t="s">
        <v>15</v>
      </c>
      <c r="G198" t="s">
        <v>1066</v>
      </c>
      <c r="H198" t="s">
        <v>1067</v>
      </c>
      <c r="K198" t="s">
        <v>260</v>
      </c>
      <c r="L198" t="s">
        <v>371</v>
      </c>
      <c r="M198" t="s">
        <v>18</v>
      </c>
      <c r="N198" s="4">
        <v>12176</v>
      </c>
      <c r="O198" s="4">
        <v>10</v>
      </c>
      <c r="P198" s="4">
        <v>5460</v>
      </c>
      <c r="Q198" s="4">
        <v>11154</v>
      </c>
      <c r="R198" s="4">
        <v>10</v>
      </c>
      <c r="S198" s="3">
        <v>1816.030806</v>
      </c>
      <c r="T198" s="3">
        <f t="shared" si="20"/>
        <v>181.6030806</v>
      </c>
      <c r="U198" s="5">
        <f t="shared" si="24"/>
        <v>1</v>
      </c>
      <c r="V198" s="5">
        <f t="shared" si="21"/>
        <v>8.212877792378449E-4</v>
      </c>
      <c r="W198" s="3">
        <f t="shared" si="22"/>
        <v>181.6030806</v>
      </c>
      <c r="X198" s="3">
        <f t="shared" si="23"/>
        <v>149.14839076872536</v>
      </c>
      <c r="Y198" s="7">
        <f t="shared" si="25"/>
        <v>0.48951048951048953</v>
      </c>
    </row>
    <row r="199" spans="1:25" x14ac:dyDescent="0.25">
      <c r="A199" t="s">
        <v>343</v>
      </c>
      <c r="B199" t="s">
        <v>372</v>
      </c>
      <c r="C199" t="s">
        <v>373</v>
      </c>
      <c r="E199" t="s">
        <v>14</v>
      </c>
      <c r="F199" t="s">
        <v>44</v>
      </c>
      <c r="G199" t="s">
        <v>1078</v>
      </c>
      <c r="H199" t="s">
        <v>1065</v>
      </c>
      <c r="K199" t="s">
        <v>374</v>
      </c>
      <c r="L199" t="s">
        <v>73</v>
      </c>
      <c r="M199" t="s">
        <v>29</v>
      </c>
      <c r="N199" s="4">
        <v>31813</v>
      </c>
      <c r="O199" s="4">
        <v>84</v>
      </c>
      <c r="P199" s="4">
        <v>14149</v>
      </c>
      <c r="Q199" s="4">
        <v>21281</v>
      </c>
      <c r="R199" s="4">
        <v>13</v>
      </c>
      <c r="S199" s="3">
        <v>2060.9938820000002</v>
      </c>
      <c r="T199" s="3">
        <f t="shared" si="20"/>
        <v>158.53799092307693</v>
      </c>
      <c r="U199" s="5">
        <f t="shared" si="24"/>
        <v>0.15476190476190477</v>
      </c>
      <c r="V199" s="5">
        <f t="shared" si="21"/>
        <v>2.6404300128878132E-3</v>
      </c>
      <c r="W199" s="3">
        <f t="shared" si="22"/>
        <v>24.535641452380954</v>
      </c>
      <c r="X199" s="3">
        <f t="shared" si="23"/>
        <v>64.784644076321001</v>
      </c>
      <c r="Y199" s="7">
        <f t="shared" si="25"/>
        <v>0.66486537286781633</v>
      </c>
    </row>
    <row r="200" spans="1:25" x14ac:dyDescent="0.25">
      <c r="A200" t="s">
        <v>343</v>
      </c>
      <c r="B200" t="s">
        <v>50</v>
      </c>
      <c r="C200" t="s">
        <v>375</v>
      </c>
      <c r="E200" t="s">
        <v>14</v>
      </c>
      <c r="F200" t="s">
        <v>33</v>
      </c>
      <c r="G200" t="s">
        <v>1073</v>
      </c>
      <c r="H200" t="s">
        <v>1074</v>
      </c>
      <c r="K200" t="s">
        <v>191</v>
      </c>
      <c r="L200" t="s">
        <v>17</v>
      </c>
      <c r="M200" t="s">
        <v>21</v>
      </c>
      <c r="N200" s="4">
        <v>482834</v>
      </c>
      <c r="O200" s="4">
        <v>1269</v>
      </c>
      <c r="P200" s="4">
        <v>292059</v>
      </c>
      <c r="Q200" s="4">
        <v>428761</v>
      </c>
      <c r="R200" s="4">
        <v>7</v>
      </c>
      <c r="S200" s="3">
        <v>1594.463397</v>
      </c>
      <c r="T200" s="3">
        <f t="shared" si="20"/>
        <v>227.78048528571429</v>
      </c>
      <c r="U200" s="5">
        <f t="shared" si="24"/>
        <v>5.5161544523246652E-3</v>
      </c>
      <c r="V200" s="5">
        <f t="shared" si="21"/>
        <v>2.6282324774145982E-3</v>
      </c>
      <c r="W200" s="3">
        <f t="shared" si="22"/>
        <v>1.2564723380614657</v>
      </c>
      <c r="X200" s="3">
        <f t="shared" si="23"/>
        <v>3.3023014058661984</v>
      </c>
      <c r="Y200" s="7">
        <f t="shared" si="25"/>
        <v>0.68116969593783017</v>
      </c>
    </row>
    <row r="201" spans="1:25" x14ac:dyDescent="0.25">
      <c r="A201" t="s">
        <v>343</v>
      </c>
      <c r="B201" t="s">
        <v>362</v>
      </c>
      <c r="C201" t="s">
        <v>376</v>
      </c>
      <c r="E201" t="s">
        <v>19</v>
      </c>
      <c r="F201" t="s">
        <v>26</v>
      </c>
      <c r="G201" t="s">
        <v>1085</v>
      </c>
      <c r="H201" t="s">
        <v>1065</v>
      </c>
      <c r="K201" t="s">
        <v>85</v>
      </c>
      <c r="L201" t="s">
        <v>25</v>
      </c>
      <c r="M201" t="s">
        <v>21</v>
      </c>
      <c r="N201" s="4">
        <v>43666</v>
      </c>
      <c r="O201" s="4">
        <v>133</v>
      </c>
      <c r="P201" s="4">
        <v>18513</v>
      </c>
      <c r="Q201" s="4">
        <v>40506</v>
      </c>
      <c r="R201" s="4">
        <v>18</v>
      </c>
      <c r="S201" s="3">
        <v>1980.393834</v>
      </c>
      <c r="T201" s="3">
        <f t="shared" si="20"/>
        <v>110.02187966666666</v>
      </c>
      <c r="U201" s="5">
        <f t="shared" si="24"/>
        <v>0.13533834586466165</v>
      </c>
      <c r="V201" s="5">
        <f t="shared" si="21"/>
        <v>3.0458480282141713E-3</v>
      </c>
      <c r="W201" s="3">
        <f t="shared" si="22"/>
        <v>14.890179203007518</v>
      </c>
      <c r="X201" s="3">
        <f t="shared" si="23"/>
        <v>45.353222965236114</v>
      </c>
      <c r="Y201" s="7">
        <f t="shared" si="25"/>
        <v>0.45704340097763296</v>
      </c>
    </row>
    <row r="202" spans="1:25" x14ac:dyDescent="0.25">
      <c r="A202" t="s">
        <v>343</v>
      </c>
      <c r="B202" t="s">
        <v>362</v>
      </c>
      <c r="C202" t="s">
        <v>377</v>
      </c>
      <c r="E202" t="s">
        <v>19</v>
      </c>
      <c r="F202" t="s">
        <v>15</v>
      </c>
      <c r="G202" t="s">
        <v>1086</v>
      </c>
      <c r="H202" t="s">
        <v>1063</v>
      </c>
      <c r="K202" t="s">
        <v>42</v>
      </c>
      <c r="L202" t="s">
        <v>25</v>
      </c>
      <c r="M202" t="s">
        <v>21</v>
      </c>
      <c r="N202" s="4">
        <v>186702</v>
      </c>
      <c r="O202" s="4">
        <v>370</v>
      </c>
      <c r="P202" s="4">
        <v>132038</v>
      </c>
      <c r="Q202" s="4">
        <v>167406</v>
      </c>
      <c r="R202" s="4">
        <v>4</v>
      </c>
      <c r="S202" s="3">
        <v>1568.7360200000001</v>
      </c>
      <c r="T202" s="3">
        <f t="shared" si="20"/>
        <v>392.18400500000001</v>
      </c>
      <c r="U202" s="5">
        <f t="shared" si="24"/>
        <v>1.0810810810810811E-2</v>
      </c>
      <c r="V202" s="5">
        <f t="shared" si="21"/>
        <v>1.9817677368212444E-3</v>
      </c>
      <c r="W202" s="3">
        <f t="shared" si="22"/>
        <v>4.2398270810810814</v>
      </c>
      <c r="X202" s="3">
        <f t="shared" si="23"/>
        <v>8.4023525189874775</v>
      </c>
      <c r="Y202" s="7">
        <f t="shared" si="25"/>
        <v>0.7887291972808621</v>
      </c>
    </row>
    <row r="203" spans="1:25" x14ac:dyDescent="0.25">
      <c r="A203" t="s">
        <v>343</v>
      </c>
      <c r="B203" t="s">
        <v>378</v>
      </c>
      <c r="C203" t="s">
        <v>379</v>
      </c>
      <c r="D203" t="s">
        <v>380</v>
      </c>
      <c r="E203" t="s">
        <v>14</v>
      </c>
      <c r="F203" t="s">
        <v>26</v>
      </c>
      <c r="G203" t="s">
        <v>1073</v>
      </c>
      <c r="H203" t="s">
        <v>1074</v>
      </c>
      <c r="K203" t="s">
        <v>45</v>
      </c>
      <c r="L203" t="s">
        <v>115</v>
      </c>
      <c r="M203" t="s">
        <v>21</v>
      </c>
      <c r="N203" s="4">
        <v>435848</v>
      </c>
      <c r="O203" s="4">
        <v>1058</v>
      </c>
      <c r="P203" s="4">
        <v>274912</v>
      </c>
      <c r="Q203" s="4">
        <v>415601</v>
      </c>
      <c r="R203" s="4">
        <v>15</v>
      </c>
      <c r="S203" s="3">
        <v>1554.439959</v>
      </c>
      <c r="T203" s="3">
        <f t="shared" si="20"/>
        <v>103.6293306</v>
      </c>
      <c r="U203" s="5">
        <f t="shared" si="24"/>
        <v>1.4177693761814745E-2</v>
      </c>
      <c r="V203" s="5">
        <f t="shared" si="21"/>
        <v>2.4274517721774563E-3</v>
      </c>
      <c r="W203" s="3">
        <f t="shared" si="22"/>
        <v>1.469224913988658</v>
      </c>
      <c r="X203" s="3">
        <f t="shared" si="23"/>
        <v>3.5664726211890385</v>
      </c>
      <c r="Y203" s="7">
        <f t="shared" si="25"/>
        <v>0.66148060278969489</v>
      </c>
    </row>
    <row r="204" spans="1:25" x14ac:dyDescent="0.25">
      <c r="A204" t="s">
        <v>343</v>
      </c>
      <c r="B204" t="s">
        <v>381</v>
      </c>
      <c r="C204" t="s">
        <v>382</v>
      </c>
      <c r="E204" t="s">
        <v>14</v>
      </c>
      <c r="F204" t="s">
        <v>44</v>
      </c>
      <c r="G204" t="s">
        <v>1116</v>
      </c>
      <c r="H204" t="s">
        <v>1095</v>
      </c>
      <c r="I204" t="s">
        <v>1117</v>
      </c>
      <c r="J204" t="s">
        <v>1065</v>
      </c>
      <c r="K204" t="s">
        <v>225</v>
      </c>
      <c r="L204" t="s">
        <v>17</v>
      </c>
      <c r="M204" t="s">
        <v>21</v>
      </c>
      <c r="N204" s="4">
        <v>13202</v>
      </c>
      <c r="O204" s="4">
        <v>101</v>
      </c>
      <c r="P204" s="4">
        <v>10871</v>
      </c>
      <c r="Q204" s="4">
        <v>12885</v>
      </c>
      <c r="R204" s="4">
        <v>3</v>
      </c>
      <c r="S204" s="3">
        <v>1699.0608090000001</v>
      </c>
      <c r="T204" s="3">
        <f t="shared" si="20"/>
        <v>566.35360300000002</v>
      </c>
      <c r="U204" s="5">
        <f t="shared" si="24"/>
        <v>2.9702970297029702E-2</v>
      </c>
      <c r="V204" s="5">
        <f t="shared" si="21"/>
        <v>7.6503560066656564E-3</v>
      </c>
      <c r="W204" s="3">
        <f t="shared" si="22"/>
        <v>16.822384247524752</v>
      </c>
      <c r="X204" s="3">
        <f t="shared" si="23"/>
        <v>128.6972283744887</v>
      </c>
      <c r="Y204" s="7">
        <f t="shared" si="25"/>
        <v>0.84369421808304235</v>
      </c>
    </row>
    <row r="205" spans="1:25" x14ac:dyDescent="0.25">
      <c r="A205" t="s">
        <v>343</v>
      </c>
      <c r="B205" t="s">
        <v>362</v>
      </c>
      <c r="C205" t="s">
        <v>383</v>
      </c>
      <c r="E205" t="s">
        <v>14</v>
      </c>
      <c r="F205" t="s">
        <v>26</v>
      </c>
      <c r="G205" t="s">
        <v>1066</v>
      </c>
      <c r="H205" t="s">
        <v>1067</v>
      </c>
      <c r="K205" t="s">
        <v>167</v>
      </c>
      <c r="L205" t="s">
        <v>17</v>
      </c>
      <c r="M205" t="s">
        <v>18</v>
      </c>
      <c r="N205" s="4">
        <v>50183</v>
      </c>
      <c r="O205" s="4">
        <v>199</v>
      </c>
      <c r="P205" s="4">
        <v>41506</v>
      </c>
      <c r="Q205" s="4">
        <v>46163</v>
      </c>
      <c r="R205" s="4">
        <v>15</v>
      </c>
      <c r="S205" s="3">
        <v>1628.8828129999999</v>
      </c>
      <c r="T205" s="3">
        <f t="shared" si="20"/>
        <v>108.59218753333333</v>
      </c>
      <c r="U205" s="5">
        <f t="shared" si="24"/>
        <v>7.5376884422110546E-2</v>
      </c>
      <c r="V205" s="5">
        <f t="shared" si="21"/>
        <v>3.9654863200685488E-3</v>
      </c>
      <c r="W205" s="3">
        <f t="shared" si="22"/>
        <v>8.1853407688442203</v>
      </c>
      <c r="X205" s="3">
        <f t="shared" si="23"/>
        <v>32.458856843951139</v>
      </c>
      <c r="Y205" s="7">
        <f t="shared" si="25"/>
        <v>0.89911834152893011</v>
      </c>
    </row>
    <row r="206" spans="1:25" x14ac:dyDescent="0.25">
      <c r="A206" t="s">
        <v>343</v>
      </c>
      <c r="B206" t="s">
        <v>50</v>
      </c>
      <c r="C206" t="s">
        <v>384</v>
      </c>
      <c r="E206" t="s">
        <v>19</v>
      </c>
      <c r="F206" t="s">
        <v>15</v>
      </c>
      <c r="G206" t="s">
        <v>1072</v>
      </c>
      <c r="H206" t="s">
        <v>1065</v>
      </c>
      <c r="K206" t="s">
        <v>16</v>
      </c>
      <c r="L206" t="s">
        <v>17</v>
      </c>
      <c r="M206" t="s">
        <v>21</v>
      </c>
      <c r="N206" s="4">
        <v>304377</v>
      </c>
      <c r="O206" s="4">
        <v>801</v>
      </c>
      <c r="P206" s="4">
        <v>27519</v>
      </c>
      <c r="Q206" s="4">
        <v>270098</v>
      </c>
      <c r="R206" s="4">
        <v>63</v>
      </c>
      <c r="S206" s="3">
        <v>1595.48714</v>
      </c>
      <c r="T206" s="3">
        <f t="shared" si="20"/>
        <v>25.325192698412696</v>
      </c>
      <c r="U206" s="5">
        <f t="shared" si="24"/>
        <v>7.8651685393258425E-2</v>
      </c>
      <c r="V206" s="5">
        <f t="shared" si="21"/>
        <v>2.6316048847317636E-3</v>
      </c>
      <c r="W206" s="3">
        <f t="shared" si="22"/>
        <v>1.991869088639201</v>
      </c>
      <c r="X206" s="3">
        <f t="shared" si="23"/>
        <v>5.2418124234091277</v>
      </c>
      <c r="Y206" s="7">
        <f t="shared" si="25"/>
        <v>0.10188524165302965</v>
      </c>
    </row>
    <row r="207" spans="1:25" x14ac:dyDescent="0.25">
      <c r="A207" t="s">
        <v>343</v>
      </c>
      <c r="B207" t="s">
        <v>378</v>
      </c>
      <c r="C207" t="s">
        <v>379</v>
      </c>
      <c r="D207" t="s">
        <v>385</v>
      </c>
      <c r="E207" t="s">
        <v>19</v>
      </c>
      <c r="F207" t="s">
        <v>44</v>
      </c>
      <c r="G207" t="s">
        <v>1070</v>
      </c>
      <c r="H207" t="s">
        <v>1071</v>
      </c>
      <c r="K207" t="s">
        <v>45</v>
      </c>
      <c r="L207" t="s">
        <v>28</v>
      </c>
      <c r="M207" t="s">
        <v>21</v>
      </c>
      <c r="N207" s="4">
        <v>12088</v>
      </c>
      <c r="O207" s="4">
        <v>88</v>
      </c>
      <c r="P207" s="4">
        <v>1124</v>
      </c>
      <c r="Q207" s="4">
        <v>10003</v>
      </c>
      <c r="R207" s="4">
        <v>2</v>
      </c>
      <c r="S207" s="3">
        <v>1500.0261519999999</v>
      </c>
      <c r="T207" s="3">
        <f t="shared" si="20"/>
        <v>750.01307599999996</v>
      </c>
      <c r="U207" s="5">
        <f t="shared" si="24"/>
        <v>2.2727272727272728E-2</v>
      </c>
      <c r="V207" s="5">
        <f t="shared" si="21"/>
        <v>7.2799470549305099E-3</v>
      </c>
      <c r="W207" s="3">
        <f t="shared" si="22"/>
        <v>17.045751727272727</v>
      </c>
      <c r="X207" s="3">
        <f t="shared" si="23"/>
        <v>124.09217008603574</v>
      </c>
      <c r="Y207" s="7">
        <f t="shared" si="25"/>
        <v>0.11236629011296612</v>
      </c>
    </row>
    <row r="208" spans="1:25" x14ac:dyDescent="0.25">
      <c r="A208" t="s">
        <v>343</v>
      </c>
      <c r="B208" t="s">
        <v>378</v>
      </c>
      <c r="C208" t="s">
        <v>379</v>
      </c>
      <c r="D208" t="s">
        <v>386</v>
      </c>
      <c r="E208" t="s">
        <v>14</v>
      </c>
      <c r="F208" t="s">
        <v>26</v>
      </c>
      <c r="G208" t="s">
        <v>1106</v>
      </c>
      <c r="H208" t="s">
        <v>1097</v>
      </c>
      <c r="K208" t="s">
        <v>387</v>
      </c>
      <c r="L208" t="s">
        <v>89</v>
      </c>
      <c r="M208" t="s">
        <v>21</v>
      </c>
      <c r="N208" s="4">
        <v>14922</v>
      </c>
      <c r="O208" s="4">
        <v>99</v>
      </c>
      <c r="P208" s="4">
        <v>10713</v>
      </c>
      <c r="Q208" s="4">
        <v>13992</v>
      </c>
      <c r="R208" s="4">
        <v>5</v>
      </c>
      <c r="S208" s="3">
        <v>1578.876432</v>
      </c>
      <c r="T208" s="3">
        <f t="shared" si="20"/>
        <v>315.77528640000003</v>
      </c>
      <c r="U208" s="5">
        <f t="shared" si="24"/>
        <v>5.0505050505050504E-2</v>
      </c>
      <c r="V208" s="5">
        <f t="shared" si="21"/>
        <v>6.6344993968636915E-3</v>
      </c>
      <c r="W208" s="3">
        <f t="shared" si="22"/>
        <v>15.948246787878787</v>
      </c>
      <c r="X208" s="3">
        <f t="shared" si="23"/>
        <v>105.80863369521512</v>
      </c>
      <c r="Y208" s="7">
        <f t="shared" si="25"/>
        <v>0.76565180102915953</v>
      </c>
    </row>
    <row r="209" spans="1:25" x14ac:dyDescent="0.25">
      <c r="A209" t="s">
        <v>343</v>
      </c>
      <c r="B209" t="s">
        <v>362</v>
      </c>
      <c r="C209" t="s">
        <v>388</v>
      </c>
      <c r="E209" t="s">
        <v>14</v>
      </c>
      <c r="F209" t="s">
        <v>26</v>
      </c>
      <c r="G209" t="s">
        <v>1062</v>
      </c>
      <c r="H209" t="s">
        <v>1063</v>
      </c>
      <c r="K209" t="s">
        <v>389</v>
      </c>
      <c r="L209" t="s">
        <v>25</v>
      </c>
      <c r="M209" t="s">
        <v>18</v>
      </c>
      <c r="N209" s="4">
        <v>12001</v>
      </c>
      <c r="O209" s="4">
        <v>40</v>
      </c>
      <c r="P209" s="4">
        <v>7173</v>
      </c>
      <c r="Q209" s="4">
        <v>11432</v>
      </c>
      <c r="R209" s="4">
        <v>2</v>
      </c>
      <c r="S209" s="3">
        <v>1659.9327129999999</v>
      </c>
      <c r="T209" s="3">
        <f t="shared" si="20"/>
        <v>829.96635649999996</v>
      </c>
      <c r="U209" s="5">
        <f t="shared" si="24"/>
        <v>0.05</v>
      </c>
      <c r="V209" s="5">
        <f t="shared" si="21"/>
        <v>3.333055578701775E-3</v>
      </c>
      <c r="W209" s="3">
        <f t="shared" si="22"/>
        <v>41.498317825000001</v>
      </c>
      <c r="X209" s="3">
        <f t="shared" si="23"/>
        <v>138.31619973335555</v>
      </c>
      <c r="Y209" s="7">
        <f t="shared" si="25"/>
        <v>0.62744926522043387</v>
      </c>
    </row>
    <row r="210" spans="1:25" x14ac:dyDescent="0.25">
      <c r="A210" t="s">
        <v>343</v>
      </c>
      <c r="B210" t="s">
        <v>378</v>
      </c>
      <c r="C210" t="s">
        <v>379</v>
      </c>
      <c r="D210" t="s">
        <v>390</v>
      </c>
      <c r="E210" t="s">
        <v>19</v>
      </c>
      <c r="F210" t="s">
        <v>44</v>
      </c>
      <c r="G210" t="s">
        <v>1118</v>
      </c>
      <c r="H210" t="s">
        <v>1119</v>
      </c>
      <c r="K210" t="s">
        <v>42</v>
      </c>
      <c r="L210" t="s">
        <v>17</v>
      </c>
      <c r="M210" t="s">
        <v>21</v>
      </c>
      <c r="N210" s="4">
        <v>198754</v>
      </c>
      <c r="O210" s="4">
        <v>480</v>
      </c>
      <c r="P210" s="4">
        <v>137649</v>
      </c>
      <c r="Q210" s="4">
        <v>178415</v>
      </c>
      <c r="R210" s="4">
        <v>4</v>
      </c>
      <c r="S210" s="3">
        <v>1803.0814969999999</v>
      </c>
      <c r="T210" s="3">
        <f t="shared" si="20"/>
        <v>450.77037424999997</v>
      </c>
      <c r="U210" s="5">
        <f t="shared" si="24"/>
        <v>8.3333333333333332E-3</v>
      </c>
      <c r="V210" s="5">
        <f t="shared" si="21"/>
        <v>2.4150457349286052E-3</v>
      </c>
      <c r="W210" s="3">
        <f t="shared" si="22"/>
        <v>3.7564197854166665</v>
      </c>
      <c r="X210" s="3">
        <f t="shared" si="23"/>
        <v>9.0719255813719464</v>
      </c>
      <c r="Y210" s="7">
        <f t="shared" si="25"/>
        <v>0.77151024297284421</v>
      </c>
    </row>
    <row r="211" spans="1:25" x14ac:dyDescent="0.25">
      <c r="A211" t="s">
        <v>343</v>
      </c>
      <c r="B211" t="s">
        <v>172</v>
      </c>
      <c r="C211" t="s">
        <v>391</v>
      </c>
      <c r="E211" t="s">
        <v>23</v>
      </c>
      <c r="F211" t="s">
        <v>33</v>
      </c>
      <c r="G211" t="s">
        <v>1078</v>
      </c>
      <c r="H211" t="s">
        <v>1065</v>
      </c>
      <c r="K211" t="s">
        <v>219</v>
      </c>
      <c r="L211" t="s">
        <v>17</v>
      </c>
      <c r="M211" t="s">
        <v>21</v>
      </c>
      <c r="N211" s="4">
        <v>53561</v>
      </c>
      <c r="O211" s="4">
        <v>147</v>
      </c>
      <c r="P211" s="4">
        <v>37063</v>
      </c>
      <c r="Q211" s="4">
        <v>51480</v>
      </c>
      <c r="R211" s="4">
        <v>14</v>
      </c>
      <c r="S211" s="3">
        <v>2039.3550600000001</v>
      </c>
      <c r="T211" s="3">
        <f t="shared" si="20"/>
        <v>145.66821857142858</v>
      </c>
      <c r="U211" s="5">
        <f t="shared" si="24"/>
        <v>9.5238095238095233E-2</v>
      </c>
      <c r="V211" s="5">
        <f t="shared" si="21"/>
        <v>2.7445342693377646E-3</v>
      </c>
      <c r="W211" s="3">
        <f t="shared" si="22"/>
        <v>13.873163673469389</v>
      </c>
      <c r="X211" s="3">
        <f t="shared" si="23"/>
        <v>38.075373125968525</v>
      </c>
      <c r="Y211" s="7">
        <f t="shared" si="25"/>
        <v>0.71994949494949489</v>
      </c>
    </row>
    <row r="212" spans="1:25" x14ac:dyDescent="0.25">
      <c r="A212" t="s">
        <v>343</v>
      </c>
      <c r="B212" t="s">
        <v>392</v>
      </c>
      <c r="E212" t="s">
        <v>19</v>
      </c>
      <c r="F212" t="s">
        <v>44</v>
      </c>
      <c r="G212" t="s">
        <v>1078</v>
      </c>
      <c r="H212" t="s">
        <v>1065</v>
      </c>
      <c r="K212" t="s">
        <v>167</v>
      </c>
      <c r="L212" t="s">
        <v>28</v>
      </c>
      <c r="M212" t="s">
        <v>21</v>
      </c>
      <c r="N212" s="4">
        <v>8278</v>
      </c>
      <c r="O212" s="4">
        <v>40</v>
      </c>
      <c r="P212" s="4">
        <v>6758</v>
      </c>
      <c r="Q212" s="4">
        <v>7537</v>
      </c>
      <c r="R212" s="4">
        <v>1</v>
      </c>
      <c r="S212" s="3">
        <v>1526.296619</v>
      </c>
      <c r="T212" s="3">
        <f t="shared" si="20"/>
        <v>1526.296619</v>
      </c>
      <c r="U212" s="5">
        <f t="shared" si="24"/>
        <v>2.5000000000000001E-2</v>
      </c>
      <c r="V212" s="5">
        <f t="shared" si="21"/>
        <v>4.8320850446967869E-3</v>
      </c>
      <c r="W212" s="3">
        <f t="shared" si="22"/>
        <v>38.157415475000001</v>
      </c>
      <c r="X212" s="3">
        <f t="shared" si="23"/>
        <v>184.37987666102924</v>
      </c>
      <c r="Y212" s="7">
        <f t="shared" si="25"/>
        <v>0.89664322674804298</v>
      </c>
    </row>
    <row r="213" spans="1:25" x14ac:dyDescent="0.25">
      <c r="A213" t="s">
        <v>343</v>
      </c>
      <c r="B213" t="s">
        <v>393</v>
      </c>
      <c r="E213" t="s">
        <v>19</v>
      </c>
      <c r="F213" t="s">
        <v>33</v>
      </c>
      <c r="G213" t="s">
        <v>1070</v>
      </c>
      <c r="H213" t="s">
        <v>1071</v>
      </c>
      <c r="K213" t="s">
        <v>91</v>
      </c>
      <c r="L213" t="s">
        <v>68</v>
      </c>
      <c r="M213" t="s">
        <v>21</v>
      </c>
      <c r="N213" s="4">
        <v>194833</v>
      </c>
      <c r="O213" s="4">
        <v>499</v>
      </c>
      <c r="P213" s="4">
        <v>29091</v>
      </c>
      <c r="Q213" s="4">
        <v>143813</v>
      </c>
      <c r="R213" s="4">
        <v>4</v>
      </c>
      <c r="S213" s="3">
        <v>1586.314519</v>
      </c>
      <c r="T213" s="3">
        <f t="shared" si="20"/>
        <v>396.57862975</v>
      </c>
      <c r="U213" s="5">
        <f t="shared" si="24"/>
        <v>8.0160320641282558E-3</v>
      </c>
      <c r="V213" s="5">
        <f t="shared" si="21"/>
        <v>2.5611677693203922E-3</v>
      </c>
      <c r="W213" s="3">
        <f t="shared" si="22"/>
        <v>3.1789870120240482</v>
      </c>
      <c r="X213" s="3">
        <f t="shared" si="23"/>
        <v>8.1419190742841305</v>
      </c>
      <c r="Y213" s="7">
        <f t="shared" si="25"/>
        <v>0.2022835209612483</v>
      </c>
    </row>
    <row r="214" spans="1:25" x14ac:dyDescent="0.25">
      <c r="A214" t="s">
        <v>343</v>
      </c>
      <c r="B214" t="s">
        <v>378</v>
      </c>
      <c r="C214" t="s">
        <v>379</v>
      </c>
      <c r="D214" t="s">
        <v>394</v>
      </c>
      <c r="E214" t="s">
        <v>19</v>
      </c>
      <c r="F214" t="s">
        <v>15</v>
      </c>
      <c r="G214" t="s">
        <v>1070</v>
      </c>
      <c r="H214" t="s">
        <v>1071</v>
      </c>
      <c r="K214" t="s">
        <v>184</v>
      </c>
      <c r="L214" t="s">
        <v>17</v>
      </c>
      <c r="M214" t="s">
        <v>21</v>
      </c>
      <c r="N214" s="4">
        <v>152881</v>
      </c>
      <c r="O214" s="4">
        <v>426</v>
      </c>
      <c r="P214" s="4">
        <v>94895</v>
      </c>
      <c r="Q214" s="4">
        <v>145113</v>
      </c>
      <c r="R214" s="4">
        <v>11</v>
      </c>
      <c r="S214" s="3">
        <v>1496.6685239999999</v>
      </c>
      <c r="T214" s="3">
        <f t="shared" si="20"/>
        <v>136.0607749090909</v>
      </c>
      <c r="U214" s="5">
        <f t="shared" si="24"/>
        <v>2.5821596244131457E-2</v>
      </c>
      <c r="V214" s="5">
        <f t="shared" si="21"/>
        <v>2.786480988481237E-3</v>
      </c>
      <c r="W214" s="3">
        <f t="shared" si="22"/>
        <v>3.5133063943661971</v>
      </c>
      <c r="X214" s="3">
        <f t="shared" si="23"/>
        <v>9.7897614746109713</v>
      </c>
      <c r="Y214" s="7">
        <f t="shared" si="25"/>
        <v>0.65393865470357582</v>
      </c>
    </row>
    <row r="215" spans="1:25" x14ac:dyDescent="0.25">
      <c r="A215" t="s">
        <v>343</v>
      </c>
      <c r="B215" t="s">
        <v>172</v>
      </c>
      <c r="C215" t="s">
        <v>395</v>
      </c>
      <c r="E215" t="s">
        <v>14</v>
      </c>
      <c r="F215" t="s">
        <v>26</v>
      </c>
      <c r="G215" t="s">
        <v>1070</v>
      </c>
      <c r="H215" t="s">
        <v>1071</v>
      </c>
      <c r="K215" t="s">
        <v>215</v>
      </c>
      <c r="L215" t="s">
        <v>28</v>
      </c>
      <c r="M215" t="s">
        <v>21</v>
      </c>
      <c r="N215" s="4">
        <v>210096</v>
      </c>
      <c r="O215" s="4">
        <v>590</v>
      </c>
      <c r="P215" s="4">
        <v>90928</v>
      </c>
      <c r="Q215" s="4">
        <v>184823</v>
      </c>
      <c r="R215" s="4">
        <v>4</v>
      </c>
      <c r="S215" s="3">
        <v>2027.431388</v>
      </c>
      <c r="T215" s="3">
        <f t="shared" si="20"/>
        <v>506.85784699999999</v>
      </c>
      <c r="U215" s="5">
        <f t="shared" si="24"/>
        <v>6.7796610169491523E-3</v>
      </c>
      <c r="V215" s="5">
        <f t="shared" si="21"/>
        <v>2.808240042647171E-3</v>
      </c>
      <c r="W215" s="3">
        <f t="shared" si="22"/>
        <v>3.4363243864406781</v>
      </c>
      <c r="X215" s="3">
        <f t="shared" si="23"/>
        <v>9.6500237415276811</v>
      </c>
      <c r="Y215" s="7">
        <f t="shared" si="25"/>
        <v>0.49197340157880781</v>
      </c>
    </row>
    <row r="216" spans="1:25" x14ac:dyDescent="0.25">
      <c r="A216" t="s">
        <v>396</v>
      </c>
      <c r="B216" t="s">
        <v>397</v>
      </c>
      <c r="E216" t="s">
        <v>19</v>
      </c>
      <c r="F216" t="s">
        <v>44</v>
      </c>
      <c r="G216" t="s">
        <v>1079</v>
      </c>
      <c r="H216" t="s">
        <v>1080</v>
      </c>
      <c r="K216" t="s">
        <v>321</v>
      </c>
      <c r="L216" t="s">
        <v>25</v>
      </c>
      <c r="M216" t="s">
        <v>21</v>
      </c>
      <c r="N216" s="4">
        <v>10707</v>
      </c>
      <c r="O216" s="4">
        <v>57</v>
      </c>
      <c r="P216" s="4">
        <v>6300</v>
      </c>
      <c r="Q216" s="4">
        <v>10089</v>
      </c>
      <c r="R216" s="4">
        <v>3</v>
      </c>
      <c r="S216" s="3">
        <v>1603.8592639999999</v>
      </c>
      <c r="T216" s="3">
        <f t="shared" si="20"/>
        <v>534.61975466666661</v>
      </c>
      <c r="U216" s="5">
        <f t="shared" si="24"/>
        <v>5.2631578947368418E-2</v>
      </c>
      <c r="V216" s="5">
        <f t="shared" si="21"/>
        <v>5.3236200616419167E-3</v>
      </c>
      <c r="W216" s="3">
        <f t="shared" si="22"/>
        <v>28.137881824561404</v>
      </c>
      <c r="X216" s="3">
        <f t="shared" si="23"/>
        <v>149.79539217334454</v>
      </c>
      <c r="Y216" s="7">
        <f t="shared" si="25"/>
        <v>0.62444246208742193</v>
      </c>
    </row>
    <row r="217" spans="1:25" x14ac:dyDescent="0.25">
      <c r="A217" t="s">
        <v>398</v>
      </c>
      <c r="B217" t="s">
        <v>399</v>
      </c>
      <c r="E217" t="s">
        <v>19</v>
      </c>
      <c r="F217" t="s">
        <v>15</v>
      </c>
      <c r="G217" t="s">
        <v>1086</v>
      </c>
      <c r="H217" t="s">
        <v>1063</v>
      </c>
      <c r="K217" t="s">
        <v>163</v>
      </c>
      <c r="L217" t="s">
        <v>28</v>
      </c>
      <c r="M217" t="s">
        <v>21</v>
      </c>
      <c r="N217" s="4">
        <v>12220</v>
      </c>
      <c r="O217" s="4">
        <v>54</v>
      </c>
      <c r="P217" s="4">
        <v>7133</v>
      </c>
      <c r="Q217" s="4">
        <v>11331</v>
      </c>
      <c r="R217" s="4">
        <v>3</v>
      </c>
      <c r="S217" s="3">
        <v>1478.392247</v>
      </c>
      <c r="T217" s="3">
        <f t="shared" si="20"/>
        <v>492.79741566666667</v>
      </c>
      <c r="U217" s="5">
        <f t="shared" si="24"/>
        <v>5.5555555555555552E-2</v>
      </c>
      <c r="V217" s="5">
        <f t="shared" si="21"/>
        <v>4.4189852700490997E-3</v>
      </c>
      <c r="W217" s="3">
        <f t="shared" si="22"/>
        <v>27.377634203703703</v>
      </c>
      <c r="X217" s="3">
        <f t="shared" si="23"/>
        <v>120.98136227495908</v>
      </c>
      <c r="Y217" s="7">
        <f t="shared" si="25"/>
        <v>0.62951195834436502</v>
      </c>
    </row>
    <row r="218" spans="1:25" x14ac:dyDescent="0.25">
      <c r="A218" t="s">
        <v>400</v>
      </c>
      <c r="E218" t="s">
        <v>14</v>
      </c>
      <c r="F218" t="s">
        <v>26</v>
      </c>
      <c r="G218" t="s">
        <v>1084</v>
      </c>
      <c r="H218" t="s">
        <v>1065</v>
      </c>
      <c r="K218" t="s">
        <v>401</v>
      </c>
      <c r="L218" t="s">
        <v>92</v>
      </c>
      <c r="M218" t="s">
        <v>21</v>
      </c>
      <c r="N218" s="4">
        <v>35034</v>
      </c>
      <c r="O218" s="4">
        <v>145</v>
      </c>
      <c r="P218" s="4">
        <v>13904</v>
      </c>
      <c r="Q218" s="4">
        <v>34123</v>
      </c>
      <c r="R218" s="4">
        <v>3</v>
      </c>
      <c r="S218" s="3">
        <v>2141.4693459999999</v>
      </c>
      <c r="T218" s="3">
        <f t="shared" si="20"/>
        <v>713.82311533333325</v>
      </c>
      <c r="U218" s="5">
        <f t="shared" si="24"/>
        <v>2.0689655172413793E-2</v>
      </c>
      <c r="V218" s="5">
        <f t="shared" si="21"/>
        <v>4.1388365587714795E-3</v>
      </c>
      <c r="W218" s="3">
        <f t="shared" si="22"/>
        <v>14.768754110344826</v>
      </c>
      <c r="X218" s="3">
        <f t="shared" si="23"/>
        <v>61.125459439401723</v>
      </c>
      <c r="Y218" s="7">
        <f t="shared" si="25"/>
        <v>0.40746710429915306</v>
      </c>
    </row>
    <row r="219" spans="1:25" x14ac:dyDescent="0.25">
      <c r="A219" t="s">
        <v>402</v>
      </c>
      <c r="B219" t="s">
        <v>403</v>
      </c>
      <c r="C219" t="s">
        <v>404</v>
      </c>
      <c r="E219" t="s">
        <v>19</v>
      </c>
      <c r="F219" t="s">
        <v>44</v>
      </c>
      <c r="G219" t="s">
        <v>1078</v>
      </c>
      <c r="H219" t="s">
        <v>1065</v>
      </c>
      <c r="K219" t="s">
        <v>278</v>
      </c>
      <c r="L219" t="s">
        <v>25</v>
      </c>
      <c r="M219" t="s">
        <v>21</v>
      </c>
      <c r="N219" s="4">
        <v>12510</v>
      </c>
      <c r="O219" s="4">
        <v>74</v>
      </c>
      <c r="P219" s="4">
        <v>4391</v>
      </c>
      <c r="Q219" s="4">
        <v>9098</v>
      </c>
      <c r="R219" s="4">
        <v>6</v>
      </c>
      <c r="S219" s="3">
        <v>1524.470523</v>
      </c>
      <c r="T219" s="3">
        <f t="shared" si="20"/>
        <v>254.07842049999999</v>
      </c>
      <c r="U219" s="5">
        <f t="shared" si="24"/>
        <v>8.1081081081081086E-2</v>
      </c>
      <c r="V219" s="5">
        <f t="shared" si="21"/>
        <v>5.915267785771383E-3</v>
      </c>
      <c r="W219" s="3">
        <f t="shared" si="22"/>
        <v>20.600953013513514</v>
      </c>
      <c r="X219" s="3">
        <f t="shared" si="23"/>
        <v>121.86015371702638</v>
      </c>
      <c r="Y219" s="7">
        <f t="shared" si="25"/>
        <v>0.48263354583424928</v>
      </c>
    </row>
    <row r="220" spans="1:25" x14ac:dyDescent="0.25">
      <c r="A220" t="s">
        <v>402</v>
      </c>
      <c r="B220" t="s">
        <v>405</v>
      </c>
      <c r="E220" t="s">
        <v>23</v>
      </c>
      <c r="F220" t="s">
        <v>26</v>
      </c>
      <c r="G220" t="s">
        <v>1073</v>
      </c>
      <c r="H220" t="s">
        <v>1074</v>
      </c>
      <c r="K220" t="s">
        <v>281</v>
      </c>
      <c r="L220" t="s">
        <v>28</v>
      </c>
      <c r="M220" t="s">
        <v>21</v>
      </c>
      <c r="N220" s="4">
        <v>20417</v>
      </c>
      <c r="O220" s="4">
        <v>86</v>
      </c>
      <c r="P220" s="4">
        <v>1016</v>
      </c>
      <c r="Q220" s="4">
        <v>13468</v>
      </c>
      <c r="R220" s="4">
        <v>5</v>
      </c>
      <c r="S220" s="3">
        <v>1805.6005130000001</v>
      </c>
      <c r="T220" s="3">
        <f t="shared" si="20"/>
        <v>361.1201026</v>
      </c>
      <c r="U220" s="5">
        <f t="shared" si="24"/>
        <v>5.8139534883720929E-2</v>
      </c>
      <c r="V220" s="5">
        <f t="shared" si="21"/>
        <v>4.2121761277366899E-3</v>
      </c>
      <c r="W220" s="3">
        <f t="shared" si="22"/>
        <v>20.995354802325583</v>
      </c>
      <c r="X220" s="3">
        <f t="shared" si="23"/>
        <v>88.436132291717698</v>
      </c>
      <c r="Y220" s="7">
        <f t="shared" si="25"/>
        <v>7.5438075438075444E-2</v>
      </c>
    </row>
    <row r="221" spans="1:25" x14ac:dyDescent="0.25">
      <c r="A221" t="s">
        <v>402</v>
      </c>
      <c r="B221" t="s">
        <v>406</v>
      </c>
      <c r="C221" t="s">
        <v>407</v>
      </c>
      <c r="E221" t="s">
        <v>14</v>
      </c>
      <c r="F221" t="s">
        <v>15</v>
      </c>
      <c r="G221" t="s">
        <v>1073</v>
      </c>
      <c r="H221" t="s">
        <v>1074</v>
      </c>
      <c r="K221" t="s">
        <v>49</v>
      </c>
      <c r="L221" t="s">
        <v>25</v>
      </c>
      <c r="M221" t="s">
        <v>21</v>
      </c>
      <c r="N221" s="4">
        <v>37355</v>
      </c>
      <c r="O221" s="4">
        <v>145</v>
      </c>
      <c r="P221" s="4">
        <v>17138</v>
      </c>
      <c r="Q221" s="4">
        <v>35689</v>
      </c>
      <c r="R221" s="4">
        <v>3</v>
      </c>
      <c r="S221" s="3">
        <v>1577.366086</v>
      </c>
      <c r="T221" s="3">
        <f t="shared" si="20"/>
        <v>525.78869533333329</v>
      </c>
      <c r="U221" s="5">
        <f t="shared" si="24"/>
        <v>2.0689655172413793E-2</v>
      </c>
      <c r="V221" s="5">
        <f t="shared" si="21"/>
        <v>3.8816758131441573E-3</v>
      </c>
      <c r="W221" s="3">
        <f t="shared" si="22"/>
        <v>10.878386799999999</v>
      </c>
      <c r="X221" s="3">
        <f t="shared" si="23"/>
        <v>42.226370927586665</v>
      </c>
      <c r="Y221" s="7">
        <f t="shared" si="25"/>
        <v>0.48020398442097006</v>
      </c>
    </row>
    <row r="222" spans="1:25" x14ac:dyDescent="0.25">
      <c r="A222" t="s">
        <v>402</v>
      </c>
      <c r="B222" t="s">
        <v>408</v>
      </c>
      <c r="C222" t="s">
        <v>409</v>
      </c>
      <c r="E222" t="s">
        <v>19</v>
      </c>
      <c r="F222" t="s">
        <v>44</v>
      </c>
      <c r="G222" t="s">
        <v>1073</v>
      </c>
      <c r="H222" t="s">
        <v>1074</v>
      </c>
      <c r="K222" t="s">
        <v>24</v>
      </c>
      <c r="L222" t="s">
        <v>17</v>
      </c>
      <c r="M222" t="s">
        <v>21</v>
      </c>
      <c r="N222" s="4">
        <v>58738</v>
      </c>
      <c r="O222" s="4">
        <v>165</v>
      </c>
      <c r="P222" s="4">
        <v>33538</v>
      </c>
      <c r="Q222" s="4">
        <v>47535</v>
      </c>
      <c r="R222" s="4">
        <v>14</v>
      </c>
      <c r="S222" s="3">
        <v>2801.584386</v>
      </c>
      <c r="T222" s="3">
        <f t="shared" si="20"/>
        <v>200.11317042857144</v>
      </c>
      <c r="U222" s="5">
        <f t="shared" si="24"/>
        <v>8.4848484848484854E-2</v>
      </c>
      <c r="V222" s="5">
        <f t="shared" si="21"/>
        <v>2.8090844087302939E-3</v>
      </c>
      <c r="W222" s="3">
        <f t="shared" si="22"/>
        <v>16.979299309090909</v>
      </c>
      <c r="X222" s="3">
        <f t="shared" si="23"/>
        <v>47.696284960332328</v>
      </c>
      <c r="Y222" s="7">
        <f t="shared" si="25"/>
        <v>0.70554328389607657</v>
      </c>
    </row>
    <row r="223" spans="1:25" x14ac:dyDescent="0.25">
      <c r="A223" t="s">
        <v>402</v>
      </c>
      <c r="B223" t="s">
        <v>403</v>
      </c>
      <c r="C223" t="s">
        <v>410</v>
      </c>
      <c r="E223" t="s">
        <v>14</v>
      </c>
      <c r="F223" t="s">
        <v>26</v>
      </c>
      <c r="G223" t="s">
        <v>1086</v>
      </c>
      <c r="H223" t="s">
        <v>1063</v>
      </c>
      <c r="K223" t="s">
        <v>191</v>
      </c>
      <c r="L223" t="s">
        <v>17</v>
      </c>
      <c r="M223" t="s">
        <v>29</v>
      </c>
      <c r="N223" s="4">
        <v>32436</v>
      </c>
      <c r="O223" s="4">
        <v>56</v>
      </c>
      <c r="P223" s="4">
        <v>17531</v>
      </c>
      <c r="Q223" s="4">
        <v>28429</v>
      </c>
      <c r="R223" s="4">
        <v>6</v>
      </c>
      <c r="S223" s="3">
        <v>1470.670167</v>
      </c>
      <c r="T223" s="3">
        <f t="shared" si="20"/>
        <v>245.1116945</v>
      </c>
      <c r="U223" s="5">
        <f t="shared" si="24"/>
        <v>0.10714285714285714</v>
      </c>
      <c r="V223" s="5">
        <f t="shared" si="21"/>
        <v>1.7264767542237022E-3</v>
      </c>
      <c r="W223" s="3">
        <f t="shared" si="22"/>
        <v>26.261967267857141</v>
      </c>
      <c r="X223" s="3">
        <f t="shared" si="23"/>
        <v>45.340676008139106</v>
      </c>
      <c r="Y223" s="7">
        <f t="shared" si="25"/>
        <v>0.616659045341025</v>
      </c>
    </row>
    <row r="224" spans="1:25" x14ac:dyDescent="0.25">
      <c r="A224" t="s">
        <v>402</v>
      </c>
      <c r="B224" t="s">
        <v>403</v>
      </c>
      <c r="C224" t="s">
        <v>411</v>
      </c>
      <c r="E224" t="s">
        <v>19</v>
      </c>
      <c r="F224" t="s">
        <v>26</v>
      </c>
      <c r="G224" t="s">
        <v>1120</v>
      </c>
      <c r="H224" t="s">
        <v>1097</v>
      </c>
      <c r="K224" t="s">
        <v>117</v>
      </c>
      <c r="L224" t="s">
        <v>25</v>
      </c>
      <c r="M224" t="s">
        <v>21</v>
      </c>
      <c r="N224" s="4">
        <v>507889</v>
      </c>
      <c r="O224" s="4">
        <v>823</v>
      </c>
      <c r="P224" s="4">
        <v>176329</v>
      </c>
      <c r="Q224" s="4">
        <v>450103</v>
      </c>
      <c r="R224" s="4">
        <v>78</v>
      </c>
      <c r="S224" s="3">
        <v>1440.7453620000001</v>
      </c>
      <c r="T224" s="3">
        <f t="shared" si="20"/>
        <v>18.471094384615387</v>
      </c>
      <c r="U224" s="5">
        <f t="shared" si="24"/>
        <v>9.4775212636695014E-2</v>
      </c>
      <c r="V224" s="5">
        <f t="shared" si="21"/>
        <v>1.6204328111063637E-3</v>
      </c>
      <c r="W224" s="3">
        <f t="shared" si="22"/>
        <v>1.7506018979343865</v>
      </c>
      <c r="X224" s="3">
        <f t="shared" si="23"/>
        <v>2.8367327545979539</v>
      </c>
      <c r="Y224" s="7">
        <f t="shared" si="25"/>
        <v>0.3917525544153227</v>
      </c>
    </row>
    <row r="225" spans="1:25" x14ac:dyDescent="0.25">
      <c r="A225" t="s">
        <v>402</v>
      </c>
      <c r="B225" t="s">
        <v>403</v>
      </c>
      <c r="C225" t="s">
        <v>412</v>
      </c>
      <c r="E225" t="s">
        <v>14</v>
      </c>
      <c r="F225" t="s">
        <v>15</v>
      </c>
      <c r="G225" t="s">
        <v>1073</v>
      </c>
      <c r="H225" t="s">
        <v>1074</v>
      </c>
      <c r="K225" t="s">
        <v>413</v>
      </c>
      <c r="L225" t="s">
        <v>17</v>
      </c>
      <c r="M225" t="s">
        <v>21</v>
      </c>
      <c r="N225" s="4">
        <v>14984</v>
      </c>
      <c r="O225" s="4">
        <v>63</v>
      </c>
      <c r="P225" s="4">
        <v>9614</v>
      </c>
      <c r="Q225" s="4">
        <v>14086</v>
      </c>
      <c r="R225" s="4">
        <v>3</v>
      </c>
      <c r="S225" s="3">
        <v>1505.0096349999999</v>
      </c>
      <c r="T225" s="3">
        <f t="shared" si="20"/>
        <v>501.66987833333332</v>
      </c>
      <c r="U225" s="5">
        <f t="shared" si="24"/>
        <v>4.7619047619047616E-2</v>
      </c>
      <c r="V225" s="5">
        <f t="shared" si="21"/>
        <v>4.2044847837693538E-3</v>
      </c>
      <c r="W225" s="3">
        <f t="shared" si="22"/>
        <v>23.889041825396824</v>
      </c>
      <c r="X225" s="3">
        <f t="shared" si="23"/>
        <v>100.44111285371062</v>
      </c>
      <c r="Y225" s="7">
        <f t="shared" si="25"/>
        <v>0.68252165270481324</v>
      </c>
    </row>
    <row r="226" spans="1:25" x14ac:dyDescent="0.25">
      <c r="A226" t="s">
        <v>402</v>
      </c>
      <c r="B226" t="s">
        <v>408</v>
      </c>
      <c r="C226" t="s">
        <v>414</v>
      </c>
      <c r="D226" t="s">
        <v>415</v>
      </c>
      <c r="E226" t="s">
        <v>14</v>
      </c>
      <c r="F226" t="s">
        <v>15</v>
      </c>
      <c r="G226" t="s">
        <v>1070</v>
      </c>
      <c r="H226" t="s">
        <v>1071</v>
      </c>
      <c r="K226" t="s">
        <v>91</v>
      </c>
      <c r="L226" t="s">
        <v>89</v>
      </c>
      <c r="M226" t="s">
        <v>21</v>
      </c>
      <c r="N226" s="4">
        <v>180353</v>
      </c>
      <c r="O226" s="4">
        <v>471</v>
      </c>
      <c r="P226" s="4">
        <v>67637</v>
      </c>
      <c r="Q226" s="4">
        <v>145416</v>
      </c>
      <c r="R226" s="4">
        <v>8</v>
      </c>
      <c r="S226" s="3">
        <v>1720.881985</v>
      </c>
      <c r="T226" s="3">
        <f t="shared" si="20"/>
        <v>215.110248125</v>
      </c>
      <c r="U226" s="5">
        <f t="shared" si="24"/>
        <v>1.6985138004246284E-2</v>
      </c>
      <c r="V226" s="5">
        <f t="shared" si="21"/>
        <v>2.6115451364823431E-3</v>
      </c>
      <c r="W226" s="3">
        <f t="shared" si="22"/>
        <v>3.6536772505307855</v>
      </c>
      <c r="X226" s="3">
        <f t="shared" si="23"/>
        <v>9.541743053899852</v>
      </c>
      <c r="Y226" s="7">
        <f t="shared" si="25"/>
        <v>0.46512763382296307</v>
      </c>
    </row>
    <row r="227" spans="1:25" x14ac:dyDescent="0.25">
      <c r="A227" t="s">
        <v>402</v>
      </c>
      <c r="B227" t="s">
        <v>408</v>
      </c>
      <c r="C227" t="s">
        <v>416</v>
      </c>
      <c r="E227" t="s">
        <v>14</v>
      </c>
      <c r="F227" t="s">
        <v>33</v>
      </c>
      <c r="G227" t="s">
        <v>1079</v>
      </c>
      <c r="H227" t="s">
        <v>1080</v>
      </c>
      <c r="K227" t="s">
        <v>301</v>
      </c>
      <c r="L227" t="s">
        <v>28</v>
      </c>
      <c r="M227" t="s">
        <v>21</v>
      </c>
      <c r="N227" s="4">
        <v>14136</v>
      </c>
      <c r="O227" s="4">
        <v>88</v>
      </c>
      <c r="P227" s="4">
        <v>4683</v>
      </c>
      <c r="Q227" s="4">
        <v>13273</v>
      </c>
      <c r="R227" s="4">
        <v>3</v>
      </c>
      <c r="S227" s="3">
        <v>1476.5368410000001</v>
      </c>
      <c r="T227" s="3">
        <f t="shared" si="20"/>
        <v>492.17894700000005</v>
      </c>
      <c r="U227" s="5">
        <f t="shared" si="24"/>
        <v>3.4090909090909088E-2</v>
      </c>
      <c r="V227" s="5">
        <f t="shared" si="21"/>
        <v>6.2252405206564797E-3</v>
      </c>
      <c r="W227" s="3">
        <f t="shared" si="22"/>
        <v>16.778827738636366</v>
      </c>
      <c r="X227" s="3">
        <f t="shared" si="23"/>
        <v>104.45223832767402</v>
      </c>
      <c r="Y227" s="7">
        <f t="shared" si="25"/>
        <v>0.35282151736608153</v>
      </c>
    </row>
    <row r="228" spans="1:25" x14ac:dyDescent="0.25">
      <c r="A228" t="s">
        <v>402</v>
      </c>
      <c r="B228" t="s">
        <v>406</v>
      </c>
      <c r="C228" t="s">
        <v>417</v>
      </c>
      <c r="D228" t="s">
        <v>407</v>
      </c>
      <c r="E228" t="s">
        <v>14</v>
      </c>
      <c r="F228" t="s">
        <v>15</v>
      </c>
      <c r="G228" t="s">
        <v>1066</v>
      </c>
      <c r="H228" t="s">
        <v>1067</v>
      </c>
      <c r="K228" t="s">
        <v>418</v>
      </c>
      <c r="L228" t="s">
        <v>25</v>
      </c>
      <c r="M228" t="s">
        <v>21</v>
      </c>
      <c r="N228" s="4">
        <v>7356</v>
      </c>
      <c r="O228" s="4">
        <v>10</v>
      </c>
      <c r="P228" s="4">
        <v>1588</v>
      </c>
      <c r="Q228" s="4">
        <v>7088</v>
      </c>
      <c r="R228" s="4">
        <v>1</v>
      </c>
      <c r="S228" s="3">
        <v>1730.37357</v>
      </c>
      <c r="T228" s="3">
        <f t="shared" si="20"/>
        <v>1730.37357</v>
      </c>
      <c r="U228" s="5">
        <f t="shared" si="24"/>
        <v>0.1</v>
      </c>
      <c r="V228" s="5">
        <f t="shared" si="21"/>
        <v>1.3594344752582926E-3</v>
      </c>
      <c r="W228" s="3">
        <f t="shared" si="22"/>
        <v>173.03735699999999</v>
      </c>
      <c r="X228" s="3">
        <f t="shared" si="23"/>
        <v>235.23294861337681</v>
      </c>
      <c r="Y228" s="7">
        <f t="shared" si="25"/>
        <v>0.22404063205417607</v>
      </c>
    </row>
    <row r="229" spans="1:25" x14ac:dyDescent="0.25">
      <c r="A229" t="s">
        <v>419</v>
      </c>
      <c r="B229" t="s">
        <v>420</v>
      </c>
      <c r="C229" t="s">
        <v>421</v>
      </c>
      <c r="E229" t="s">
        <v>19</v>
      </c>
      <c r="F229" t="s">
        <v>26</v>
      </c>
      <c r="G229" t="s">
        <v>1078</v>
      </c>
      <c r="H229" t="s">
        <v>1065</v>
      </c>
      <c r="K229" t="s">
        <v>422</v>
      </c>
      <c r="L229" t="s">
        <v>25</v>
      </c>
      <c r="M229" t="s">
        <v>21</v>
      </c>
      <c r="N229" s="4">
        <v>82916</v>
      </c>
      <c r="O229" s="4">
        <v>199</v>
      </c>
      <c r="P229" s="4">
        <v>24951</v>
      </c>
      <c r="Q229" s="4">
        <v>77333</v>
      </c>
      <c r="R229" s="4">
        <v>12</v>
      </c>
      <c r="S229" s="3">
        <v>1584.8212470000001</v>
      </c>
      <c r="T229" s="3">
        <f t="shared" si="20"/>
        <v>132.06843725000002</v>
      </c>
      <c r="U229" s="5">
        <f t="shared" si="24"/>
        <v>6.030150753768844E-2</v>
      </c>
      <c r="V229" s="5">
        <f t="shared" si="21"/>
        <v>2.4000192966375611E-3</v>
      </c>
      <c r="W229" s="3">
        <f t="shared" si="22"/>
        <v>7.9639258643216086</v>
      </c>
      <c r="X229" s="3">
        <f t="shared" si="23"/>
        <v>19.113575751362827</v>
      </c>
      <c r="Y229" s="7">
        <f t="shared" si="25"/>
        <v>0.32264363208462105</v>
      </c>
    </row>
    <row r="230" spans="1:25" x14ac:dyDescent="0.25">
      <c r="A230" t="s">
        <v>419</v>
      </c>
      <c r="B230" t="s">
        <v>423</v>
      </c>
      <c r="C230" t="s">
        <v>424</v>
      </c>
      <c r="D230" t="s">
        <v>425</v>
      </c>
      <c r="E230" t="s">
        <v>19</v>
      </c>
      <c r="F230" t="s">
        <v>26</v>
      </c>
      <c r="G230" t="s">
        <v>1121</v>
      </c>
      <c r="H230" t="s">
        <v>1122</v>
      </c>
      <c r="K230" t="s">
        <v>167</v>
      </c>
      <c r="L230" t="s">
        <v>17</v>
      </c>
      <c r="M230" t="s">
        <v>21</v>
      </c>
      <c r="N230" s="4">
        <v>55274</v>
      </c>
      <c r="O230" s="4">
        <v>219</v>
      </c>
      <c r="P230" s="4">
        <v>47583</v>
      </c>
      <c r="Q230" s="4">
        <v>51275</v>
      </c>
      <c r="R230" s="4">
        <v>3</v>
      </c>
      <c r="S230" s="3">
        <v>1532.7579049999999</v>
      </c>
      <c r="T230" s="3">
        <f t="shared" si="20"/>
        <v>510.91930166666663</v>
      </c>
      <c r="U230" s="5">
        <f t="shared" si="24"/>
        <v>1.3698630136986301E-2</v>
      </c>
      <c r="V230" s="5">
        <f t="shared" si="21"/>
        <v>3.9620798205304486E-3</v>
      </c>
      <c r="W230" s="3">
        <f t="shared" si="22"/>
        <v>6.9988945433789951</v>
      </c>
      <c r="X230" s="3">
        <f t="shared" si="23"/>
        <v>27.730178836342581</v>
      </c>
      <c r="Y230" s="7">
        <f t="shared" si="25"/>
        <v>0.92799609946367623</v>
      </c>
    </row>
    <row r="231" spans="1:25" x14ac:dyDescent="0.25">
      <c r="A231" t="s">
        <v>419</v>
      </c>
      <c r="B231" t="s">
        <v>420</v>
      </c>
      <c r="C231" t="s">
        <v>426</v>
      </c>
      <c r="E231" t="s">
        <v>14</v>
      </c>
      <c r="F231" t="s">
        <v>33</v>
      </c>
      <c r="G231" t="s">
        <v>1062</v>
      </c>
      <c r="H231" t="s">
        <v>1063</v>
      </c>
      <c r="K231" t="s">
        <v>117</v>
      </c>
      <c r="L231" t="s">
        <v>17</v>
      </c>
      <c r="M231" t="s">
        <v>29</v>
      </c>
      <c r="N231" s="4">
        <v>74164</v>
      </c>
      <c r="O231" s="4">
        <v>241</v>
      </c>
      <c r="P231" s="4">
        <v>25104</v>
      </c>
      <c r="Q231" s="4">
        <v>61242</v>
      </c>
      <c r="R231" s="4">
        <v>19</v>
      </c>
      <c r="S231" s="3">
        <v>1902.3014430000001</v>
      </c>
      <c r="T231" s="3">
        <f t="shared" si="20"/>
        <v>100.12112857894738</v>
      </c>
      <c r="U231" s="5">
        <f t="shared" si="24"/>
        <v>7.8838174273858919E-2</v>
      </c>
      <c r="V231" s="5">
        <f t="shared" si="21"/>
        <v>3.2495550401812198E-3</v>
      </c>
      <c r="W231" s="3">
        <f t="shared" si="22"/>
        <v>7.8933669834024895</v>
      </c>
      <c r="X231" s="3">
        <f t="shared" si="23"/>
        <v>25.649930464915592</v>
      </c>
      <c r="Y231" s="7">
        <f t="shared" si="25"/>
        <v>0.40991476437738805</v>
      </c>
    </row>
    <row r="232" spans="1:25" x14ac:dyDescent="0.25">
      <c r="A232" t="s">
        <v>419</v>
      </c>
      <c r="B232" t="s">
        <v>423</v>
      </c>
      <c r="C232" t="s">
        <v>424</v>
      </c>
      <c r="D232" t="s">
        <v>427</v>
      </c>
      <c r="E232" t="s">
        <v>14</v>
      </c>
      <c r="F232" t="s">
        <v>15</v>
      </c>
      <c r="G232" t="s">
        <v>1079</v>
      </c>
      <c r="H232" t="s">
        <v>1080</v>
      </c>
      <c r="K232" t="s">
        <v>428</v>
      </c>
      <c r="L232" t="s">
        <v>17</v>
      </c>
      <c r="M232" t="s">
        <v>21</v>
      </c>
      <c r="N232" s="4">
        <v>11214</v>
      </c>
      <c r="O232" s="4">
        <v>49</v>
      </c>
      <c r="P232" s="4">
        <v>5523</v>
      </c>
      <c r="Q232" s="4">
        <v>10267</v>
      </c>
      <c r="R232" s="4">
        <v>2</v>
      </c>
      <c r="S232" s="3">
        <v>1554.3892149999999</v>
      </c>
      <c r="T232" s="3">
        <f t="shared" si="20"/>
        <v>777.19460749999996</v>
      </c>
      <c r="U232" s="5">
        <f t="shared" si="24"/>
        <v>4.0816326530612242E-2</v>
      </c>
      <c r="V232" s="5">
        <f t="shared" si="21"/>
        <v>4.3695380774032462E-3</v>
      </c>
      <c r="W232" s="3">
        <f t="shared" si="22"/>
        <v>31.722228877551018</v>
      </c>
      <c r="X232" s="3">
        <f t="shared" si="23"/>
        <v>138.61148698055999</v>
      </c>
      <c r="Y232" s="7">
        <f t="shared" si="25"/>
        <v>0.53793707996493623</v>
      </c>
    </row>
    <row r="233" spans="1:25" x14ac:dyDescent="0.25">
      <c r="A233" t="s">
        <v>429</v>
      </c>
      <c r="B233" t="s">
        <v>124</v>
      </c>
      <c r="C233" t="s">
        <v>190</v>
      </c>
      <c r="E233" t="s">
        <v>14</v>
      </c>
      <c r="F233" t="s">
        <v>44</v>
      </c>
      <c r="G233" t="s">
        <v>1075</v>
      </c>
      <c r="H233" t="s">
        <v>1074</v>
      </c>
      <c r="K233" t="s">
        <v>430</v>
      </c>
      <c r="L233" t="s">
        <v>25</v>
      </c>
      <c r="M233" t="s">
        <v>18</v>
      </c>
      <c r="N233" s="4">
        <v>17645</v>
      </c>
      <c r="O233" s="4">
        <v>40</v>
      </c>
      <c r="P233" s="4">
        <v>9673</v>
      </c>
      <c r="Q233" s="4">
        <v>15088</v>
      </c>
      <c r="R233" s="4">
        <v>15</v>
      </c>
      <c r="S233" s="3">
        <v>1591.772246</v>
      </c>
      <c r="T233" s="3">
        <f t="shared" si="20"/>
        <v>106.11814973333334</v>
      </c>
      <c r="U233" s="5">
        <f t="shared" si="24"/>
        <v>0.375</v>
      </c>
      <c r="V233" s="5">
        <f t="shared" si="21"/>
        <v>2.2669311419665629E-3</v>
      </c>
      <c r="W233" s="3">
        <f t="shared" si="22"/>
        <v>39.794306149999997</v>
      </c>
      <c r="X233" s="3">
        <f t="shared" si="23"/>
        <v>90.210951884386503</v>
      </c>
      <c r="Y233" s="7">
        <f t="shared" si="25"/>
        <v>0.6411055143160127</v>
      </c>
    </row>
    <row r="234" spans="1:25" x14ac:dyDescent="0.25">
      <c r="A234" t="s">
        <v>429</v>
      </c>
      <c r="B234" t="s">
        <v>431</v>
      </c>
      <c r="C234" t="s">
        <v>432</v>
      </c>
      <c r="D234" t="s">
        <v>190</v>
      </c>
      <c r="E234" t="s">
        <v>19</v>
      </c>
      <c r="F234" t="s">
        <v>44</v>
      </c>
      <c r="G234" t="s">
        <v>1072</v>
      </c>
      <c r="H234" t="s">
        <v>1065</v>
      </c>
      <c r="K234" t="s">
        <v>171</v>
      </c>
      <c r="L234" t="s">
        <v>145</v>
      </c>
      <c r="M234" t="s">
        <v>21</v>
      </c>
      <c r="N234" s="4">
        <v>22175</v>
      </c>
      <c r="O234" s="4">
        <v>140</v>
      </c>
      <c r="P234" s="4">
        <v>14910</v>
      </c>
      <c r="Q234" s="4">
        <v>20074</v>
      </c>
      <c r="R234" s="4">
        <v>6</v>
      </c>
      <c r="S234" s="3">
        <v>1909.2774830000001</v>
      </c>
      <c r="T234" s="3">
        <f t="shared" si="20"/>
        <v>318.21291383333335</v>
      </c>
      <c r="U234" s="5">
        <f t="shared" si="24"/>
        <v>4.2857142857142858E-2</v>
      </c>
      <c r="V234" s="5">
        <f t="shared" si="21"/>
        <v>6.3134160090191661E-3</v>
      </c>
      <c r="W234" s="3">
        <f t="shared" si="22"/>
        <v>13.637696307142857</v>
      </c>
      <c r="X234" s="3">
        <f t="shared" si="23"/>
        <v>86.100450191657274</v>
      </c>
      <c r="Y234" s="7">
        <f t="shared" si="25"/>
        <v>0.74275181827239212</v>
      </c>
    </row>
    <row r="235" spans="1:25" x14ac:dyDescent="0.25">
      <c r="A235" t="s">
        <v>429</v>
      </c>
      <c r="B235" t="s">
        <v>431</v>
      </c>
      <c r="C235" t="s">
        <v>433</v>
      </c>
      <c r="E235" t="s">
        <v>14</v>
      </c>
      <c r="F235" t="s">
        <v>26</v>
      </c>
      <c r="G235" t="s">
        <v>1072</v>
      </c>
      <c r="H235" t="s">
        <v>1065</v>
      </c>
      <c r="K235" t="s">
        <v>45</v>
      </c>
      <c r="L235" t="s">
        <v>25</v>
      </c>
      <c r="M235" t="s">
        <v>29</v>
      </c>
      <c r="N235" s="4">
        <v>74436</v>
      </c>
      <c r="O235" s="4">
        <v>175</v>
      </c>
      <c r="P235" s="4">
        <v>30158</v>
      </c>
      <c r="Q235" s="4">
        <v>69150</v>
      </c>
      <c r="R235" s="4">
        <v>21</v>
      </c>
      <c r="S235" s="3">
        <v>1558.5491380000001</v>
      </c>
      <c r="T235" s="3">
        <f t="shared" si="20"/>
        <v>74.216625619047619</v>
      </c>
      <c r="U235" s="5">
        <f t="shared" si="24"/>
        <v>0.12</v>
      </c>
      <c r="V235" s="5">
        <f t="shared" si="21"/>
        <v>2.3510129507227687E-3</v>
      </c>
      <c r="W235" s="3">
        <f t="shared" si="22"/>
        <v>8.9059950742857144</v>
      </c>
      <c r="X235" s="3">
        <f t="shared" si="23"/>
        <v>20.938109758718902</v>
      </c>
      <c r="Y235" s="7">
        <f t="shared" si="25"/>
        <v>0.43612436731742588</v>
      </c>
    </row>
    <row r="236" spans="1:25" x14ac:dyDescent="0.25">
      <c r="A236" t="s">
        <v>429</v>
      </c>
      <c r="B236" t="s">
        <v>431</v>
      </c>
      <c r="C236" t="s">
        <v>434</v>
      </c>
      <c r="E236" t="s">
        <v>23</v>
      </c>
      <c r="F236" t="s">
        <v>15</v>
      </c>
      <c r="G236" t="s">
        <v>1062</v>
      </c>
      <c r="H236" t="s">
        <v>1063</v>
      </c>
      <c r="K236" t="s">
        <v>435</v>
      </c>
      <c r="L236" t="s">
        <v>17</v>
      </c>
      <c r="M236" t="s">
        <v>21</v>
      </c>
      <c r="N236" s="4">
        <v>9178</v>
      </c>
      <c r="O236" s="4">
        <v>25</v>
      </c>
      <c r="P236" s="4">
        <v>4644</v>
      </c>
      <c r="Q236" s="4">
        <v>8462</v>
      </c>
      <c r="R236" s="4">
        <v>2</v>
      </c>
      <c r="S236" s="3">
        <v>1503.205183</v>
      </c>
      <c r="T236" s="3">
        <f t="shared" si="20"/>
        <v>751.60259150000002</v>
      </c>
      <c r="U236" s="5">
        <f t="shared" si="24"/>
        <v>0.08</v>
      </c>
      <c r="V236" s="5">
        <f t="shared" si="21"/>
        <v>2.7239049901939421E-3</v>
      </c>
      <c r="W236" s="3">
        <f t="shared" si="22"/>
        <v>60.128207320000001</v>
      </c>
      <c r="X236" s="3">
        <f t="shared" si="23"/>
        <v>163.78352397036392</v>
      </c>
      <c r="Y236" s="7">
        <f t="shared" si="25"/>
        <v>0.54880642874025054</v>
      </c>
    </row>
    <row r="237" spans="1:25" x14ac:dyDescent="0.25">
      <c r="A237" t="s">
        <v>429</v>
      </c>
      <c r="B237" t="s">
        <v>431</v>
      </c>
      <c r="C237" t="s">
        <v>432</v>
      </c>
      <c r="D237" t="s">
        <v>436</v>
      </c>
      <c r="E237" t="s">
        <v>14</v>
      </c>
      <c r="F237" t="s">
        <v>44</v>
      </c>
      <c r="G237" t="s">
        <v>1064</v>
      </c>
      <c r="H237" t="s">
        <v>1065</v>
      </c>
      <c r="K237" t="s">
        <v>75</v>
      </c>
      <c r="L237" t="s">
        <v>272</v>
      </c>
      <c r="M237" t="s">
        <v>29</v>
      </c>
      <c r="N237" s="4">
        <v>74426</v>
      </c>
      <c r="O237" s="4">
        <v>150</v>
      </c>
      <c r="P237" s="4">
        <v>39257</v>
      </c>
      <c r="Q237" s="4">
        <v>67151</v>
      </c>
      <c r="R237" s="4">
        <v>15</v>
      </c>
      <c r="S237" s="3">
        <v>1519.596552</v>
      </c>
      <c r="T237" s="3">
        <f t="shared" si="20"/>
        <v>101.3064368</v>
      </c>
      <c r="U237" s="5">
        <f t="shared" si="24"/>
        <v>0.1</v>
      </c>
      <c r="V237" s="5">
        <f t="shared" si="21"/>
        <v>2.0154247171687316E-3</v>
      </c>
      <c r="W237" s="3">
        <f t="shared" si="22"/>
        <v>10.13064368</v>
      </c>
      <c r="X237" s="3">
        <f t="shared" si="23"/>
        <v>20.417549673501195</v>
      </c>
      <c r="Y237" s="7">
        <f t="shared" si="25"/>
        <v>0.58460782415749579</v>
      </c>
    </row>
    <row r="238" spans="1:25" x14ac:dyDescent="0.25">
      <c r="A238" t="s">
        <v>429</v>
      </c>
      <c r="B238" t="s">
        <v>431</v>
      </c>
      <c r="C238" t="s">
        <v>437</v>
      </c>
      <c r="E238" t="s">
        <v>14</v>
      </c>
      <c r="F238" t="s">
        <v>44</v>
      </c>
      <c r="G238" t="s">
        <v>1085</v>
      </c>
      <c r="H238" t="s">
        <v>1065</v>
      </c>
      <c r="K238" t="s">
        <v>387</v>
      </c>
      <c r="L238" t="s">
        <v>17</v>
      </c>
      <c r="M238" t="s">
        <v>21</v>
      </c>
      <c r="N238" s="4">
        <v>7427</v>
      </c>
      <c r="O238" s="4">
        <v>0</v>
      </c>
      <c r="P238" s="4">
        <v>4752</v>
      </c>
      <c r="Q238" s="4">
        <v>6566</v>
      </c>
      <c r="R238" s="4">
        <v>1</v>
      </c>
      <c r="S238" s="3">
        <v>1504.784161</v>
      </c>
      <c r="T238" s="3">
        <f t="shared" si="20"/>
        <v>1504.784161</v>
      </c>
      <c r="U238" s="5" t="e">
        <f t="shared" si="24"/>
        <v>#DIV/0!</v>
      </c>
      <c r="V238" s="5">
        <f t="shared" si="21"/>
        <v>0</v>
      </c>
      <c r="W238" s="3" t="e">
        <f t="shared" si="22"/>
        <v>#DIV/0!</v>
      </c>
      <c r="X238" s="3">
        <f t="shared" si="23"/>
        <v>202.60995839504511</v>
      </c>
      <c r="Y238" s="7">
        <f t="shared" si="25"/>
        <v>0.72372829728906485</v>
      </c>
    </row>
    <row r="239" spans="1:25" x14ac:dyDescent="0.25">
      <c r="A239" t="s">
        <v>429</v>
      </c>
      <c r="B239" t="s">
        <v>431</v>
      </c>
      <c r="C239" t="s">
        <v>432</v>
      </c>
      <c r="D239" t="s">
        <v>438</v>
      </c>
      <c r="E239" t="s">
        <v>19</v>
      </c>
      <c r="F239" t="s">
        <v>26</v>
      </c>
      <c r="G239" t="s">
        <v>1066</v>
      </c>
      <c r="H239" t="s">
        <v>1067</v>
      </c>
      <c r="K239" t="s">
        <v>75</v>
      </c>
      <c r="L239" t="s">
        <v>17</v>
      </c>
      <c r="M239" t="s">
        <v>21</v>
      </c>
      <c r="N239" s="4">
        <v>22163</v>
      </c>
      <c r="O239" s="4">
        <v>55</v>
      </c>
      <c r="P239" s="4">
        <v>2368</v>
      </c>
      <c r="Q239" s="4">
        <v>8130</v>
      </c>
      <c r="R239" s="4">
        <v>3</v>
      </c>
      <c r="S239" s="3">
        <v>1493.7793280000001</v>
      </c>
      <c r="T239" s="3">
        <f t="shared" si="20"/>
        <v>497.92644266666667</v>
      </c>
      <c r="U239" s="5">
        <f t="shared" si="24"/>
        <v>5.4545454545454543E-2</v>
      </c>
      <c r="V239" s="5">
        <f t="shared" si="21"/>
        <v>2.4816134999774398E-3</v>
      </c>
      <c r="W239" s="3">
        <f t="shared" si="22"/>
        <v>27.159624145454547</v>
      </c>
      <c r="X239" s="3">
        <f t="shared" si="23"/>
        <v>67.399689933673244</v>
      </c>
      <c r="Y239" s="7">
        <f t="shared" si="25"/>
        <v>0.29126691266912669</v>
      </c>
    </row>
    <row r="240" spans="1:25" x14ac:dyDescent="0.25">
      <c r="A240" t="s">
        <v>439</v>
      </c>
      <c r="B240" t="s">
        <v>439</v>
      </c>
      <c r="E240" t="s">
        <v>14</v>
      </c>
      <c r="F240" t="s">
        <v>26</v>
      </c>
      <c r="G240" t="s">
        <v>1072</v>
      </c>
      <c r="H240" t="s">
        <v>1065</v>
      </c>
      <c r="K240" t="s">
        <v>67</v>
      </c>
      <c r="L240" t="s">
        <v>28</v>
      </c>
      <c r="M240" t="s">
        <v>21</v>
      </c>
      <c r="N240" s="4">
        <v>8545</v>
      </c>
      <c r="O240" s="4">
        <v>20</v>
      </c>
      <c r="P240" s="4">
        <v>3454</v>
      </c>
      <c r="Q240" s="4">
        <v>5510</v>
      </c>
      <c r="R240" s="4">
        <v>2</v>
      </c>
      <c r="S240" s="3">
        <v>2181.2479490000001</v>
      </c>
      <c r="T240" s="3">
        <f t="shared" si="20"/>
        <v>1090.6239745</v>
      </c>
      <c r="U240" s="5">
        <f t="shared" si="24"/>
        <v>0.1</v>
      </c>
      <c r="V240" s="5">
        <f t="shared" si="21"/>
        <v>2.3405500292568754E-3</v>
      </c>
      <c r="W240" s="3">
        <f t="shared" si="22"/>
        <v>109.06239745000001</v>
      </c>
      <c r="X240" s="3">
        <f t="shared" si="23"/>
        <v>255.26599754242247</v>
      </c>
      <c r="Y240" s="7">
        <f t="shared" si="25"/>
        <v>0.62686025408348456</v>
      </c>
    </row>
    <row r="241" spans="1:25" x14ac:dyDescent="0.25">
      <c r="A241" t="s">
        <v>423</v>
      </c>
      <c r="B241" t="s">
        <v>440</v>
      </c>
      <c r="C241" t="s">
        <v>440</v>
      </c>
      <c r="E241" t="s">
        <v>19</v>
      </c>
      <c r="F241" t="s">
        <v>15</v>
      </c>
      <c r="G241" t="s">
        <v>1078</v>
      </c>
      <c r="H241" t="s">
        <v>1065</v>
      </c>
      <c r="K241" t="s">
        <v>24</v>
      </c>
      <c r="L241" t="s">
        <v>17</v>
      </c>
      <c r="M241" t="s">
        <v>21</v>
      </c>
      <c r="N241" s="4">
        <v>1222302</v>
      </c>
      <c r="O241" s="4">
        <v>3142</v>
      </c>
      <c r="P241" s="4">
        <v>553773</v>
      </c>
      <c r="Q241" s="4">
        <v>1120128</v>
      </c>
      <c r="R241" s="4">
        <v>42</v>
      </c>
      <c r="S241" s="3">
        <v>7880.7704059999996</v>
      </c>
      <c r="T241" s="3">
        <f t="shared" si="20"/>
        <v>187.63739061904761</v>
      </c>
      <c r="U241" s="5">
        <f t="shared" si="24"/>
        <v>1.336728198599618E-2</v>
      </c>
      <c r="V241" s="5">
        <f t="shared" si="21"/>
        <v>2.5705594852990505E-3</v>
      </c>
      <c r="W241" s="3">
        <f t="shared" si="22"/>
        <v>2.5082019115213239</v>
      </c>
      <c r="X241" s="3">
        <f t="shared" si="23"/>
        <v>6.4474822147063495</v>
      </c>
      <c r="Y241" s="7">
        <f t="shared" si="25"/>
        <v>0.49438367757970519</v>
      </c>
    </row>
    <row r="242" spans="1:25" x14ac:dyDescent="0.25">
      <c r="A242" t="s">
        <v>423</v>
      </c>
      <c r="B242" t="s">
        <v>440</v>
      </c>
      <c r="C242" t="s">
        <v>441</v>
      </c>
      <c r="E242" t="s">
        <v>14</v>
      </c>
      <c r="F242" t="s">
        <v>44</v>
      </c>
      <c r="G242" t="s">
        <v>1062</v>
      </c>
      <c r="H242" t="s">
        <v>1063</v>
      </c>
      <c r="K242" t="s">
        <v>442</v>
      </c>
      <c r="L242" t="s">
        <v>17</v>
      </c>
      <c r="M242" t="s">
        <v>21</v>
      </c>
      <c r="N242" s="4">
        <v>11476</v>
      </c>
      <c r="O242" s="4">
        <v>45</v>
      </c>
      <c r="P242" s="4">
        <v>4963</v>
      </c>
      <c r="Q242" s="4">
        <v>10991</v>
      </c>
      <c r="R242" s="4">
        <v>8</v>
      </c>
      <c r="S242" s="3">
        <v>7227.4173490000003</v>
      </c>
      <c r="T242" s="3">
        <f t="shared" si="20"/>
        <v>903.42716862500004</v>
      </c>
      <c r="U242" s="5">
        <f t="shared" si="24"/>
        <v>0.17777777777777778</v>
      </c>
      <c r="V242" s="5">
        <f t="shared" si="21"/>
        <v>3.921226908330429E-3</v>
      </c>
      <c r="W242" s="3">
        <f t="shared" si="22"/>
        <v>160.60927442222223</v>
      </c>
      <c r="X242" s="3">
        <f t="shared" si="23"/>
        <v>629.78540859184386</v>
      </c>
      <c r="Y242" s="7">
        <f t="shared" si="25"/>
        <v>0.45155126922027111</v>
      </c>
    </row>
    <row r="243" spans="1:25" x14ac:dyDescent="0.25">
      <c r="A243" t="s">
        <v>423</v>
      </c>
      <c r="B243" t="s">
        <v>440</v>
      </c>
      <c r="C243" t="s">
        <v>443</v>
      </c>
      <c r="E243" t="s">
        <v>14</v>
      </c>
      <c r="F243" t="s">
        <v>26</v>
      </c>
      <c r="G243" t="s">
        <v>1087</v>
      </c>
      <c r="H243" t="s">
        <v>1074</v>
      </c>
      <c r="K243" t="s">
        <v>444</v>
      </c>
      <c r="L243" t="s">
        <v>17</v>
      </c>
      <c r="M243" t="s">
        <v>18</v>
      </c>
      <c r="N243" s="4">
        <v>7695</v>
      </c>
      <c r="O243" s="4">
        <v>20</v>
      </c>
      <c r="P243" s="4">
        <v>3481</v>
      </c>
      <c r="Q243" s="4">
        <v>7050</v>
      </c>
      <c r="R243" s="4">
        <v>14</v>
      </c>
      <c r="S243" s="3">
        <v>6727.4404990000003</v>
      </c>
      <c r="T243" s="3">
        <f t="shared" si="20"/>
        <v>480.53146421428573</v>
      </c>
      <c r="U243" s="5">
        <f t="shared" si="24"/>
        <v>0.7</v>
      </c>
      <c r="V243" s="5">
        <f t="shared" si="21"/>
        <v>2.5990903183885639E-3</v>
      </c>
      <c r="W243" s="3">
        <f t="shared" si="22"/>
        <v>336.37202495000003</v>
      </c>
      <c r="X243" s="3">
        <f t="shared" si="23"/>
        <v>874.26127342430152</v>
      </c>
      <c r="Y243" s="7">
        <f t="shared" si="25"/>
        <v>0.49375886524822693</v>
      </c>
    </row>
    <row r="244" spans="1:25" x14ac:dyDescent="0.25">
      <c r="A244" t="s">
        <v>423</v>
      </c>
      <c r="B244" t="s">
        <v>445</v>
      </c>
      <c r="C244" t="s">
        <v>446</v>
      </c>
      <c r="E244" t="s">
        <v>14</v>
      </c>
      <c r="F244" t="s">
        <v>15</v>
      </c>
      <c r="G244" t="s">
        <v>1072</v>
      </c>
      <c r="H244" t="s">
        <v>1065</v>
      </c>
      <c r="K244" t="s">
        <v>83</v>
      </c>
      <c r="L244" t="s">
        <v>25</v>
      </c>
      <c r="M244" t="s">
        <v>21</v>
      </c>
      <c r="N244" s="4">
        <v>14350</v>
      </c>
      <c r="O244" s="4">
        <v>60</v>
      </c>
      <c r="P244" s="4">
        <v>8228</v>
      </c>
      <c r="Q244" s="4">
        <v>13396</v>
      </c>
      <c r="R244" s="4">
        <v>6</v>
      </c>
      <c r="S244" s="3">
        <v>6114.034936</v>
      </c>
      <c r="T244" s="3">
        <f t="shared" si="20"/>
        <v>1019.0058226666666</v>
      </c>
      <c r="U244" s="5">
        <f t="shared" si="24"/>
        <v>0.1</v>
      </c>
      <c r="V244" s="5">
        <f t="shared" si="21"/>
        <v>4.181184668989547E-3</v>
      </c>
      <c r="W244" s="3">
        <f t="shared" si="22"/>
        <v>101.90058226666666</v>
      </c>
      <c r="X244" s="3">
        <f t="shared" si="23"/>
        <v>426.06515233449477</v>
      </c>
      <c r="Y244" s="7">
        <f t="shared" si="25"/>
        <v>0.6142131979695431</v>
      </c>
    </row>
    <row r="245" spans="1:25" x14ac:dyDescent="0.25">
      <c r="A245" t="s">
        <v>423</v>
      </c>
      <c r="B245" t="s">
        <v>447</v>
      </c>
      <c r="C245" t="s">
        <v>448</v>
      </c>
      <c r="E245" t="s">
        <v>19</v>
      </c>
      <c r="F245" t="s">
        <v>33</v>
      </c>
      <c r="G245" t="s">
        <v>1070</v>
      </c>
      <c r="H245" t="s">
        <v>1071</v>
      </c>
      <c r="K245" t="s">
        <v>449</v>
      </c>
      <c r="L245" t="s">
        <v>68</v>
      </c>
      <c r="M245" t="s">
        <v>21</v>
      </c>
      <c r="N245" s="4">
        <v>115673</v>
      </c>
      <c r="O245" s="4">
        <v>410</v>
      </c>
      <c r="P245" s="4">
        <v>52475</v>
      </c>
      <c r="Q245" s="4">
        <v>97166</v>
      </c>
      <c r="R245" s="4">
        <v>22</v>
      </c>
      <c r="S245" s="3">
        <v>5045.9379300000001</v>
      </c>
      <c r="T245" s="3">
        <f t="shared" si="20"/>
        <v>229.360815</v>
      </c>
      <c r="U245" s="5">
        <f t="shared" si="24"/>
        <v>5.3658536585365853E-2</v>
      </c>
      <c r="V245" s="5">
        <f t="shared" si="21"/>
        <v>3.5444745100412368E-3</v>
      </c>
      <c r="W245" s="3">
        <f t="shared" si="22"/>
        <v>12.307165682926829</v>
      </c>
      <c r="X245" s="3">
        <f t="shared" si="23"/>
        <v>43.622435053988397</v>
      </c>
      <c r="Y245" s="7">
        <f t="shared" si="25"/>
        <v>0.54005516332873638</v>
      </c>
    </row>
    <row r="246" spans="1:25" x14ac:dyDescent="0.25">
      <c r="A246" t="s">
        <v>423</v>
      </c>
      <c r="B246" t="s">
        <v>140</v>
      </c>
      <c r="C246" t="s">
        <v>140</v>
      </c>
      <c r="E246" t="s">
        <v>19</v>
      </c>
      <c r="F246" t="s">
        <v>44</v>
      </c>
      <c r="G246" t="s">
        <v>1070</v>
      </c>
      <c r="H246" t="s">
        <v>1071</v>
      </c>
      <c r="K246" t="s">
        <v>100</v>
      </c>
      <c r="L246" t="s">
        <v>28</v>
      </c>
      <c r="M246" t="s">
        <v>21</v>
      </c>
      <c r="N246" s="4">
        <v>122086</v>
      </c>
      <c r="O246" s="4">
        <v>299</v>
      </c>
      <c r="P246" s="4">
        <v>82898</v>
      </c>
      <c r="Q246" s="4">
        <v>116235</v>
      </c>
      <c r="R246" s="4">
        <v>16</v>
      </c>
      <c r="S246" s="3">
        <v>7663.6952940000001</v>
      </c>
      <c r="T246" s="3">
        <f t="shared" si="20"/>
        <v>478.98095587500001</v>
      </c>
      <c r="U246" s="5">
        <f t="shared" si="24"/>
        <v>5.3511705685618728E-2</v>
      </c>
      <c r="V246" s="5">
        <f t="shared" si="21"/>
        <v>2.4490932621266974E-3</v>
      </c>
      <c r="W246" s="3">
        <f t="shared" si="22"/>
        <v>25.631087939799333</v>
      </c>
      <c r="X246" s="3">
        <f t="shared" si="23"/>
        <v>62.772924774339408</v>
      </c>
      <c r="Y246" s="7">
        <f t="shared" si="25"/>
        <v>0.71319310018497006</v>
      </c>
    </row>
    <row r="247" spans="1:25" x14ac:dyDescent="0.25">
      <c r="A247" t="s">
        <v>423</v>
      </c>
      <c r="B247" t="s">
        <v>140</v>
      </c>
      <c r="C247" t="s">
        <v>450</v>
      </c>
      <c r="E247" t="s">
        <v>19</v>
      </c>
      <c r="F247" t="s">
        <v>15</v>
      </c>
      <c r="G247" t="s">
        <v>1062</v>
      </c>
      <c r="H247" t="s">
        <v>1063</v>
      </c>
      <c r="K247" t="s">
        <v>163</v>
      </c>
      <c r="L247" t="s">
        <v>28</v>
      </c>
      <c r="M247" t="s">
        <v>21</v>
      </c>
      <c r="N247" s="4">
        <v>18401</v>
      </c>
      <c r="O247" s="4">
        <v>66</v>
      </c>
      <c r="P247" s="4">
        <v>11051</v>
      </c>
      <c r="Q247" s="4">
        <v>17202</v>
      </c>
      <c r="R247" s="4">
        <v>26</v>
      </c>
      <c r="S247" s="3">
        <v>6571.4915520000004</v>
      </c>
      <c r="T247" s="3">
        <f t="shared" si="20"/>
        <v>252.7496750769231</v>
      </c>
      <c r="U247" s="5">
        <f t="shared" si="24"/>
        <v>0.39393939393939392</v>
      </c>
      <c r="V247" s="5">
        <f t="shared" si="21"/>
        <v>3.5867615890440739E-3</v>
      </c>
      <c r="W247" s="3">
        <f t="shared" si="22"/>
        <v>99.568053818181824</v>
      </c>
      <c r="X247" s="3">
        <f t="shared" si="23"/>
        <v>357.12687093092774</v>
      </c>
      <c r="Y247" s="7">
        <f t="shared" si="25"/>
        <v>0.64242529938379256</v>
      </c>
    </row>
    <row r="248" spans="1:25" x14ac:dyDescent="0.25">
      <c r="A248" t="s">
        <v>423</v>
      </c>
      <c r="B248" t="s">
        <v>140</v>
      </c>
      <c r="C248" t="s">
        <v>451</v>
      </c>
      <c r="E248" t="s">
        <v>19</v>
      </c>
      <c r="F248" t="s">
        <v>33</v>
      </c>
      <c r="G248" t="s">
        <v>1086</v>
      </c>
      <c r="H248" t="s">
        <v>1063</v>
      </c>
      <c r="K248" t="s">
        <v>452</v>
      </c>
      <c r="L248" t="s">
        <v>89</v>
      </c>
      <c r="M248" t="s">
        <v>21</v>
      </c>
      <c r="N248" s="4">
        <v>39881</v>
      </c>
      <c r="O248" s="4">
        <v>125</v>
      </c>
      <c r="P248" s="4">
        <v>6331</v>
      </c>
      <c r="Q248" s="4">
        <v>36245</v>
      </c>
      <c r="R248" s="4">
        <v>10</v>
      </c>
      <c r="S248" s="3">
        <v>7098.8897059999999</v>
      </c>
      <c r="T248" s="3">
        <f t="shared" si="20"/>
        <v>709.88897059999999</v>
      </c>
      <c r="U248" s="5">
        <f t="shared" si="24"/>
        <v>0.08</v>
      </c>
      <c r="V248" s="5">
        <f t="shared" si="21"/>
        <v>3.1343246157318023E-3</v>
      </c>
      <c r="W248" s="3">
        <f t="shared" si="22"/>
        <v>56.791117647999997</v>
      </c>
      <c r="X248" s="3">
        <f t="shared" si="23"/>
        <v>178.00179799904717</v>
      </c>
      <c r="Y248" s="7">
        <f t="shared" si="25"/>
        <v>0.17467236860256588</v>
      </c>
    </row>
    <row r="249" spans="1:25" x14ac:dyDescent="0.25">
      <c r="A249" t="s">
        <v>423</v>
      </c>
      <c r="B249" t="s">
        <v>447</v>
      </c>
      <c r="C249" t="s">
        <v>453</v>
      </c>
      <c r="E249" t="s">
        <v>19</v>
      </c>
      <c r="F249" t="s">
        <v>33</v>
      </c>
      <c r="G249" t="s">
        <v>1064</v>
      </c>
      <c r="H249" t="s">
        <v>1065</v>
      </c>
      <c r="K249" t="s">
        <v>81</v>
      </c>
      <c r="L249" t="s">
        <v>89</v>
      </c>
      <c r="M249" t="s">
        <v>21</v>
      </c>
      <c r="N249" s="4">
        <v>18324</v>
      </c>
      <c r="O249" s="4">
        <v>60</v>
      </c>
      <c r="P249" s="4">
        <v>3145</v>
      </c>
      <c r="Q249" s="4">
        <v>13703</v>
      </c>
      <c r="R249" s="4">
        <v>8</v>
      </c>
      <c r="S249" s="3">
        <v>6996.2318379999997</v>
      </c>
      <c r="T249" s="3">
        <f t="shared" si="20"/>
        <v>874.52897974999996</v>
      </c>
      <c r="U249" s="5">
        <f t="shared" si="24"/>
        <v>0.13333333333333333</v>
      </c>
      <c r="V249" s="5">
        <f t="shared" si="21"/>
        <v>3.2743942370661427E-3</v>
      </c>
      <c r="W249" s="3">
        <f t="shared" si="22"/>
        <v>116.60386396666667</v>
      </c>
      <c r="X249" s="3">
        <f t="shared" si="23"/>
        <v>381.80702019209775</v>
      </c>
      <c r="Y249" s="7">
        <f t="shared" si="25"/>
        <v>0.22951178574034883</v>
      </c>
    </row>
    <row r="250" spans="1:25" x14ac:dyDescent="0.25">
      <c r="A250" t="s">
        <v>423</v>
      </c>
      <c r="B250" t="s">
        <v>447</v>
      </c>
      <c r="C250" t="s">
        <v>454</v>
      </c>
      <c r="E250" t="s">
        <v>14</v>
      </c>
      <c r="F250" t="s">
        <v>15</v>
      </c>
      <c r="G250" t="s">
        <v>1070</v>
      </c>
      <c r="H250" t="s">
        <v>1071</v>
      </c>
      <c r="K250" t="s">
        <v>455</v>
      </c>
      <c r="L250" t="s">
        <v>17</v>
      </c>
      <c r="M250" t="s">
        <v>21</v>
      </c>
      <c r="N250" s="4">
        <v>9328</v>
      </c>
      <c r="O250" s="4">
        <v>56</v>
      </c>
      <c r="P250" s="4">
        <v>7102</v>
      </c>
      <c r="Q250" s="4">
        <v>8925</v>
      </c>
      <c r="R250" s="4">
        <v>5</v>
      </c>
      <c r="S250" s="3">
        <v>3408.0760489999998</v>
      </c>
      <c r="T250" s="3">
        <f t="shared" si="20"/>
        <v>681.6152098</v>
      </c>
      <c r="U250" s="5">
        <f t="shared" si="24"/>
        <v>8.9285714285714288E-2</v>
      </c>
      <c r="V250" s="5">
        <f t="shared" si="21"/>
        <v>6.0034305317324182E-3</v>
      </c>
      <c r="W250" s="3">
        <f t="shared" si="22"/>
        <v>60.858500874999997</v>
      </c>
      <c r="X250" s="3">
        <f t="shared" si="23"/>
        <v>365.35978226843906</v>
      </c>
      <c r="Y250" s="7">
        <f t="shared" si="25"/>
        <v>0.79574229691876752</v>
      </c>
    </row>
    <row r="251" spans="1:25" x14ac:dyDescent="0.25">
      <c r="A251" t="s">
        <v>423</v>
      </c>
      <c r="B251" t="s">
        <v>140</v>
      </c>
      <c r="C251" t="s">
        <v>456</v>
      </c>
      <c r="E251" t="s">
        <v>14</v>
      </c>
      <c r="F251" t="s">
        <v>33</v>
      </c>
      <c r="G251" t="s">
        <v>1084</v>
      </c>
      <c r="H251" t="s">
        <v>1065</v>
      </c>
      <c r="K251" t="s">
        <v>294</v>
      </c>
      <c r="L251" t="s">
        <v>17</v>
      </c>
      <c r="M251" t="s">
        <v>21</v>
      </c>
      <c r="N251" s="4">
        <v>53464</v>
      </c>
      <c r="O251" s="4">
        <v>212</v>
      </c>
      <c r="P251" s="4">
        <v>22151</v>
      </c>
      <c r="Q251" s="4">
        <v>49058</v>
      </c>
      <c r="R251" s="4">
        <v>9</v>
      </c>
      <c r="S251" s="3">
        <v>5741.0980449999997</v>
      </c>
      <c r="T251" s="3">
        <f t="shared" si="20"/>
        <v>637.89978277777777</v>
      </c>
      <c r="U251" s="5">
        <f t="shared" si="24"/>
        <v>4.2452830188679243E-2</v>
      </c>
      <c r="V251" s="5">
        <f t="shared" si="21"/>
        <v>3.9652850516235221E-3</v>
      </c>
      <c r="W251" s="3">
        <f t="shared" si="22"/>
        <v>27.080651155660377</v>
      </c>
      <c r="X251" s="3">
        <f t="shared" si="23"/>
        <v>107.38250121577136</v>
      </c>
      <c r="Y251" s="7">
        <f t="shared" si="25"/>
        <v>0.45152676423824861</v>
      </c>
    </row>
    <row r="252" spans="1:25" x14ac:dyDescent="0.25">
      <c r="A252" t="s">
        <v>423</v>
      </c>
      <c r="B252" t="s">
        <v>447</v>
      </c>
      <c r="C252" t="s">
        <v>447</v>
      </c>
      <c r="E252" t="s">
        <v>19</v>
      </c>
      <c r="F252" t="s">
        <v>26</v>
      </c>
      <c r="G252" t="s">
        <v>1070</v>
      </c>
      <c r="H252" t="s">
        <v>1071</v>
      </c>
      <c r="K252" t="s">
        <v>191</v>
      </c>
      <c r="L252" t="s">
        <v>79</v>
      </c>
      <c r="M252" t="s">
        <v>21</v>
      </c>
      <c r="N252" s="4">
        <v>1323451</v>
      </c>
      <c r="O252" s="4">
        <v>3414</v>
      </c>
      <c r="P252" s="4">
        <v>737990</v>
      </c>
      <c r="Q252" s="4">
        <v>1177859</v>
      </c>
      <c r="R252" s="4">
        <v>123</v>
      </c>
      <c r="S252" s="3">
        <v>8187.1145409999999</v>
      </c>
      <c r="T252" s="3">
        <f t="shared" si="20"/>
        <v>66.561906837398368</v>
      </c>
      <c r="U252" s="5">
        <f t="shared" si="24"/>
        <v>3.6028119507908608E-2</v>
      </c>
      <c r="V252" s="5">
        <f t="shared" si="21"/>
        <v>2.5796194947905137E-3</v>
      </c>
      <c r="W252" s="3">
        <f t="shared" si="22"/>
        <v>2.3981003342120681</v>
      </c>
      <c r="X252" s="3">
        <f t="shared" si="23"/>
        <v>6.1861863725970965</v>
      </c>
      <c r="Y252" s="7">
        <f t="shared" si="25"/>
        <v>0.62655207456919715</v>
      </c>
    </row>
    <row r="253" spans="1:25" x14ac:dyDescent="0.25">
      <c r="A253" t="s">
        <v>423</v>
      </c>
      <c r="B253" t="s">
        <v>140</v>
      </c>
      <c r="C253" t="s">
        <v>457</v>
      </c>
      <c r="E253" t="s">
        <v>14</v>
      </c>
      <c r="F253" t="s">
        <v>26</v>
      </c>
      <c r="G253" t="s">
        <v>1073</v>
      </c>
      <c r="H253" t="s">
        <v>1074</v>
      </c>
      <c r="K253" t="s">
        <v>91</v>
      </c>
      <c r="L253" t="s">
        <v>28</v>
      </c>
      <c r="M253" t="s">
        <v>21</v>
      </c>
      <c r="N253" s="4">
        <v>61574</v>
      </c>
      <c r="O253" s="4">
        <v>280</v>
      </c>
      <c r="P253" s="4">
        <v>18717</v>
      </c>
      <c r="Q253" s="4">
        <v>46367</v>
      </c>
      <c r="R253" s="4">
        <v>8</v>
      </c>
      <c r="S253" s="3">
        <v>4999.6652050000002</v>
      </c>
      <c r="T253" s="3">
        <f t="shared" si="20"/>
        <v>624.95815062500003</v>
      </c>
      <c r="U253" s="5">
        <f t="shared" si="24"/>
        <v>2.8571428571428571E-2</v>
      </c>
      <c r="V253" s="5">
        <f t="shared" si="21"/>
        <v>4.5473738915776142E-3</v>
      </c>
      <c r="W253" s="3">
        <f t="shared" si="22"/>
        <v>17.855947160714287</v>
      </c>
      <c r="X253" s="3">
        <f t="shared" si="23"/>
        <v>81.197667928021573</v>
      </c>
      <c r="Y253" s="7">
        <f t="shared" si="25"/>
        <v>0.40367071408544869</v>
      </c>
    </row>
    <row r="254" spans="1:25" x14ac:dyDescent="0.25">
      <c r="A254" t="s">
        <v>423</v>
      </c>
      <c r="B254" t="s">
        <v>445</v>
      </c>
      <c r="C254" t="s">
        <v>458</v>
      </c>
      <c r="E254" t="s">
        <v>23</v>
      </c>
      <c r="F254" t="s">
        <v>26</v>
      </c>
      <c r="G254" t="s">
        <v>1064</v>
      </c>
      <c r="H254" t="s">
        <v>1065</v>
      </c>
      <c r="K254" t="s">
        <v>42</v>
      </c>
      <c r="L254" t="s">
        <v>17</v>
      </c>
      <c r="M254" t="s">
        <v>21</v>
      </c>
      <c r="N254" s="4">
        <v>39844</v>
      </c>
      <c r="O254" s="4">
        <v>101</v>
      </c>
      <c r="P254" s="4">
        <v>28001</v>
      </c>
      <c r="Q254" s="4">
        <v>36335</v>
      </c>
      <c r="R254" s="4">
        <v>3</v>
      </c>
      <c r="S254" s="3">
        <v>4439.368082</v>
      </c>
      <c r="T254" s="3">
        <f t="shared" si="20"/>
        <v>1479.7893606666667</v>
      </c>
      <c r="U254" s="5">
        <f t="shared" si="24"/>
        <v>2.9702970297029702E-2</v>
      </c>
      <c r="V254" s="5">
        <f t="shared" si="21"/>
        <v>2.5348860556169061E-3</v>
      </c>
      <c r="W254" s="3">
        <f t="shared" si="22"/>
        <v>43.954139425742575</v>
      </c>
      <c r="X254" s="3">
        <f t="shared" si="23"/>
        <v>111.41873511695613</v>
      </c>
      <c r="Y254" s="7">
        <f t="shared" si="25"/>
        <v>0.77063437456997386</v>
      </c>
    </row>
    <row r="255" spans="1:25" x14ac:dyDescent="0.25">
      <c r="A255" t="s">
        <v>423</v>
      </c>
      <c r="B255" t="s">
        <v>440</v>
      </c>
      <c r="C255" t="s">
        <v>459</v>
      </c>
      <c r="E255" t="s">
        <v>19</v>
      </c>
      <c r="F255" t="s">
        <v>26</v>
      </c>
      <c r="G255" t="s">
        <v>1070</v>
      </c>
      <c r="H255" t="s">
        <v>1071</v>
      </c>
      <c r="K255" t="s">
        <v>215</v>
      </c>
      <c r="L255" t="s">
        <v>68</v>
      </c>
      <c r="M255" t="s">
        <v>21</v>
      </c>
      <c r="N255" s="4">
        <v>114384</v>
      </c>
      <c r="O255" s="4">
        <v>100</v>
      </c>
      <c r="P255" s="4">
        <v>61524</v>
      </c>
      <c r="Q255" s="4">
        <v>105104</v>
      </c>
      <c r="R255" s="4">
        <v>12</v>
      </c>
      <c r="S255" s="3">
        <v>5803.3314540000001</v>
      </c>
      <c r="T255" s="3">
        <f t="shared" si="20"/>
        <v>483.61095449999999</v>
      </c>
      <c r="U255" s="5">
        <f t="shared" si="24"/>
        <v>0.12</v>
      </c>
      <c r="V255" s="5">
        <f t="shared" si="21"/>
        <v>8.7424814659392927E-4</v>
      </c>
      <c r="W255" s="3">
        <f t="shared" si="22"/>
        <v>58.033314539999999</v>
      </c>
      <c r="X255" s="3">
        <f t="shared" si="23"/>
        <v>50.735517677297523</v>
      </c>
      <c r="Y255" s="7">
        <f t="shared" si="25"/>
        <v>0.58536306896026791</v>
      </c>
    </row>
    <row r="256" spans="1:25" x14ac:dyDescent="0.25">
      <c r="A256" t="s">
        <v>423</v>
      </c>
      <c r="B256" t="s">
        <v>142</v>
      </c>
      <c r="C256" t="s">
        <v>460</v>
      </c>
      <c r="E256" t="s">
        <v>19</v>
      </c>
      <c r="F256" t="s">
        <v>15</v>
      </c>
      <c r="G256" t="s">
        <v>1062</v>
      </c>
      <c r="H256" t="s">
        <v>1063</v>
      </c>
      <c r="K256" t="s">
        <v>461</v>
      </c>
      <c r="L256" t="s">
        <v>79</v>
      </c>
      <c r="M256" t="s">
        <v>21</v>
      </c>
      <c r="N256" s="4">
        <v>39212</v>
      </c>
      <c r="O256" s="4">
        <v>260</v>
      </c>
      <c r="P256" s="4">
        <v>31317</v>
      </c>
      <c r="Q256" s="4">
        <v>37660</v>
      </c>
      <c r="R256" s="4">
        <v>1</v>
      </c>
      <c r="S256" s="3">
        <v>3621.4177030000001</v>
      </c>
      <c r="T256" s="3">
        <f t="shared" si="20"/>
        <v>3621.4177030000001</v>
      </c>
      <c r="U256" s="5">
        <f t="shared" si="24"/>
        <v>3.8461538461538464E-3</v>
      </c>
      <c r="V256" s="5">
        <f t="shared" si="21"/>
        <v>6.6306232785881877E-3</v>
      </c>
      <c r="W256" s="3">
        <f t="shared" si="22"/>
        <v>13.928529626923078</v>
      </c>
      <c r="X256" s="3">
        <f t="shared" si="23"/>
        <v>92.354832780781393</v>
      </c>
      <c r="Y256" s="7">
        <f t="shared" si="25"/>
        <v>0.83157195963887409</v>
      </c>
    </row>
    <row r="257" spans="1:25" x14ac:dyDescent="0.25">
      <c r="A257" t="s">
        <v>423</v>
      </c>
      <c r="B257" t="s">
        <v>440</v>
      </c>
      <c r="C257" t="s">
        <v>462</v>
      </c>
      <c r="E257" t="s">
        <v>19</v>
      </c>
      <c r="F257" t="s">
        <v>15</v>
      </c>
      <c r="G257" t="s">
        <v>1078</v>
      </c>
      <c r="H257" t="s">
        <v>1065</v>
      </c>
      <c r="K257" t="s">
        <v>45</v>
      </c>
      <c r="L257" t="s">
        <v>115</v>
      </c>
      <c r="M257" t="s">
        <v>21</v>
      </c>
      <c r="N257" s="4">
        <v>680912</v>
      </c>
      <c r="O257" s="4">
        <v>2000</v>
      </c>
      <c r="P257" s="4">
        <v>388915</v>
      </c>
      <c r="Q257" s="4">
        <v>648524</v>
      </c>
      <c r="R257" s="4">
        <v>39</v>
      </c>
      <c r="S257" s="3">
        <v>7814.2624939999996</v>
      </c>
      <c r="T257" s="3">
        <f t="shared" si="20"/>
        <v>200.36570497435898</v>
      </c>
      <c r="U257" s="5">
        <f t="shared" si="24"/>
        <v>1.95E-2</v>
      </c>
      <c r="V257" s="5">
        <f t="shared" si="21"/>
        <v>2.9372371172780038E-3</v>
      </c>
      <c r="W257" s="3">
        <f t="shared" si="22"/>
        <v>3.9071312469999997</v>
      </c>
      <c r="X257" s="3">
        <f t="shared" si="23"/>
        <v>11.476170920765092</v>
      </c>
      <c r="Y257" s="7">
        <f t="shared" si="25"/>
        <v>0.59969253258167776</v>
      </c>
    </row>
    <row r="258" spans="1:25" x14ac:dyDescent="0.25">
      <c r="A258" t="s">
        <v>423</v>
      </c>
      <c r="B258" t="s">
        <v>463</v>
      </c>
      <c r="C258" t="s">
        <v>464</v>
      </c>
      <c r="E258" t="s">
        <v>14</v>
      </c>
      <c r="F258" t="s">
        <v>15</v>
      </c>
      <c r="G258" t="s">
        <v>1070</v>
      </c>
      <c r="H258" t="s">
        <v>1071</v>
      </c>
      <c r="K258" t="s">
        <v>45</v>
      </c>
      <c r="L258" t="s">
        <v>17</v>
      </c>
      <c r="M258" t="s">
        <v>21</v>
      </c>
      <c r="N258" s="4">
        <v>1100942</v>
      </c>
      <c r="O258" s="4">
        <v>2984</v>
      </c>
      <c r="P258" s="4">
        <v>629973</v>
      </c>
      <c r="Q258" s="4">
        <v>1041225</v>
      </c>
      <c r="R258" s="4">
        <v>147</v>
      </c>
      <c r="S258" s="3">
        <v>7979.3485890000002</v>
      </c>
      <c r="T258" s="3">
        <f t="shared" ref="T258:T321" si="26">S258/R258</f>
        <v>54.281282918367346</v>
      </c>
      <c r="U258" s="5">
        <f t="shared" si="24"/>
        <v>4.92627345844504E-2</v>
      </c>
      <c r="V258" s="5">
        <f t="shared" ref="V258:V321" si="27">O258/N258</f>
        <v>2.710406179435429E-3</v>
      </c>
      <c r="W258" s="3">
        <f t="shared" ref="W258:W321" si="28">S258/O258</f>
        <v>2.6740444333109918</v>
      </c>
      <c r="X258" s="3">
        <f t="shared" ref="X258:X321" si="29">(S258/N258)*1000</f>
        <v>7.2477465561310224</v>
      </c>
      <c r="Y258" s="7">
        <f t="shared" si="25"/>
        <v>0.60503061297990346</v>
      </c>
    </row>
    <row r="259" spans="1:25" x14ac:dyDescent="0.25">
      <c r="A259" t="s">
        <v>423</v>
      </c>
      <c r="B259" t="s">
        <v>142</v>
      </c>
      <c r="C259" t="s">
        <v>465</v>
      </c>
      <c r="E259" t="s">
        <v>14</v>
      </c>
      <c r="F259" t="s">
        <v>15</v>
      </c>
      <c r="G259" t="s">
        <v>1070</v>
      </c>
      <c r="H259" t="s">
        <v>1071</v>
      </c>
      <c r="K259" t="s">
        <v>339</v>
      </c>
      <c r="L259" t="s">
        <v>17</v>
      </c>
      <c r="M259" t="s">
        <v>21</v>
      </c>
      <c r="N259" s="4">
        <v>357707</v>
      </c>
      <c r="O259" s="4">
        <v>951</v>
      </c>
      <c r="P259" s="4">
        <v>203987</v>
      </c>
      <c r="Q259" s="4">
        <v>338107</v>
      </c>
      <c r="R259" s="4">
        <v>74</v>
      </c>
      <c r="S259" s="3">
        <v>6749.2023529999997</v>
      </c>
      <c r="T259" s="3">
        <f t="shared" si="26"/>
        <v>91.205437202702697</v>
      </c>
      <c r="U259" s="5">
        <f t="shared" ref="U259:U322" si="30">R259/O259</f>
        <v>7.7812828601472137E-2</v>
      </c>
      <c r="V259" s="5">
        <f t="shared" si="27"/>
        <v>2.6586004746901792E-3</v>
      </c>
      <c r="W259" s="3">
        <f t="shared" si="28"/>
        <v>7.096953052576235</v>
      </c>
      <c r="X259" s="3">
        <f t="shared" si="29"/>
        <v>18.867962754433098</v>
      </c>
      <c r="Y259" s="7">
        <f t="shared" ref="Y259:Y322" si="31">P259/Q259</f>
        <v>0.60332084221858762</v>
      </c>
    </row>
    <row r="260" spans="1:25" x14ac:dyDescent="0.25">
      <c r="A260" t="s">
        <v>423</v>
      </c>
      <c r="B260" t="s">
        <v>466</v>
      </c>
      <c r="C260" t="s">
        <v>467</v>
      </c>
      <c r="E260" t="s">
        <v>19</v>
      </c>
      <c r="F260" t="s">
        <v>26</v>
      </c>
      <c r="G260" t="s">
        <v>1105</v>
      </c>
      <c r="H260" t="s">
        <v>1077</v>
      </c>
      <c r="K260" t="s">
        <v>160</v>
      </c>
      <c r="L260" t="s">
        <v>25</v>
      </c>
      <c r="M260" t="s">
        <v>21</v>
      </c>
      <c r="N260" s="4">
        <v>69523</v>
      </c>
      <c r="O260" s="4">
        <v>174</v>
      </c>
      <c r="P260" s="4">
        <v>48273</v>
      </c>
      <c r="Q260" s="4">
        <v>65800</v>
      </c>
      <c r="R260" s="4">
        <v>9</v>
      </c>
      <c r="S260" s="3">
        <v>2649.9978030000002</v>
      </c>
      <c r="T260" s="3">
        <f t="shared" si="26"/>
        <v>294.44420033333336</v>
      </c>
      <c r="U260" s="5">
        <f t="shared" si="30"/>
        <v>5.1724137931034482E-2</v>
      </c>
      <c r="V260" s="5">
        <f t="shared" si="27"/>
        <v>2.5027688678566805E-3</v>
      </c>
      <c r="W260" s="3">
        <f t="shared" si="28"/>
        <v>15.229872431034483</v>
      </c>
      <c r="X260" s="3">
        <f t="shared" si="29"/>
        <v>38.116850581821851</v>
      </c>
      <c r="Y260" s="7">
        <f t="shared" si="31"/>
        <v>0.73363221884498475</v>
      </c>
    </row>
    <row r="261" spans="1:25" x14ac:dyDescent="0.25">
      <c r="A261" t="s">
        <v>423</v>
      </c>
      <c r="B261" t="s">
        <v>142</v>
      </c>
      <c r="C261" t="s">
        <v>468</v>
      </c>
      <c r="E261" t="s">
        <v>19</v>
      </c>
      <c r="F261" t="s">
        <v>15</v>
      </c>
      <c r="G261" t="s">
        <v>1066</v>
      </c>
      <c r="H261" t="s">
        <v>1067</v>
      </c>
      <c r="K261" t="s">
        <v>45</v>
      </c>
      <c r="L261" t="s">
        <v>17</v>
      </c>
      <c r="M261" t="s">
        <v>21</v>
      </c>
      <c r="N261" s="4">
        <v>221720</v>
      </c>
      <c r="O261" s="4">
        <v>499</v>
      </c>
      <c r="P261" s="4">
        <v>35178</v>
      </c>
      <c r="Q261" s="4">
        <v>196583</v>
      </c>
      <c r="R261" s="4">
        <v>69</v>
      </c>
      <c r="S261" s="3">
        <v>7890.221963</v>
      </c>
      <c r="T261" s="3">
        <f t="shared" si="26"/>
        <v>114.35104294202898</v>
      </c>
      <c r="U261" s="5">
        <f t="shared" si="30"/>
        <v>0.13827655310621242</v>
      </c>
      <c r="V261" s="5">
        <f t="shared" si="27"/>
        <v>2.2505863250947139E-3</v>
      </c>
      <c r="W261" s="3">
        <f t="shared" si="28"/>
        <v>15.812068062124249</v>
      </c>
      <c r="X261" s="3">
        <f t="shared" si="29"/>
        <v>35.586424152083715</v>
      </c>
      <c r="Y261" s="7">
        <f t="shared" si="31"/>
        <v>0.17894731487463311</v>
      </c>
    </row>
    <row r="262" spans="1:25" x14ac:dyDescent="0.25">
      <c r="A262" t="s">
        <v>423</v>
      </c>
      <c r="B262" t="s">
        <v>142</v>
      </c>
      <c r="C262" t="s">
        <v>142</v>
      </c>
      <c r="E262" t="s">
        <v>19</v>
      </c>
      <c r="F262" t="s">
        <v>26</v>
      </c>
      <c r="G262" t="s">
        <v>1062</v>
      </c>
      <c r="H262" t="s">
        <v>1063</v>
      </c>
      <c r="K262" t="s">
        <v>24</v>
      </c>
      <c r="L262" t="s">
        <v>17</v>
      </c>
      <c r="M262" t="s">
        <v>21</v>
      </c>
      <c r="N262" s="4">
        <v>921791</v>
      </c>
      <c r="O262" s="4">
        <v>2150</v>
      </c>
      <c r="P262" s="4">
        <v>668449</v>
      </c>
      <c r="Q262" s="4">
        <v>852442</v>
      </c>
      <c r="R262" s="4">
        <v>69</v>
      </c>
      <c r="S262" s="3">
        <v>8042.8979490000002</v>
      </c>
      <c r="T262" s="3">
        <f t="shared" si="26"/>
        <v>116.56373839130435</v>
      </c>
      <c r="U262" s="5">
        <f t="shared" si="30"/>
        <v>3.2093023255813952E-2</v>
      </c>
      <c r="V262" s="5">
        <f t="shared" si="27"/>
        <v>2.3324159164062135E-3</v>
      </c>
      <c r="W262" s="3">
        <f t="shared" si="28"/>
        <v>3.7408827669767444</v>
      </c>
      <c r="X262" s="3">
        <f t="shared" si="29"/>
        <v>8.7252945071062751</v>
      </c>
      <c r="Y262" s="7">
        <f t="shared" si="31"/>
        <v>0.78415774914891567</v>
      </c>
    </row>
    <row r="263" spans="1:25" x14ac:dyDescent="0.25">
      <c r="A263" t="s">
        <v>423</v>
      </c>
      <c r="B263" t="s">
        <v>142</v>
      </c>
      <c r="C263" t="s">
        <v>469</v>
      </c>
      <c r="E263" t="s">
        <v>14</v>
      </c>
      <c r="F263" t="s">
        <v>15</v>
      </c>
      <c r="G263" t="s">
        <v>1070</v>
      </c>
      <c r="H263" t="s">
        <v>1071</v>
      </c>
      <c r="K263" t="s">
        <v>470</v>
      </c>
      <c r="L263" t="s">
        <v>25</v>
      </c>
      <c r="M263" t="s">
        <v>21</v>
      </c>
      <c r="N263" s="4">
        <v>8362</v>
      </c>
      <c r="O263" s="4">
        <v>31</v>
      </c>
      <c r="P263" s="4">
        <v>5959</v>
      </c>
      <c r="Q263" s="4">
        <v>7947</v>
      </c>
      <c r="R263" s="4">
        <v>7</v>
      </c>
      <c r="S263" s="3">
        <v>6997.4689630000003</v>
      </c>
      <c r="T263" s="3">
        <f t="shared" si="26"/>
        <v>999.63842328571434</v>
      </c>
      <c r="U263" s="5">
        <f t="shared" si="30"/>
        <v>0.22580645161290322</v>
      </c>
      <c r="V263" s="5">
        <f t="shared" si="27"/>
        <v>3.7072470700789287E-3</v>
      </c>
      <c r="W263" s="3">
        <f t="shared" si="28"/>
        <v>225.72480525806452</v>
      </c>
      <c r="X263" s="3">
        <f t="shared" si="29"/>
        <v>836.81762293709642</v>
      </c>
      <c r="Y263" s="7">
        <f t="shared" si="31"/>
        <v>0.74984270794010321</v>
      </c>
    </row>
    <row r="264" spans="1:25" x14ac:dyDescent="0.25">
      <c r="A264" t="s">
        <v>423</v>
      </c>
      <c r="B264" t="s">
        <v>463</v>
      </c>
      <c r="C264" t="s">
        <v>471</v>
      </c>
      <c r="E264" t="s">
        <v>19</v>
      </c>
      <c r="F264" t="s">
        <v>33</v>
      </c>
      <c r="G264" t="s">
        <v>1073</v>
      </c>
      <c r="H264" t="s">
        <v>1074</v>
      </c>
      <c r="K264" t="s">
        <v>167</v>
      </c>
      <c r="L264" t="s">
        <v>79</v>
      </c>
      <c r="M264" t="s">
        <v>21</v>
      </c>
      <c r="N264" s="4">
        <v>183230</v>
      </c>
      <c r="O264" s="4">
        <v>666</v>
      </c>
      <c r="P264" s="4">
        <v>155260</v>
      </c>
      <c r="Q264" s="4">
        <v>169583</v>
      </c>
      <c r="R264" s="4">
        <v>34</v>
      </c>
      <c r="S264" s="3">
        <v>7863.469709</v>
      </c>
      <c r="T264" s="3">
        <f t="shared" si="26"/>
        <v>231.27852085294117</v>
      </c>
      <c r="U264" s="5">
        <f t="shared" si="30"/>
        <v>5.1051051051051052E-2</v>
      </c>
      <c r="V264" s="5">
        <f t="shared" si="27"/>
        <v>3.6347759646346125E-3</v>
      </c>
      <c r="W264" s="3">
        <f t="shared" si="28"/>
        <v>11.807011575075075</v>
      </c>
      <c r="X264" s="3">
        <f t="shared" si="29"/>
        <v>42.915841887245534</v>
      </c>
      <c r="Y264" s="7">
        <f t="shared" si="31"/>
        <v>0.91553988312507739</v>
      </c>
    </row>
    <row r="265" spans="1:25" x14ac:dyDescent="0.25">
      <c r="A265" t="s">
        <v>423</v>
      </c>
      <c r="B265" t="s">
        <v>463</v>
      </c>
      <c r="C265" t="s">
        <v>463</v>
      </c>
      <c r="E265" t="s">
        <v>19</v>
      </c>
      <c r="F265" t="s">
        <v>26</v>
      </c>
      <c r="G265" t="s">
        <v>1070</v>
      </c>
      <c r="H265" t="s">
        <v>1071</v>
      </c>
      <c r="K265" t="s">
        <v>24</v>
      </c>
      <c r="L265" t="s">
        <v>89</v>
      </c>
      <c r="M265" t="s">
        <v>21</v>
      </c>
      <c r="N265" s="4">
        <v>4154911</v>
      </c>
      <c r="O265" s="4">
        <v>1254</v>
      </c>
      <c r="P265" s="4">
        <v>2338732</v>
      </c>
      <c r="Q265" s="4">
        <v>3445626</v>
      </c>
      <c r="R265" s="4">
        <v>154</v>
      </c>
      <c r="S265" s="3">
        <v>8038.5703709999998</v>
      </c>
      <c r="T265" s="3">
        <f t="shared" si="26"/>
        <v>52.198508902597403</v>
      </c>
      <c r="U265" s="5">
        <f t="shared" si="30"/>
        <v>0.12280701754385964</v>
      </c>
      <c r="V265" s="5">
        <f t="shared" si="27"/>
        <v>3.0181151894709659E-4</v>
      </c>
      <c r="W265" s="3">
        <f t="shared" si="28"/>
        <v>6.4103431985645933</v>
      </c>
      <c r="X265" s="3">
        <f t="shared" si="29"/>
        <v>1.9347154177309693</v>
      </c>
      <c r="Y265" s="7">
        <f t="shared" si="31"/>
        <v>0.67875387520293839</v>
      </c>
    </row>
    <row r="266" spans="1:25" x14ac:dyDescent="0.25">
      <c r="A266" t="s">
        <v>423</v>
      </c>
      <c r="B266" t="s">
        <v>466</v>
      </c>
      <c r="C266" t="s">
        <v>466</v>
      </c>
      <c r="E266" t="s">
        <v>14</v>
      </c>
      <c r="F266" t="s">
        <v>15</v>
      </c>
      <c r="G266" t="s">
        <v>1070</v>
      </c>
      <c r="H266" t="s">
        <v>1071</v>
      </c>
      <c r="K266" t="s">
        <v>117</v>
      </c>
      <c r="L266" t="s">
        <v>115</v>
      </c>
      <c r="M266" t="s">
        <v>21</v>
      </c>
      <c r="N266" s="4">
        <v>1767940</v>
      </c>
      <c r="O266" s="4">
        <v>4852</v>
      </c>
      <c r="P266" s="4">
        <v>881525</v>
      </c>
      <c r="Q266" s="4">
        <v>1550866</v>
      </c>
      <c r="R266" s="4">
        <v>78</v>
      </c>
      <c r="S266" s="3">
        <v>7511.656191</v>
      </c>
      <c r="T266" s="3">
        <f t="shared" si="26"/>
        <v>96.303284500000004</v>
      </c>
      <c r="U266" s="5">
        <f t="shared" si="30"/>
        <v>1.6075845012366034E-2</v>
      </c>
      <c r="V266" s="5">
        <f t="shared" si="27"/>
        <v>2.7444370284059414E-3</v>
      </c>
      <c r="W266" s="3">
        <f t="shared" si="28"/>
        <v>1.5481566758037923</v>
      </c>
      <c r="X266" s="3">
        <f t="shared" si="29"/>
        <v>4.2488185068497799</v>
      </c>
      <c r="Y266" s="7">
        <f t="shared" si="31"/>
        <v>0.5684082312720764</v>
      </c>
    </row>
    <row r="267" spans="1:25" x14ac:dyDescent="0.25">
      <c r="A267" t="s">
        <v>423</v>
      </c>
      <c r="B267" t="s">
        <v>466</v>
      </c>
      <c r="C267" t="s">
        <v>472</v>
      </c>
      <c r="E267" t="s">
        <v>14</v>
      </c>
      <c r="F267" t="s">
        <v>26</v>
      </c>
      <c r="G267" t="s">
        <v>1070</v>
      </c>
      <c r="H267" t="s">
        <v>1071</v>
      </c>
      <c r="K267" t="s">
        <v>225</v>
      </c>
      <c r="L267" t="s">
        <v>17</v>
      </c>
      <c r="M267" t="s">
        <v>29</v>
      </c>
      <c r="N267" s="4">
        <v>24962</v>
      </c>
      <c r="O267" s="4">
        <v>75</v>
      </c>
      <c r="P267" s="4">
        <v>18450</v>
      </c>
      <c r="Q267" s="4">
        <v>24128</v>
      </c>
      <c r="R267" s="4">
        <v>16</v>
      </c>
      <c r="S267" s="3">
        <v>6809.0560509999996</v>
      </c>
      <c r="T267" s="3">
        <f t="shared" si="26"/>
        <v>425.56600318749997</v>
      </c>
      <c r="U267" s="5">
        <f t="shared" si="30"/>
        <v>0.21333333333333335</v>
      </c>
      <c r="V267" s="5">
        <f t="shared" si="27"/>
        <v>3.0045669417514622E-3</v>
      </c>
      <c r="W267" s="3">
        <f t="shared" si="28"/>
        <v>90.787414013333333</v>
      </c>
      <c r="X267" s="3">
        <f t="shared" si="29"/>
        <v>272.77686287156479</v>
      </c>
      <c r="Y267" s="7">
        <f t="shared" si="31"/>
        <v>0.76467175066312998</v>
      </c>
    </row>
    <row r="268" spans="1:25" x14ac:dyDescent="0.25">
      <c r="A268" t="s">
        <v>423</v>
      </c>
      <c r="B268" t="s">
        <v>473</v>
      </c>
      <c r="C268" t="s">
        <v>1123</v>
      </c>
      <c r="D268" t="s">
        <v>1124</v>
      </c>
      <c r="E268" t="s">
        <v>14</v>
      </c>
      <c r="F268" t="s">
        <v>15</v>
      </c>
      <c r="G268" t="s">
        <v>1100</v>
      </c>
      <c r="H268" t="s">
        <v>1071</v>
      </c>
      <c r="K268" t="s">
        <v>78</v>
      </c>
      <c r="L268" t="s">
        <v>73</v>
      </c>
      <c r="M268" t="s">
        <v>29</v>
      </c>
      <c r="N268" s="4">
        <v>21143</v>
      </c>
      <c r="O268" s="4">
        <v>56</v>
      </c>
      <c r="P268" s="4">
        <v>3798</v>
      </c>
      <c r="Q268" s="4">
        <v>19588</v>
      </c>
      <c r="R268" s="4">
        <v>3</v>
      </c>
      <c r="S268" s="3">
        <v>1500.41822</v>
      </c>
      <c r="T268" s="3">
        <f t="shared" si="26"/>
        <v>500.13940666666667</v>
      </c>
      <c r="U268" s="5">
        <f t="shared" si="30"/>
        <v>5.3571428571428568E-2</v>
      </c>
      <c r="V268" s="5">
        <f t="shared" si="27"/>
        <v>2.6486307524949157E-3</v>
      </c>
      <c r="W268" s="3">
        <f t="shared" si="28"/>
        <v>26.7931825</v>
      </c>
      <c r="X268" s="3">
        <f t="shared" si="29"/>
        <v>70.965247126708604</v>
      </c>
      <c r="Y268" s="7">
        <f t="shared" si="31"/>
        <v>0.19389422095160302</v>
      </c>
    </row>
    <row r="269" spans="1:25" x14ac:dyDescent="0.25">
      <c r="A269" t="s">
        <v>423</v>
      </c>
      <c r="B269" t="s">
        <v>474</v>
      </c>
      <c r="C269" t="s">
        <v>475</v>
      </c>
      <c r="D269" t="s">
        <v>476</v>
      </c>
      <c r="E269" t="s">
        <v>14</v>
      </c>
      <c r="F269" t="s">
        <v>33</v>
      </c>
      <c r="G269" t="s">
        <v>1114</v>
      </c>
      <c r="H269" t="s">
        <v>1115</v>
      </c>
      <c r="K269" t="s">
        <v>24</v>
      </c>
      <c r="L269" t="s">
        <v>28</v>
      </c>
      <c r="M269" t="s">
        <v>21</v>
      </c>
      <c r="N269" s="4">
        <v>177632</v>
      </c>
      <c r="O269" s="4">
        <v>485</v>
      </c>
      <c r="P269" s="4">
        <v>70865</v>
      </c>
      <c r="Q269" s="4">
        <v>95871</v>
      </c>
      <c r="R269" s="4">
        <v>5</v>
      </c>
      <c r="S269" s="3">
        <v>1483.3844039999999</v>
      </c>
      <c r="T269" s="3">
        <f t="shared" si="26"/>
        <v>296.67688079999999</v>
      </c>
      <c r="U269" s="5">
        <f t="shared" si="30"/>
        <v>1.0309278350515464E-2</v>
      </c>
      <c r="V269" s="5">
        <f t="shared" si="27"/>
        <v>2.7303638983966851E-3</v>
      </c>
      <c r="W269" s="3">
        <f t="shared" si="28"/>
        <v>3.0585245443298965</v>
      </c>
      <c r="X269" s="3">
        <f t="shared" si="29"/>
        <v>8.3508849981985218</v>
      </c>
      <c r="Y269" s="7">
        <f t="shared" si="31"/>
        <v>0.73917034348238775</v>
      </c>
    </row>
    <row r="270" spans="1:25" x14ac:dyDescent="0.25">
      <c r="A270" t="s">
        <v>423</v>
      </c>
      <c r="B270" t="s">
        <v>477</v>
      </c>
      <c r="C270" t="s">
        <v>478</v>
      </c>
      <c r="D270" t="s">
        <v>479</v>
      </c>
      <c r="E270" t="s">
        <v>14</v>
      </c>
      <c r="F270" t="s">
        <v>15</v>
      </c>
      <c r="G270" t="s">
        <v>1066</v>
      </c>
      <c r="H270" t="s">
        <v>1067</v>
      </c>
      <c r="K270" t="s">
        <v>480</v>
      </c>
      <c r="L270" t="s">
        <v>17</v>
      </c>
      <c r="M270" t="s">
        <v>29</v>
      </c>
      <c r="N270" s="4">
        <v>16175</v>
      </c>
      <c r="O270" s="4">
        <v>35</v>
      </c>
      <c r="P270" s="4">
        <v>1923</v>
      </c>
      <c r="Q270" s="4">
        <v>15085</v>
      </c>
      <c r="R270" s="4">
        <v>2</v>
      </c>
      <c r="S270" s="3">
        <v>1649.069475</v>
      </c>
      <c r="T270" s="3">
        <f t="shared" si="26"/>
        <v>824.53473750000001</v>
      </c>
      <c r="U270" s="5">
        <f t="shared" si="30"/>
        <v>5.7142857142857141E-2</v>
      </c>
      <c r="V270" s="5">
        <f t="shared" si="27"/>
        <v>2.1638330757341576E-3</v>
      </c>
      <c r="W270" s="3">
        <f t="shared" si="28"/>
        <v>47.116270714285712</v>
      </c>
      <c r="X270" s="3">
        <f t="shared" si="29"/>
        <v>101.95174497681607</v>
      </c>
      <c r="Y270" s="7">
        <f t="shared" si="31"/>
        <v>0.1274776267815711</v>
      </c>
    </row>
    <row r="271" spans="1:25" x14ac:dyDescent="0.25">
      <c r="A271" t="s">
        <v>423</v>
      </c>
      <c r="B271" t="s">
        <v>481</v>
      </c>
      <c r="C271" t="s">
        <v>482</v>
      </c>
      <c r="D271" t="s">
        <v>483</v>
      </c>
      <c r="E271" t="s">
        <v>14</v>
      </c>
      <c r="F271" t="s">
        <v>44</v>
      </c>
      <c r="G271" t="s">
        <v>1062</v>
      </c>
      <c r="H271" t="s">
        <v>1063</v>
      </c>
      <c r="K271" t="s">
        <v>484</v>
      </c>
      <c r="L271" t="s">
        <v>17</v>
      </c>
      <c r="M271" t="s">
        <v>21</v>
      </c>
      <c r="N271" s="4">
        <v>8944</v>
      </c>
      <c r="O271" s="4">
        <v>45</v>
      </c>
      <c r="P271" s="4">
        <v>3002</v>
      </c>
      <c r="Q271" s="4">
        <v>6361</v>
      </c>
      <c r="R271" s="4">
        <v>6</v>
      </c>
      <c r="S271" s="3">
        <v>1755.4845419999999</v>
      </c>
      <c r="T271" s="3">
        <f t="shared" si="26"/>
        <v>292.58075700000001</v>
      </c>
      <c r="U271" s="5">
        <f t="shared" si="30"/>
        <v>0.13333333333333333</v>
      </c>
      <c r="V271" s="5">
        <f t="shared" si="27"/>
        <v>5.0313059033989267E-3</v>
      </c>
      <c r="W271" s="3">
        <f t="shared" si="28"/>
        <v>39.010767600000001</v>
      </c>
      <c r="X271" s="3">
        <f t="shared" si="29"/>
        <v>196.27510532200355</v>
      </c>
      <c r="Y271" s="7">
        <f t="shared" si="31"/>
        <v>0.47193837446942305</v>
      </c>
    </row>
    <row r="272" spans="1:25" x14ac:dyDescent="0.25">
      <c r="A272" t="s">
        <v>423</v>
      </c>
      <c r="B272" t="s">
        <v>477</v>
      </c>
      <c r="C272" t="s">
        <v>485</v>
      </c>
      <c r="D272" t="s">
        <v>486</v>
      </c>
      <c r="E272" t="s">
        <v>23</v>
      </c>
      <c r="F272" t="s">
        <v>33</v>
      </c>
      <c r="G272" t="s">
        <v>1064</v>
      </c>
      <c r="H272" t="s">
        <v>1065</v>
      </c>
      <c r="K272" t="s">
        <v>487</v>
      </c>
      <c r="L272" t="s">
        <v>89</v>
      </c>
      <c r="M272" t="s">
        <v>21</v>
      </c>
      <c r="N272" s="4">
        <v>8862</v>
      </c>
      <c r="O272" s="4">
        <v>30</v>
      </c>
      <c r="P272" s="4">
        <v>1359</v>
      </c>
      <c r="Q272" s="4">
        <v>7114</v>
      </c>
      <c r="R272" s="4">
        <v>1</v>
      </c>
      <c r="S272" s="3">
        <v>1481.9451570000001</v>
      </c>
      <c r="T272" s="3">
        <f t="shared" si="26"/>
        <v>1481.9451570000001</v>
      </c>
      <c r="U272" s="5">
        <f t="shared" si="30"/>
        <v>3.3333333333333333E-2</v>
      </c>
      <c r="V272" s="5">
        <f t="shared" si="27"/>
        <v>3.3852403520649968E-3</v>
      </c>
      <c r="W272" s="3">
        <f t="shared" si="28"/>
        <v>49.398171900000001</v>
      </c>
      <c r="X272" s="3">
        <f t="shared" si="29"/>
        <v>167.22468483412322</v>
      </c>
      <c r="Y272" s="7">
        <f t="shared" si="31"/>
        <v>0.1910317683441102</v>
      </c>
    </row>
    <row r="273" spans="1:25" x14ac:dyDescent="0.25">
      <c r="A273" t="s">
        <v>423</v>
      </c>
      <c r="B273" t="s">
        <v>488</v>
      </c>
      <c r="C273" t="s">
        <v>489</v>
      </c>
      <c r="D273" t="s">
        <v>490</v>
      </c>
      <c r="E273" t="s">
        <v>14</v>
      </c>
      <c r="F273" t="s">
        <v>26</v>
      </c>
      <c r="G273" t="s">
        <v>1087</v>
      </c>
      <c r="H273" t="s">
        <v>1074</v>
      </c>
      <c r="K273" t="s">
        <v>278</v>
      </c>
      <c r="L273" t="s">
        <v>17</v>
      </c>
      <c r="M273" t="s">
        <v>21</v>
      </c>
      <c r="N273" s="4">
        <v>37554</v>
      </c>
      <c r="O273" s="4">
        <v>92</v>
      </c>
      <c r="P273" s="4">
        <v>13128</v>
      </c>
      <c r="Q273" s="4">
        <v>27596</v>
      </c>
      <c r="R273" s="4">
        <v>8</v>
      </c>
      <c r="S273" s="3">
        <v>1737.8434850000001</v>
      </c>
      <c r="T273" s="3">
        <f t="shared" si="26"/>
        <v>217.23043562500001</v>
      </c>
      <c r="U273" s="5">
        <f t="shared" si="30"/>
        <v>8.6956521739130432E-2</v>
      </c>
      <c r="V273" s="5">
        <f t="shared" si="27"/>
        <v>2.4498056132502529E-3</v>
      </c>
      <c r="W273" s="3">
        <f t="shared" si="28"/>
        <v>18.88960309782609</v>
      </c>
      <c r="X273" s="3">
        <f t="shared" si="29"/>
        <v>46.275855701123717</v>
      </c>
      <c r="Y273" s="7">
        <f t="shared" si="31"/>
        <v>0.47572111900275404</v>
      </c>
    </row>
    <row r="274" spans="1:25" x14ac:dyDescent="0.25">
      <c r="A274" t="s">
        <v>423</v>
      </c>
      <c r="B274" t="s">
        <v>491</v>
      </c>
      <c r="C274" t="s">
        <v>492</v>
      </c>
      <c r="E274" t="s">
        <v>19</v>
      </c>
      <c r="F274" t="s">
        <v>15</v>
      </c>
      <c r="G274" t="s">
        <v>1086</v>
      </c>
      <c r="H274" t="s">
        <v>1063</v>
      </c>
      <c r="K274" t="s">
        <v>67</v>
      </c>
      <c r="L274" t="s">
        <v>28</v>
      </c>
      <c r="M274" t="s">
        <v>21</v>
      </c>
      <c r="N274" s="4">
        <v>15311</v>
      </c>
      <c r="O274" s="4">
        <v>10</v>
      </c>
      <c r="P274" s="4">
        <v>7757</v>
      </c>
      <c r="Q274" s="4">
        <v>12630</v>
      </c>
      <c r="R274" s="4">
        <v>19</v>
      </c>
      <c r="S274" s="3">
        <v>1471.187144</v>
      </c>
      <c r="T274" s="3">
        <f t="shared" si="26"/>
        <v>77.430902315789467</v>
      </c>
      <c r="U274" s="5">
        <f t="shared" si="30"/>
        <v>1.9</v>
      </c>
      <c r="V274" s="5">
        <f t="shared" si="27"/>
        <v>6.5312520410162628E-4</v>
      </c>
      <c r="W274" s="3">
        <f t="shared" si="28"/>
        <v>147.11871439999999</v>
      </c>
      <c r="X274" s="3">
        <f t="shared" si="29"/>
        <v>96.086940369668866</v>
      </c>
      <c r="Y274" s="7">
        <f t="shared" si="31"/>
        <v>0.61417260490894698</v>
      </c>
    </row>
    <row r="275" spans="1:25" x14ac:dyDescent="0.25">
      <c r="A275" t="s">
        <v>423</v>
      </c>
      <c r="B275" t="s">
        <v>488</v>
      </c>
      <c r="C275" t="s">
        <v>493</v>
      </c>
      <c r="D275" t="s">
        <v>494</v>
      </c>
      <c r="E275" t="s">
        <v>14</v>
      </c>
      <c r="F275" t="s">
        <v>15</v>
      </c>
      <c r="G275" t="s">
        <v>1086</v>
      </c>
      <c r="H275" t="s">
        <v>1063</v>
      </c>
      <c r="K275" t="s">
        <v>81</v>
      </c>
      <c r="L275" t="s">
        <v>25</v>
      </c>
      <c r="M275" t="s">
        <v>21</v>
      </c>
      <c r="N275" s="4">
        <v>10811</v>
      </c>
      <c r="O275" s="4">
        <v>25</v>
      </c>
      <c r="P275" s="4">
        <v>988</v>
      </c>
      <c r="Q275" s="4">
        <v>2975</v>
      </c>
      <c r="R275" s="4">
        <v>3</v>
      </c>
      <c r="S275" s="3">
        <v>1679.833815</v>
      </c>
      <c r="T275" s="3">
        <f t="shared" si="26"/>
        <v>559.94460500000002</v>
      </c>
      <c r="U275" s="5">
        <f t="shared" si="30"/>
        <v>0.12</v>
      </c>
      <c r="V275" s="5">
        <f t="shared" si="27"/>
        <v>2.3124595319581908E-3</v>
      </c>
      <c r="W275" s="3">
        <f t="shared" si="28"/>
        <v>67.193352599999997</v>
      </c>
      <c r="X275" s="3">
        <f t="shared" si="29"/>
        <v>155.38190870409767</v>
      </c>
      <c r="Y275" s="7">
        <f t="shared" si="31"/>
        <v>0.33210084033613446</v>
      </c>
    </row>
    <row r="276" spans="1:25" x14ac:dyDescent="0.25">
      <c r="A276" t="s">
        <v>423</v>
      </c>
      <c r="B276" t="s">
        <v>495</v>
      </c>
      <c r="C276" t="s">
        <v>496</v>
      </c>
      <c r="E276" t="s">
        <v>23</v>
      </c>
      <c r="F276" t="s">
        <v>26</v>
      </c>
      <c r="G276" t="s">
        <v>1091</v>
      </c>
      <c r="H276" t="s">
        <v>1090</v>
      </c>
      <c r="K276" t="s">
        <v>78</v>
      </c>
      <c r="L276" t="s">
        <v>17</v>
      </c>
      <c r="M276" t="s">
        <v>21</v>
      </c>
      <c r="N276" s="4">
        <v>7394</v>
      </c>
      <c r="O276" s="4">
        <v>20</v>
      </c>
      <c r="P276" s="4">
        <v>3441</v>
      </c>
      <c r="Q276" s="4">
        <v>6663</v>
      </c>
      <c r="R276" s="4">
        <v>1</v>
      </c>
      <c r="S276" s="3">
        <v>1624.840774</v>
      </c>
      <c r="T276" s="3">
        <f t="shared" si="26"/>
        <v>1624.840774</v>
      </c>
      <c r="U276" s="5">
        <f t="shared" si="30"/>
        <v>0.05</v>
      </c>
      <c r="V276" s="5">
        <f t="shared" si="27"/>
        <v>2.7048958615093319E-3</v>
      </c>
      <c r="W276" s="3">
        <f t="shared" si="28"/>
        <v>81.242038699999995</v>
      </c>
      <c r="X276" s="3">
        <f t="shared" si="29"/>
        <v>219.75125426021097</v>
      </c>
      <c r="Y276" s="7">
        <f t="shared" si="31"/>
        <v>0.51643403872129667</v>
      </c>
    </row>
    <row r="277" spans="1:25" x14ac:dyDescent="0.25">
      <c r="A277" t="s">
        <v>423</v>
      </c>
      <c r="B277" t="s">
        <v>497</v>
      </c>
      <c r="C277" t="s">
        <v>1125</v>
      </c>
      <c r="D277" t="s">
        <v>1126</v>
      </c>
      <c r="E277" t="s">
        <v>19</v>
      </c>
      <c r="F277" t="s">
        <v>26</v>
      </c>
      <c r="G277" t="s">
        <v>1073</v>
      </c>
      <c r="H277" t="s">
        <v>1074</v>
      </c>
      <c r="K277" t="s">
        <v>498</v>
      </c>
      <c r="L277" t="s">
        <v>17</v>
      </c>
      <c r="M277" t="s">
        <v>21</v>
      </c>
      <c r="N277" s="4">
        <v>10779</v>
      </c>
      <c r="O277" s="4">
        <v>86</v>
      </c>
      <c r="P277" s="4">
        <v>6420</v>
      </c>
      <c r="Q277" s="4">
        <v>10287</v>
      </c>
      <c r="R277" s="4">
        <v>3</v>
      </c>
      <c r="S277" s="3">
        <v>1759.704833</v>
      </c>
      <c r="T277" s="3">
        <f t="shared" si="26"/>
        <v>586.56827766666663</v>
      </c>
      <c r="U277" s="5">
        <f t="shared" si="30"/>
        <v>3.4883720930232558E-2</v>
      </c>
      <c r="V277" s="5">
        <f t="shared" si="27"/>
        <v>7.9784766675943964E-3</v>
      </c>
      <c r="W277" s="3">
        <f t="shared" si="28"/>
        <v>20.461684104651162</v>
      </c>
      <c r="X277" s="3">
        <f t="shared" si="29"/>
        <v>163.25306920864642</v>
      </c>
      <c r="Y277" s="7">
        <f t="shared" si="31"/>
        <v>0.6240886555847186</v>
      </c>
    </row>
    <row r="278" spans="1:25" x14ac:dyDescent="0.25">
      <c r="A278" t="s">
        <v>423</v>
      </c>
      <c r="B278" t="s">
        <v>481</v>
      </c>
      <c r="C278" t="s">
        <v>482</v>
      </c>
      <c r="D278" t="s">
        <v>499</v>
      </c>
      <c r="E278" t="s">
        <v>14</v>
      </c>
      <c r="F278" t="s">
        <v>33</v>
      </c>
      <c r="G278" t="s">
        <v>1070</v>
      </c>
      <c r="H278" t="s">
        <v>1071</v>
      </c>
      <c r="K278" t="s">
        <v>83</v>
      </c>
      <c r="L278" t="s">
        <v>28</v>
      </c>
      <c r="M278" t="s">
        <v>29</v>
      </c>
      <c r="N278" s="4">
        <v>35335</v>
      </c>
      <c r="O278" s="4">
        <v>120</v>
      </c>
      <c r="P278" s="4">
        <v>22566</v>
      </c>
      <c r="Q278" s="4">
        <v>30685</v>
      </c>
      <c r="R278" s="4">
        <v>15</v>
      </c>
      <c r="S278" s="3">
        <v>1866.3474699999999</v>
      </c>
      <c r="T278" s="3">
        <f t="shared" si="26"/>
        <v>124.42316466666666</v>
      </c>
      <c r="U278" s="5">
        <f t="shared" si="30"/>
        <v>0.125</v>
      </c>
      <c r="V278" s="5">
        <f t="shared" si="27"/>
        <v>3.3960662232913543E-3</v>
      </c>
      <c r="W278" s="3">
        <f t="shared" si="28"/>
        <v>15.552895583333333</v>
      </c>
      <c r="X278" s="3">
        <f t="shared" si="29"/>
        <v>52.81866336493561</v>
      </c>
      <c r="Y278" s="7">
        <f t="shared" si="31"/>
        <v>0.73540817989245555</v>
      </c>
    </row>
    <row r="279" spans="1:25" x14ac:dyDescent="0.25">
      <c r="A279" t="s">
        <v>423</v>
      </c>
      <c r="B279" t="s">
        <v>500</v>
      </c>
      <c r="C279" t="s">
        <v>1125</v>
      </c>
      <c r="D279" t="s">
        <v>1127</v>
      </c>
      <c r="E279" t="s">
        <v>19</v>
      </c>
      <c r="F279" t="s">
        <v>44</v>
      </c>
      <c r="G279" t="s">
        <v>1070</v>
      </c>
      <c r="H279" t="s">
        <v>1071</v>
      </c>
      <c r="K279" t="s">
        <v>45</v>
      </c>
      <c r="L279" t="s">
        <v>17</v>
      </c>
      <c r="M279" t="s">
        <v>21</v>
      </c>
      <c r="N279" s="4">
        <v>126337</v>
      </c>
      <c r="O279" s="4">
        <v>325</v>
      </c>
      <c r="P279" s="4">
        <v>51394</v>
      </c>
      <c r="Q279" s="4">
        <v>117635</v>
      </c>
      <c r="R279" s="4">
        <v>5</v>
      </c>
      <c r="S279" s="3">
        <v>1487.0882879999999</v>
      </c>
      <c r="T279" s="3">
        <f t="shared" si="26"/>
        <v>297.41765759999998</v>
      </c>
      <c r="U279" s="5">
        <f t="shared" si="30"/>
        <v>1.5384615384615385E-2</v>
      </c>
      <c r="V279" s="5">
        <f t="shared" si="27"/>
        <v>2.5724847036101856E-3</v>
      </c>
      <c r="W279" s="3">
        <f t="shared" si="28"/>
        <v>4.5756562707692305</v>
      </c>
      <c r="X279" s="3">
        <f t="shared" si="29"/>
        <v>11.770805765531872</v>
      </c>
      <c r="Y279" s="7">
        <f t="shared" si="31"/>
        <v>0.43689378161261527</v>
      </c>
    </row>
    <row r="280" spans="1:25" x14ac:dyDescent="0.25">
      <c r="A280" t="s">
        <v>423</v>
      </c>
      <c r="B280" t="s">
        <v>501</v>
      </c>
      <c r="C280" t="s">
        <v>502</v>
      </c>
      <c r="E280" t="s">
        <v>14</v>
      </c>
      <c r="F280" t="s">
        <v>26</v>
      </c>
      <c r="G280" t="s">
        <v>1062</v>
      </c>
      <c r="H280" t="s">
        <v>1063</v>
      </c>
      <c r="K280" t="s">
        <v>167</v>
      </c>
      <c r="L280" t="s">
        <v>17</v>
      </c>
      <c r="M280" t="s">
        <v>21</v>
      </c>
      <c r="N280" s="4">
        <v>21088</v>
      </c>
      <c r="O280" s="4">
        <v>60</v>
      </c>
      <c r="P280" s="4">
        <v>17930</v>
      </c>
      <c r="Q280" s="4">
        <v>19822</v>
      </c>
      <c r="R280" s="4">
        <v>4</v>
      </c>
      <c r="S280" s="3">
        <v>1623.681601</v>
      </c>
      <c r="T280" s="3">
        <f t="shared" si="26"/>
        <v>405.92040025</v>
      </c>
      <c r="U280" s="5">
        <f t="shared" si="30"/>
        <v>6.6666666666666666E-2</v>
      </c>
      <c r="V280" s="5">
        <f t="shared" si="27"/>
        <v>2.8452200303490135E-3</v>
      </c>
      <c r="W280" s="3">
        <f t="shared" si="28"/>
        <v>27.061360016666665</v>
      </c>
      <c r="X280" s="3">
        <f t="shared" si="29"/>
        <v>76.99552356790592</v>
      </c>
      <c r="Y280" s="7">
        <f t="shared" si="31"/>
        <v>0.90455049944506105</v>
      </c>
    </row>
    <row r="281" spans="1:25" x14ac:dyDescent="0.25">
      <c r="A281" t="s">
        <v>503</v>
      </c>
      <c r="B281" t="s">
        <v>504</v>
      </c>
      <c r="E281" t="s">
        <v>19</v>
      </c>
      <c r="F281" t="s">
        <v>26</v>
      </c>
      <c r="G281" t="s">
        <v>1066</v>
      </c>
      <c r="H281" t="s">
        <v>1067</v>
      </c>
      <c r="K281" t="s">
        <v>91</v>
      </c>
      <c r="L281" t="s">
        <v>17</v>
      </c>
      <c r="M281" t="s">
        <v>21</v>
      </c>
      <c r="N281" s="4">
        <v>12512</v>
      </c>
      <c r="O281" s="4">
        <v>69</v>
      </c>
      <c r="P281" s="4">
        <v>6240</v>
      </c>
      <c r="Q281" s="4">
        <v>9672</v>
      </c>
      <c r="R281" s="4">
        <v>1</v>
      </c>
      <c r="S281" s="3">
        <v>2298.8889650000001</v>
      </c>
      <c r="T281" s="3">
        <f t="shared" si="26"/>
        <v>2298.8889650000001</v>
      </c>
      <c r="U281" s="5">
        <f t="shared" si="30"/>
        <v>1.4492753623188406E-2</v>
      </c>
      <c r="V281" s="5">
        <f t="shared" si="27"/>
        <v>5.5147058823529415E-3</v>
      </c>
      <c r="W281" s="3">
        <f t="shared" si="28"/>
        <v>33.317231376811598</v>
      </c>
      <c r="X281" s="3">
        <f t="shared" si="29"/>
        <v>183.7347318574169</v>
      </c>
      <c r="Y281" s="7">
        <f t="shared" si="31"/>
        <v>0.64516129032258063</v>
      </c>
    </row>
    <row r="282" spans="1:25" x14ac:dyDescent="0.25">
      <c r="A282" t="s">
        <v>503</v>
      </c>
      <c r="B282" t="s">
        <v>505</v>
      </c>
      <c r="E282" t="s">
        <v>14</v>
      </c>
      <c r="F282" t="s">
        <v>33</v>
      </c>
      <c r="G282" t="s">
        <v>1098</v>
      </c>
      <c r="H282" t="s">
        <v>1074</v>
      </c>
      <c r="I282" t="s">
        <v>1099</v>
      </c>
      <c r="K282" t="s">
        <v>24</v>
      </c>
      <c r="L282" t="s">
        <v>17</v>
      </c>
      <c r="M282" t="s">
        <v>21</v>
      </c>
      <c r="N282" s="4">
        <v>311753</v>
      </c>
      <c r="O282" s="4">
        <v>763</v>
      </c>
      <c r="P282" s="4">
        <v>170122</v>
      </c>
      <c r="Q282" s="4">
        <v>256841</v>
      </c>
      <c r="R282" s="4">
        <v>6</v>
      </c>
      <c r="S282" s="3">
        <v>1543.6126549999999</v>
      </c>
      <c r="T282" s="3">
        <f t="shared" si="26"/>
        <v>257.26877583333334</v>
      </c>
      <c r="U282" s="5">
        <f t="shared" si="30"/>
        <v>7.8636959370904317E-3</v>
      </c>
      <c r="V282" s="5">
        <f t="shared" si="27"/>
        <v>2.4474503854012633E-3</v>
      </c>
      <c r="W282" s="3">
        <f t="shared" si="28"/>
        <v>2.0230834272608123</v>
      </c>
      <c r="X282" s="3">
        <f t="shared" si="29"/>
        <v>4.9513963137483836</v>
      </c>
      <c r="Y282" s="7">
        <f t="shared" si="31"/>
        <v>0.66236309623463541</v>
      </c>
    </row>
    <row r="283" spans="1:25" x14ac:dyDescent="0.25">
      <c r="A283" t="s">
        <v>506</v>
      </c>
      <c r="B283" t="s">
        <v>507</v>
      </c>
      <c r="C283" t="s">
        <v>193</v>
      </c>
      <c r="D283" t="s">
        <v>508</v>
      </c>
      <c r="E283" t="s">
        <v>14</v>
      </c>
      <c r="F283" t="s">
        <v>33</v>
      </c>
      <c r="G283" t="s">
        <v>1070</v>
      </c>
      <c r="H283" t="s">
        <v>1071</v>
      </c>
      <c r="K283" t="s">
        <v>281</v>
      </c>
      <c r="L283" t="s">
        <v>25</v>
      </c>
      <c r="M283" t="s">
        <v>21</v>
      </c>
      <c r="N283" s="4">
        <v>57917</v>
      </c>
      <c r="O283" s="4">
        <v>212</v>
      </c>
      <c r="P283" s="4">
        <v>3650</v>
      </c>
      <c r="Q283" s="4">
        <v>55128</v>
      </c>
      <c r="R283" s="4">
        <v>5</v>
      </c>
      <c r="S283" s="3">
        <v>1669.7289049999999</v>
      </c>
      <c r="T283" s="3">
        <f t="shared" si="26"/>
        <v>333.94578100000001</v>
      </c>
      <c r="U283" s="5">
        <f t="shared" si="30"/>
        <v>2.358490566037736E-2</v>
      </c>
      <c r="V283" s="5">
        <f t="shared" si="27"/>
        <v>3.6604105875649635E-3</v>
      </c>
      <c r="W283" s="3">
        <f t="shared" si="28"/>
        <v>7.8760797405660377</v>
      </c>
      <c r="X283" s="3">
        <f t="shared" si="29"/>
        <v>28.829685670873836</v>
      </c>
      <c r="Y283" s="7">
        <f t="shared" si="31"/>
        <v>6.6209548686692793E-2</v>
      </c>
    </row>
    <row r="284" spans="1:25" x14ac:dyDescent="0.25">
      <c r="A284" t="s">
        <v>506</v>
      </c>
      <c r="B284" t="s">
        <v>507</v>
      </c>
      <c r="C284" t="s">
        <v>509</v>
      </c>
      <c r="D284" t="s">
        <v>510</v>
      </c>
      <c r="E284" t="s">
        <v>14</v>
      </c>
      <c r="F284" t="s">
        <v>33</v>
      </c>
      <c r="G284" t="s">
        <v>1066</v>
      </c>
      <c r="H284" t="s">
        <v>1067</v>
      </c>
      <c r="K284" t="s">
        <v>511</v>
      </c>
      <c r="L284" t="s">
        <v>25</v>
      </c>
      <c r="M284" t="s">
        <v>18</v>
      </c>
      <c r="N284" s="4">
        <v>18028</v>
      </c>
      <c r="O284" s="4">
        <v>89</v>
      </c>
      <c r="P284" s="4">
        <v>1851</v>
      </c>
      <c r="Q284" s="4">
        <v>14926</v>
      </c>
      <c r="R284" s="4">
        <v>24</v>
      </c>
      <c r="S284" s="3">
        <v>1572.24171</v>
      </c>
      <c r="T284" s="3">
        <f t="shared" si="26"/>
        <v>65.510071249999996</v>
      </c>
      <c r="U284" s="5">
        <f t="shared" si="30"/>
        <v>0.2696629213483146</v>
      </c>
      <c r="V284" s="5">
        <f t="shared" si="27"/>
        <v>4.9367650321721765E-3</v>
      </c>
      <c r="W284" s="3">
        <f t="shared" si="28"/>
        <v>17.665637191011236</v>
      </c>
      <c r="X284" s="3">
        <f t="shared" si="29"/>
        <v>87.211099955624576</v>
      </c>
      <c r="Y284" s="7">
        <f t="shared" si="31"/>
        <v>0.1240117915047568</v>
      </c>
    </row>
    <row r="285" spans="1:25" x14ac:dyDescent="0.25">
      <c r="A285" t="s">
        <v>506</v>
      </c>
      <c r="B285" t="s">
        <v>507</v>
      </c>
      <c r="C285" t="s">
        <v>193</v>
      </c>
      <c r="D285" t="s">
        <v>512</v>
      </c>
      <c r="E285" t="s">
        <v>14</v>
      </c>
      <c r="F285" t="s">
        <v>15</v>
      </c>
      <c r="G285" t="s">
        <v>1086</v>
      </c>
      <c r="H285" t="s">
        <v>1063</v>
      </c>
      <c r="K285" t="s">
        <v>513</v>
      </c>
      <c r="L285" t="s">
        <v>17</v>
      </c>
      <c r="M285" t="s">
        <v>29</v>
      </c>
      <c r="N285" s="4">
        <v>16354</v>
      </c>
      <c r="O285" s="4">
        <v>40</v>
      </c>
      <c r="P285" s="4">
        <v>8061</v>
      </c>
      <c r="Q285" s="4">
        <v>15667</v>
      </c>
      <c r="R285" s="4">
        <v>4</v>
      </c>
      <c r="S285" s="3">
        <v>1610.3199770000001</v>
      </c>
      <c r="T285" s="3">
        <f t="shared" si="26"/>
        <v>402.57999425000003</v>
      </c>
      <c r="U285" s="5">
        <f t="shared" si="30"/>
        <v>0.1</v>
      </c>
      <c r="V285" s="5">
        <f t="shared" si="27"/>
        <v>2.4458847988259752E-3</v>
      </c>
      <c r="W285" s="3">
        <f t="shared" si="28"/>
        <v>40.257999425000001</v>
      </c>
      <c r="X285" s="3">
        <f t="shared" si="29"/>
        <v>98.466428824752356</v>
      </c>
      <c r="Y285" s="7">
        <f t="shared" si="31"/>
        <v>0.51452096763898636</v>
      </c>
    </row>
    <row r="286" spans="1:25" x14ac:dyDescent="0.25">
      <c r="A286" t="s">
        <v>506</v>
      </c>
      <c r="B286" t="s">
        <v>507</v>
      </c>
      <c r="C286" t="s">
        <v>193</v>
      </c>
      <c r="D286" t="s">
        <v>514</v>
      </c>
      <c r="E286" t="s">
        <v>14</v>
      </c>
      <c r="F286" t="s">
        <v>15</v>
      </c>
      <c r="G286" t="s">
        <v>1070</v>
      </c>
      <c r="H286" t="s">
        <v>1071</v>
      </c>
      <c r="K286" t="s">
        <v>515</v>
      </c>
      <c r="L286" t="s">
        <v>64</v>
      </c>
      <c r="M286" t="s">
        <v>21</v>
      </c>
      <c r="N286" s="4">
        <v>11296</v>
      </c>
      <c r="O286" s="4">
        <v>54</v>
      </c>
      <c r="P286" s="4">
        <v>6822</v>
      </c>
      <c r="Q286" s="4">
        <v>9274</v>
      </c>
      <c r="R286" s="4">
        <v>4</v>
      </c>
      <c r="S286" s="3">
        <v>1682.338499</v>
      </c>
      <c r="T286" s="3">
        <f t="shared" si="26"/>
        <v>420.58462474999999</v>
      </c>
      <c r="U286" s="5">
        <f t="shared" si="30"/>
        <v>7.407407407407407E-2</v>
      </c>
      <c r="V286" s="5">
        <f t="shared" si="27"/>
        <v>4.7804532577903685E-3</v>
      </c>
      <c r="W286" s="3">
        <f t="shared" si="28"/>
        <v>31.154416648148146</v>
      </c>
      <c r="X286" s="3">
        <f t="shared" si="29"/>
        <v>148.93223256019832</v>
      </c>
      <c r="Y286" s="7">
        <f t="shared" si="31"/>
        <v>0.73560491697218033</v>
      </c>
    </row>
    <row r="287" spans="1:25" x14ac:dyDescent="0.25">
      <c r="A287" t="s">
        <v>506</v>
      </c>
      <c r="B287" t="s">
        <v>507</v>
      </c>
      <c r="C287" t="s">
        <v>193</v>
      </c>
      <c r="D287" t="s">
        <v>516</v>
      </c>
      <c r="E287" t="s">
        <v>14</v>
      </c>
      <c r="F287" t="s">
        <v>44</v>
      </c>
      <c r="G287" t="s">
        <v>1086</v>
      </c>
      <c r="H287" t="s">
        <v>1063</v>
      </c>
      <c r="K287" t="s">
        <v>167</v>
      </c>
      <c r="L287" t="s">
        <v>25</v>
      </c>
      <c r="M287" t="s">
        <v>18</v>
      </c>
      <c r="N287" s="4">
        <v>87245</v>
      </c>
      <c r="O287" s="4">
        <v>350</v>
      </c>
      <c r="P287" s="4">
        <v>71903</v>
      </c>
      <c r="Q287" s="4">
        <v>80390</v>
      </c>
      <c r="R287" s="4">
        <v>2</v>
      </c>
      <c r="S287" s="3">
        <v>1500.838771</v>
      </c>
      <c r="T287" s="3">
        <f t="shared" si="26"/>
        <v>750.41938549999998</v>
      </c>
      <c r="U287" s="5">
        <f t="shared" si="30"/>
        <v>5.7142857142857143E-3</v>
      </c>
      <c r="V287" s="5">
        <f t="shared" si="27"/>
        <v>4.0116912143962407E-3</v>
      </c>
      <c r="W287" s="3">
        <f t="shared" si="28"/>
        <v>4.2881107742857143</v>
      </c>
      <c r="X287" s="3">
        <f t="shared" si="29"/>
        <v>17.20257631955986</v>
      </c>
      <c r="Y287" s="7">
        <f t="shared" si="31"/>
        <v>0.89442716755815399</v>
      </c>
    </row>
    <row r="288" spans="1:25" x14ac:dyDescent="0.25">
      <c r="A288" t="s">
        <v>506</v>
      </c>
      <c r="B288" t="s">
        <v>507</v>
      </c>
      <c r="C288" t="s">
        <v>193</v>
      </c>
      <c r="D288" t="s">
        <v>517</v>
      </c>
      <c r="E288" t="s">
        <v>23</v>
      </c>
      <c r="F288" t="s">
        <v>26</v>
      </c>
      <c r="G288" t="s">
        <v>1079</v>
      </c>
      <c r="H288" t="s">
        <v>1080</v>
      </c>
      <c r="K288" t="s">
        <v>518</v>
      </c>
      <c r="L288" t="s">
        <v>89</v>
      </c>
      <c r="M288" t="s">
        <v>21</v>
      </c>
      <c r="N288" s="4">
        <v>13608</v>
      </c>
      <c r="O288" s="4">
        <v>66</v>
      </c>
      <c r="P288" s="4">
        <v>2714</v>
      </c>
      <c r="Q288" s="4">
        <v>9332</v>
      </c>
      <c r="R288" s="4">
        <v>1</v>
      </c>
      <c r="S288" s="3">
        <v>1762.663235</v>
      </c>
      <c r="T288" s="3">
        <f t="shared" si="26"/>
        <v>1762.663235</v>
      </c>
      <c r="U288" s="5">
        <f t="shared" si="30"/>
        <v>1.5151515151515152E-2</v>
      </c>
      <c r="V288" s="5">
        <f t="shared" si="27"/>
        <v>4.8500881834215165E-3</v>
      </c>
      <c r="W288" s="3">
        <f t="shared" si="28"/>
        <v>26.707018712121211</v>
      </c>
      <c r="X288" s="3">
        <f t="shared" si="29"/>
        <v>129.53139587007641</v>
      </c>
      <c r="Y288" s="7">
        <f t="shared" si="31"/>
        <v>0.29082726103729106</v>
      </c>
    </row>
    <row r="289" spans="1:25" x14ac:dyDescent="0.25">
      <c r="A289" t="s">
        <v>506</v>
      </c>
      <c r="B289" t="s">
        <v>507</v>
      </c>
      <c r="C289" t="s">
        <v>193</v>
      </c>
      <c r="D289" t="s">
        <v>519</v>
      </c>
      <c r="E289" t="s">
        <v>14</v>
      </c>
      <c r="F289" t="s">
        <v>26</v>
      </c>
      <c r="G289" t="s">
        <v>1070</v>
      </c>
      <c r="H289" t="s">
        <v>1071</v>
      </c>
      <c r="K289" t="s">
        <v>45</v>
      </c>
      <c r="L289" t="s">
        <v>25</v>
      </c>
      <c r="M289" t="s">
        <v>21</v>
      </c>
      <c r="N289" s="4">
        <v>9210</v>
      </c>
      <c r="O289" s="4">
        <v>80</v>
      </c>
      <c r="P289" s="4">
        <v>3798</v>
      </c>
      <c r="Q289" s="4">
        <v>8619</v>
      </c>
      <c r="R289" s="4">
        <v>2</v>
      </c>
      <c r="S289" s="3">
        <v>1536.629068</v>
      </c>
      <c r="T289" s="3">
        <f t="shared" si="26"/>
        <v>768.31453399999998</v>
      </c>
      <c r="U289" s="5">
        <f t="shared" si="30"/>
        <v>2.5000000000000001E-2</v>
      </c>
      <c r="V289" s="5">
        <f t="shared" si="27"/>
        <v>8.6862106406080351E-3</v>
      </c>
      <c r="W289" s="3">
        <f t="shared" si="28"/>
        <v>19.20786335</v>
      </c>
      <c r="X289" s="3">
        <f t="shared" si="29"/>
        <v>166.84354701411507</v>
      </c>
      <c r="Y289" s="7">
        <f t="shared" si="31"/>
        <v>0.44065436825617821</v>
      </c>
    </row>
    <row r="290" spans="1:25" x14ac:dyDescent="0.25">
      <c r="A290" t="s">
        <v>506</v>
      </c>
      <c r="B290" t="s">
        <v>507</v>
      </c>
      <c r="C290" t="s">
        <v>193</v>
      </c>
      <c r="D290" t="s">
        <v>520</v>
      </c>
      <c r="E290" t="s">
        <v>19</v>
      </c>
      <c r="F290" t="s">
        <v>33</v>
      </c>
      <c r="G290" t="s">
        <v>1072</v>
      </c>
      <c r="H290" t="s">
        <v>1065</v>
      </c>
      <c r="K290" t="s">
        <v>156</v>
      </c>
      <c r="L290" t="s">
        <v>68</v>
      </c>
      <c r="M290" t="s">
        <v>21</v>
      </c>
      <c r="N290" s="4">
        <v>21903</v>
      </c>
      <c r="O290" s="4">
        <v>124</v>
      </c>
      <c r="P290" s="4">
        <v>18831</v>
      </c>
      <c r="Q290" s="4">
        <v>20922</v>
      </c>
      <c r="R290" s="4">
        <v>4</v>
      </c>
      <c r="S290" s="3">
        <v>1661.167909</v>
      </c>
      <c r="T290" s="3">
        <f t="shared" si="26"/>
        <v>415.29197725</v>
      </c>
      <c r="U290" s="5">
        <f t="shared" si="30"/>
        <v>3.2258064516129031E-2</v>
      </c>
      <c r="V290" s="5">
        <f t="shared" si="27"/>
        <v>5.661324932657627E-3</v>
      </c>
      <c r="W290" s="3">
        <f t="shared" si="28"/>
        <v>13.396515395161291</v>
      </c>
      <c r="X290" s="3">
        <f t="shared" si="29"/>
        <v>75.842026617358357</v>
      </c>
      <c r="Y290" s="7">
        <f t="shared" si="31"/>
        <v>0.90005735589331803</v>
      </c>
    </row>
    <row r="291" spans="1:25" x14ac:dyDescent="0.25">
      <c r="A291" t="s">
        <v>506</v>
      </c>
      <c r="B291" t="s">
        <v>521</v>
      </c>
      <c r="C291" t="s">
        <v>522</v>
      </c>
      <c r="E291" t="s">
        <v>14</v>
      </c>
      <c r="F291" t="s">
        <v>26</v>
      </c>
      <c r="G291" t="s">
        <v>1070</v>
      </c>
      <c r="H291" t="s">
        <v>1071</v>
      </c>
      <c r="K291" t="s">
        <v>16</v>
      </c>
      <c r="L291" t="s">
        <v>68</v>
      </c>
      <c r="M291" t="s">
        <v>18</v>
      </c>
      <c r="N291" s="4">
        <v>26212</v>
      </c>
      <c r="O291" s="4">
        <v>77</v>
      </c>
      <c r="P291" s="4">
        <v>12726</v>
      </c>
      <c r="Q291" s="4">
        <v>24442</v>
      </c>
      <c r="R291" s="4">
        <v>15</v>
      </c>
      <c r="S291" s="3">
        <v>6452.9350100000001</v>
      </c>
      <c r="T291" s="3">
        <f t="shared" si="26"/>
        <v>430.19566733333335</v>
      </c>
      <c r="U291" s="5">
        <f t="shared" si="30"/>
        <v>0.19480519480519481</v>
      </c>
      <c r="V291" s="5">
        <f t="shared" si="27"/>
        <v>2.9375858385472303E-3</v>
      </c>
      <c r="W291" s="3">
        <f t="shared" si="28"/>
        <v>83.804350779220783</v>
      </c>
      <c r="X291" s="3">
        <f t="shared" si="29"/>
        <v>246.18247405768352</v>
      </c>
      <c r="Y291" s="7">
        <f t="shared" si="31"/>
        <v>0.52066115702479343</v>
      </c>
    </row>
    <row r="292" spans="1:25" x14ac:dyDescent="0.25">
      <c r="A292" t="s">
        <v>506</v>
      </c>
      <c r="B292" t="s">
        <v>521</v>
      </c>
      <c r="C292" t="s">
        <v>523</v>
      </c>
      <c r="E292" t="s">
        <v>19</v>
      </c>
      <c r="F292" t="s">
        <v>15</v>
      </c>
      <c r="G292" t="s">
        <v>1085</v>
      </c>
      <c r="H292" t="s">
        <v>1065</v>
      </c>
      <c r="K292" t="s">
        <v>100</v>
      </c>
      <c r="L292" t="s">
        <v>25</v>
      </c>
      <c r="M292" t="s">
        <v>21</v>
      </c>
      <c r="N292" s="4">
        <v>63794</v>
      </c>
      <c r="O292" s="4">
        <v>200</v>
      </c>
      <c r="P292" s="4">
        <v>46557</v>
      </c>
      <c r="Q292" s="4">
        <v>60868</v>
      </c>
      <c r="R292" s="4">
        <v>9</v>
      </c>
      <c r="S292" s="3">
        <v>6832.9400670000005</v>
      </c>
      <c r="T292" s="3">
        <f t="shared" si="26"/>
        <v>759.21556300000009</v>
      </c>
      <c r="U292" s="5">
        <f t="shared" si="30"/>
        <v>4.4999999999999998E-2</v>
      </c>
      <c r="V292" s="5">
        <f t="shared" si="27"/>
        <v>3.1350910743957114E-3</v>
      </c>
      <c r="W292" s="3">
        <f t="shared" si="28"/>
        <v>34.164700334999999</v>
      </c>
      <c r="X292" s="3">
        <f t="shared" si="29"/>
        <v>107.10944707966267</v>
      </c>
      <c r="Y292" s="7">
        <f t="shared" si="31"/>
        <v>0.76488466846290337</v>
      </c>
    </row>
    <row r="293" spans="1:25" x14ac:dyDescent="0.25">
      <c r="A293" t="s">
        <v>506</v>
      </c>
      <c r="B293" t="s">
        <v>521</v>
      </c>
      <c r="C293" t="s">
        <v>524</v>
      </c>
      <c r="E293" t="s">
        <v>19</v>
      </c>
      <c r="F293" t="s">
        <v>44</v>
      </c>
      <c r="G293" t="s">
        <v>1062</v>
      </c>
      <c r="H293" t="s">
        <v>1063</v>
      </c>
      <c r="K293" t="s">
        <v>85</v>
      </c>
      <c r="L293" t="s">
        <v>17</v>
      </c>
      <c r="M293" t="s">
        <v>21</v>
      </c>
      <c r="N293" s="4">
        <v>40859</v>
      </c>
      <c r="O293" s="4">
        <v>144</v>
      </c>
      <c r="P293" s="4">
        <v>17695</v>
      </c>
      <c r="Q293" s="4">
        <v>37108</v>
      </c>
      <c r="R293" s="4">
        <v>4</v>
      </c>
      <c r="S293" s="3">
        <v>6130.3684249999997</v>
      </c>
      <c r="T293" s="3">
        <f t="shared" si="26"/>
        <v>1532.5921062499999</v>
      </c>
      <c r="U293" s="5">
        <f t="shared" si="30"/>
        <v>2.7777777777777776E-2</v>
      </c>
      <c r="V293" s="5">
        <f t="shared" si="27"/>
        <v>3.5243153283242368E-3</v>
      </c>
      <c r="W293" s="3">
        <f t="shared" si="28"/>
        <v>42.572002951388889</v>
      </c>
      <c r="X293" s="3">
        <f t="shared" si="29"/>
        <v>150.0371625590445</v>
      </c>
      <c r="Y293" s="7">
        <f t="shared" si="31"/>
        <v>0.47685135280801982</v>
      </c>
    </row>
    <row r="294" spans="1:25" x14ac:dyDescent="0.25">
      <c r="A294" t="s">
        <v>506</v>
      </c>
      <c r="B294" t="s">
        <v>521</v>
      </c>
      <c r="C294" t="s">
        <v>525</v>
      </c>
      <c r="E294" t="s">
        <v>14</v>
      </c>
      <c r="F294" t="s">
        <v>33</v>
      </c>
      <c r="G294" t="s">
        <v>1075</v>
      </c>
      <c r="H294" t="s">
        <v>1074</v>
      </c>
      <c r="K294" t="s">
        <v>526</v>
      </c>
      <c r="L294" t="s">
        <v>28</v>
      </c>
      <c r="M294" t="s">
        <v>21</v>
      </c>
      <c r="N294" s="4">
        <v>150457</v>
      </c>
      <c r="O294" s="4">
        <v>420</v>
      </c>
      <c r="P294" s="4">
        <v>58372</v>
      </c>
      <c r="Q294" s="4">
        <v>135099</v>
      </c>
      <c r="R294" s="4">
        <v>14</v>
      </c>
      <c r="S294" s="3">
        <v>5906.8300060000001</v>
      </c>
      <c r="T294" s="3">
        <f t="shared" si="26"/>
        <v>421.91642899999999</v>
      </c>
      <c r="U294" s="5">
        <f t="shared" si="30"/>
        <v>3.3333333333333333E-2</v>
      </c>
      <c r="V294" s="5">
        <f t="shared" si="27"/>
        <v>2.7914952444884583E-3</v>
      </c>
      <c r="W294" s="3">
        <f t="shared" si="28"/>
        <v>14.063880966666668</v>
      </c>
      <c r="X294" s="3">
        <f t="shared" si="29"/>
        <v>39.259256837501745</v>
      </c>
      <c r="Y294" s="7">
        <f t="shared" si="31"/>
        <v>0.43206833507279846</v>
      </c>
    </row>
    <row r="295" spans="1:25" x14ac:dyDescent="0.25">
      <c r="A295" t="s">
        <v>506</v>
      </c>
      <c r="B295" t="s">
        <v>521</v>
      </c>
      <c r="C295" t="s">
        <v>527</v>
      </c>
      <c r="E295" t="s">
        <v>19</v>
      </c>
      <c r="F295" t="s">
        <v>44</v>
      </c>
      <c r="G295" t="s">
        <v>1066</v>
      </c>
      <c r="H295" t="s">
        <v>1067</v>
      </c>
      <c r="K295" t="s">
        <v>249</v>
      </c>
      <c r="L295" t="s">
        <v>17</v>
      </c>
      <c r="M295" t="s">
        <v>21</v>
      </c>
      <c r="N295" s="4">
        <v>12879</v>
      </c>
      <c r="O295" s="4">
        <v>71</v>
      </c>
      <c r="P295" s="4">
        <v>7225</v>
      </c>
      <c r="Q295" s="4">
        <v>12173</v>
      </c>
      <c r="R295" s="4">
        <v>9</v>
      </c>
      <c r="S295" s="3">
        <v>5099.2824899999996</v>
      </c>
      <c r="T295" s="3">
        <f t="shared" si="26"/>
        <v>566.58694333333324</v>
      </c>
      <c r="U295" s="5">
        <f t="shared" si="30"/>
        <v>0.12676056338028169</v>
      </c>
      <c r="V295" s="5">
        <f t="shared" si="27"/>
        <v>5.5128503765820326E-3</v>
      </c>
      <c r="W295" s="3">
        <f t="shared" si="28"/>
        <v>71.820880140845063</v>
      </c>
      <c r="X295" s="3">
        <f t="shared" si="29"/>
        <v>395.93776613091075</v>
      </c>
      <c r="Y295" s="7">
        <f t="shared" si="31"/>
        <v>0.59352665735644461</v>
      </c>
    </row>
    <row r="296" spans="1:25" x14ac:dyDescent="0.25">
      <c r="A296" t="s">
        <v>506</v>
      </c>
      <c r="B296" t="s">
        <v>528</v>
      </c>
      <c r="E296" t="s">
        <v>14</v>
      </c>
      <c r="F296" t="s">
        <v>44</v>
      </c>
      <c r="G296" t="s">
        <v>1070</v>
      </c>
      <c r="H296" t="s">
        <v>1071</v>
      </c>
      <c r="K296" t="s">
        <v>45</v>
      </c>
      <c r="L296" t="s">
        <v>17</v>
      </c>
      <c r="M296" t="s">
        <v>21</v>
      </c>
      <c r="N296" s="4">
        <v>262807</v>
      </c>
      <c r="O296" s="4">
        <v>684</v>
      </c>
      <c r="P296" s="4">
        <v>109871</v>
      </c>
      <c r="Q296" s="4">
        <v>236426</v>
      </c>
      <c r="R296" s="4">
        <v>12</v>
      </c>
      <c r="S296" s="3">
        <v>5150.4689230000004</v>
      </c>
      <c r="T296" s="3">
        <f t="shared" si="26"/>
        <v>429.20574358333334</v>
      </c>
      <c r="U296" s="5">
        <f t="shared" si="30"/>
        <v>1.7543859649122806E-2</v>
      </c>
      <c r="V296" s="5">
        <f t="shared" si="27"/>
        <v>2.6026704007123098E-3</v>
      </c>
      <c r="W296" s="3">
        <f t="shared" si="28"/>
        <v>7.5299253260233927</v>
      </c>
      <c r="X296" s="3">
        <f t="shared" si="29"/>
        <v>19.597913765615072</v>
      </c>
      <c r="Y296" s="7">
        <f t="shared" si="31"/>
        <v>0.46471623256325445</v>
      </c>
    </row>
    <row r="297" spans="1:25" x14ac:dyDescent="0.25">
      <c r="A297" t="s">
        <v>506</v>
      </c>
      <c r="B297" t="s">
        <v>529</v>
      </c>
      <c r="E297" t="s">
        <v>19</v>
      </c>
      <c r="F297" t="s">
        <v>15</v>
      </c>
      <c r="G297" t="s">
        <v>1106</v>
      </c>
      <c r="H297" t="s">
        <v>1097</v>
      </c>
      <c r="K297" t="s">
        <v>163</v>
      </c>
      <c r="L297" t="s">
        <v>17</v>
      </c>
      <c r="M297" t="s">
        <v>21</v>
      </c>
      <c r="N297" s="4">
        <v>18412</v>
      </c>
      <c r="O297" s="4">
        <v>140</v>
      </c>
      <c r="P297" s="4">
        <v>5668</v>
      </c>
      <c r="Q297" s="4">
        <v>16711</v>
      </c>
      <c r="R297" s="4">
        <v>12</v>
      </c>
      <c r="S297" s="3">
        <v>5244.3417399999998</v>
      </c>
      <c r="T297" s="3">
        <f t="shared" si="26"/>
        <v>437.02847833333334</v>
      </c>
      <c r="U297" s="5">
        <f t="shared" si="30"/>
        <v>8.5714285714285715E-2</v>
      </c>
      <c r="V297" s="5">
        <f t="shared" si="27"/>
        <v>7.603736693460786E-3</v>
      </c>
      <c r="W297" s="3">
        <f t="shared" si="28"/>
        <v>37.459583857142853</v>
      </c>
      <c r="X297" s="3">
        <f t="shared" si="29"/>
        <v>284.83281229632843</v>
      </c>
      <c r="Y297" s="7">
        <f t="shared" si="31"/>
        <v>0.33917778708635032</v>
      </c>
    </row>
    <row r="298" spans="1:25" x14ac:dyDescent="0.25">
      <c r="A298" t="s">
        <v>506</v>
      </c>
      <c r="B298" t="s">
        <v>138</v>
      </c>
      <c r="C298" t="s">
        <v>530</v>
      </c>
      <c r="E298" t="s">
        <v>23</v>
      </c>
      <c r="F298" t="s">
        <v>44</v>
      </c>
      <c r="G298" t="s">
        <v>1070</v>
      </c>
      <c r="H298" t="s">
        <v>1071</v>
      </c>
      <c r="K298" t="s">
        <v>531</v>
      </c>
      <c r="L298" t="s">
        <v>17</v>
      </c>
      <c r="M298" t="s">
        <v>21</v>
      </c>
      <c r="N298" s="4">
        <v>7822</v>
      </c>
      <c r="O298" s="4">
        <v>25</v>
      </c>
      <c r="P298" s="4">
        <v>3786</v>
      </c>
      <c r="Q298" s="4">
        <v>7232</v>
      </c>
      <c r="R298" s="4">
        <v>13</v>
      </c>
      <c r="S298" s="3">
        <v>6781.8216469999998</v>
      </c>
      <c r="T298" s="3">
        <f t="shared" si="26"/>
        <v>521.67858823076926</v>
      </c>
      <c r="U298" s="5">
        <f t="shared" si="30"/>
        <v>0.52</v>
      </c>
      <c r="V298" s="5">
        <f t="shared" si="27"/>
        <v>3.1961135259524417E-3</v>
      </c>
      <c r="W298" s="3">
        <f t="shared" si="28"/>
        <v>271.27286587999998</v>
      </c>
      <c r="X298" s="3">
        <f t="shared" si="29"/>
        <v>867.01887586295061</v>
      </c>
      <c r="Y298" s="7">
        <f t="shared" si="31"/>
        <v>0.52350663716814161</v>
      </c>
    </row>
    <row r="299" spans="1:25" x14ac:dyDescent="0.25">
      <c r="A299" t="s">
        <v>506</v>
      </c>
      <c r="B299" t="s">
        <v>532</v>
      </c>
      <c r="E299" t="s">
        <v>23</v>
      </c>
      <c r="F299" t="s">
        <v>33</v>
      </c>
      <c r="G299" t="s">
        <v>1070</v>
      </c>
      <c r="H299" t="s">
        <v>1071</v>
      </c>
      <c r="K299" t="s">
        <v>91</v>
      </c>
      <c r="L299" t="s">
        <v>25</v>
      </c>
      <c r="M299" t="s">
        <v>21</v>
      </c>
      <c r="N299" s="4">
        <v>40929</v>
      </c>
      <c r="O299" s="4">
        <v>142</v>
      </c>
      <c r="P299" s="4">
        <v>9249</v>
      </c>
      <c r="Q299" s="4">
        <v>31564</v>
      </c>
      <c r="R299" s="4">
        <v>8</v>
      </c>
      <c r="S299" s="3">
        <v>6764.5206369999996</v>
      </c>
      <c r="T299" s="3">
        <f t="shared" si="26"/>
        <v>845.56507962499995</v>
      </c>
      <c r="U299" s="5">
        <f t="shared" si="30"/>
        <v>5.6338028169014086E-2</v>
      </c>
      <c r="V299" s="5">
        <f t="shared" si="27"/>
        <v>3.4694226587505192E-3</v>
      </c>
      <c r="W299" s="3">
        <f t="shared" si="28"/>
        <v>47.637469274647884</v>
      </c>
      <c r="X299" s="3">
        <f t="shared" si="29"/>
        <v>165.27451530699503</v>
      </c>
      <c r="Y299" s="7">
        <f t="shared" si="31"/>
        <v>0.29302369788366495</v>
      </c>
    </row>
    <row r="300" spans="1:25" x14ac:dyDescent="0.25">
      <c r="A300" t="s">
        <v>506</v>
      </c>
      <c r="B300" t="s">
        <v>138</v>
      </c>
      <c r="C300" t="s">
        <v>533</v>
      </c>
      <c r="E300" t="s">
        <v>14</v>
      </c>
      <c r="F300" t="s">
        <v>44</v>
      </c>
      <c r="G300" t="s">
        <v>1066</v>
      </c>
      <c r="H300" t="s">
        <v>1067</v>
      </c>
      <c r="K300" t="s">
        <v>281</v>
      </c>
      <c r="L300" t="s">
        <v>17</v>
      </c>
      <c r="M300" t="s">
        <v>29</v>
      </c>
      <c r="N300" s="4">
        <v>95655</v>
      </c>
      <c r="O300" s="4">
        <v>275</v>
      </c>
      <c r="P300" s="4">
        <v>9202</v>
      </c>
      <c r="Q300" s="4">
        <v>85273</v>
      </c>
      <c r="R300" s="4">
        <v>24</v>
      </c>
      <c r="S300" s="3">
        <v>6189.4160819999997</v>
      </c>
      <c r="T300" s="3">
        <f t="shared" si="26"/>
        <v>257.89233674999997</v>
      </c>
      <c r="U300" s="5">
        <f t="shared" si="30"/>
        <v>8.727272727272728E-2</v>
      </c>
      <c r="V300" s="5">
        <f t="shared" si="27"/>
        <v>2.8749150593277927E-3</v>
      </c>
      <c r="W300" s="3">
        <f t="shared" si="28"/>
        <v>22.50696757090909</v>
      </c>
      <c r="X300" s="3">
        <f t="shared" si="29"/>
        <v>64.705620009408818</v>
      </c>
      <c r="Y300" s="7">
        <f t="shared" si="31"/>
        <v>0.10791223482227669</v>
      </c>
    </row>
    <row r="301" spans="1:25" x14ac:dyDescent="0.25">
      <c r="A301" t="s">
        <v>506</v>
      </c>
      <c r="B301" t="s">
        <v>138</v>
      </c>
      <c r="E301" t="s">
        <v>14</v>
      </c>
      <c r="F301" t="s">
        <v>33</v>
      </c>
      <c r="G301" t="s">
        <v>1062</v>
      </c>
      <c r="H301" t="s">
        <v>1063</v>
      </c>
      <c r="K301" t="s">
        <v>191</v>
      </c>
      <c r="L301" t="s">
        <v>272</v>
      </c>
      <c r="M301" t="s">
        <v>21</v>
      </c>
      <c r="N301" s="4">
        <v>908899</v>
      </c>
      <c r="O301" s="4">
        <v>1984</v>
      </c>
      <c r="P301" s="4">
        <v>644697</v>
      </c>
      <c r="Q301" s="4">
        <v>853964</v>
      </c>
      <c r="R301" s="4">
        <v>32</v>
      </c>
      <c r="S301" s="3">
        <v>5181.087383</v>
      </c>
      <c r="T301" s="3">
        <f t="shared" si="26"/>
        <v>161.90898071875</v>
      </c>
      <c r="U301" s="5">
        <f t="shared" si="30"/>
        <v>1.6129032258064516E-2</v>
      </c>
      <c r="V301" s="5">
        <f t="shared" si="27"/>
        <v>2.1828608019152842E-3</v>
      </c>
      <c r="W301" s="3">
        <f t="shared" si="28"/>
        <v>2.6114351728830645</v>
      </c>
      <c r="X301" s="3">
        <f t="shared" si="29"/>
        <v>5.7003994756293048</v>
      </c>
      <c r="Y301" s="7">
        <f t="shared" si="31"/>
        <v>0.7549463443423845</v>
      </c>
    </row>
    <row r="302" spans="1:25" x14ac:dyDescent="0.25">
      <c r="A302" t="s">
        <v>506</v>
      </c>
      <c r="B302" t="s">
        <v>138</v>
      </c>
      <c r="C302" t="s">
        <v>534</v>
      </c>
      <c r="E302" t="s">
        <v>19</v>
      </c>
      <c r="F302" t="s">
        <v>44</v>
      </c>
      <c r="G302" t="s">
        <v>1070</v>
      </c>
      <c r="H302" t="s">
        <v>1071</v>
      </c>
      <c r="K302" t="s">
        <v>98</v>
      </c>
      <c r="L302" t="s">
        <v>68</v>
      </c>
      <c r="M302" t="s">
        <v>21</v>
      </c>
      <c r="N302" s="4">
        <v>116926</v>
      </c>
      <c r="O302" s="4">
        <v>321</v>
      </c>
      <c r="P302" s="4">
        <v>69132</v>
      </c>
      <c r="Q302" s="4">
        <v>111957</v>
      </c>
      <c r="R302" s="4">
        <v>22</v>
      </c>
      <c r="S302" s="3">
        <v>4918.0409820000004</v>
      </c>
      <c r="T302" s="3">
        <f t="shared" si="26"/>
        <v>223.54731736363638</v>
      </c>
      <c r="U302" s="5">
        <f t="shared" si="30"/>
        <v>6.8535825545171333E-2</v>
      </c>
      <c r="V302" s="5">
        <f t="shared" si="27"/>
        <v>2.7453261036895129E-3</v>
      </c>
      <c r="W302" s="3">
        <f t="shared" si="28"/>
        <v>15.320999943925235</v>
      </c>
      <c r="X302" s="3">
        <f t="shared" si="29"/>
        <v>42.061141080683512</v>
      </c>
      <c r="Y302" s="7">
        <f t="shared" si="31"/>
        <v>0.61748707092901745</v>
      </c>
    </row>
    <row r="303" spans="1:25" x14ac:dyDescent="0.25">
      <c r="A303" t="s">
        <v>535</v>
      </c>
      <c r="B303" t="s">
        <v>397</v>
      </c>
      <c r="C303" t="s">
        <v>536</v>
      </c>
      <c r="E303" t="s">
        <v>19</v>
      </c>
      <c r="F303" t="s">
        <v>15</v>
      </c>
      <c r="G303" t="s">
        <v>1101</v>
      </c>
      <c r="H303" t="s">
        <v>1071</v>
      </c>
      <c r="K303" t="s">
        <v>339</v>
      </c>
      <c r="L303" t="s">
        <v>28</v>
      </c>
      <c r="M303" t="s">
        <v>21</v>
      </c>
      <c r="N303" s="4">
        <v>16372</v>
      </c>
      <c r="O303" s="4">
        <v>90</v>
      </c>
      <c r="P303" s="4">
        <v>4731</v>
      </c>
      <c r="Q303" s="4">
        <v>15332</v>
      </c>
      <c r="R303" s="4">
        <v>9</v>
      </c>
      <c r="S303" s="3">
        <v>1704.511123</v>
      </c>
      <c r="T303" s="3">
        <f t="shared" si="26"/>
        <v>189.39012477777777</v>
      </c>
      <c r="U303" s="5">
        <f t="shared" si="30"/>
        <v>0.1</v>
      </c>
      <c r="V303" s="5">
        <f t="shared" si="27"/>
        <v>5.4971903249450282E-3</v>
      </c>
      <c r="W303" s="3">
        <f t="shared" si="28"/>
        <v>18.939012477777776</v>
      </c>
      <c r="X303" s="3">
        <f t="shared" si="29"/>
        <v>104.11135615685316</v>
      </c>
      <c r="Y303" s="7">
        <f t="shared" si="31"/>
        <v>0.3085703104617793</v>
      </c>
    </row>
    <row r="304" spans="1:25" x14ac:dyDescent="0.25">
      <c r="A304" t="s">
        <v>537</v>
      </c>
      <c r="B304" t="s">
        <v>538</v>
      </c>
      <c r="E304" t="s">
        <v>23</v>
      </c>
      <c r="F304" t="s">
        <v>33</v>
      </c>
      <c r="G304" t="s">
        <v>1078</v>
      </c>
      <c r="H304" t="s">
        <v>1065</v>
      </c>
      <c r="K304" t="s">
        <v>249</v>
      </c>
      <c r="L304" t="s">
        <v>17</v>
      </c>
      <c r="M304" t="s">
        <v>21</v>
      </c>
      <c r="N304" s="4">
        <v>119280</v>
      </c>
      <c r="O304" s="4">
        <v>400</v>
      </c>
      <c r="P304" s="4">
        <v>55665</v>
      </c>
      <c r="Q304" s="4">
        <v>112913</v>
      </c>
      <c r="R304" s="4">
        <v>23</v>
      </c>
      <c r="S304" s="3">
        <v>6492.6763430000001</v>
      </c>
      <c r="T304" s="3">
        <f t="shared" si="26"/>
        <v>282.29027578260872</v>
      </c>
      <c r="U304" s="5">
        <f t="shared" si="30"/>
        <v>5.7500000000000002E-2</v>
      </c>
      <c r="V304" s="5">
        <f t="shared" si="27"/>
        <v>3.3534540576794099E-3</v>
      </c>
      <c r="W304" s="3">
        <f t="shared" si="28"/>
        <v>16.231690857499999</v>
      </c>
      <c r="X304" s="3">
        <f t="shared" si="29"/>
        <v>54.432229569081159</v>
      </c>
      <c r="Y304" s="7">
        <f t="shared" si="31"/>
        <v>0.49299017827885183</v>
      </c>
    </row>
    <row r="305" spans="1:25" x14ac:dyDescent="0.25">
      <c r="A305" t="s">
        <v>537</v>
      </c>
      <c r="B305" t="s">
        <v>539</v>
      </c>
      <c r="E305" t="s">
        <v>14</v>
      </c>
      <c r="F305" t="s">
        <v>15</v>
      </c>
      <c r="G305" t="s">
        <v>1070</v>
      </c>
      <c r="H305" t="s">
        <v>1071</v>
      </c>
      <c r="K305" t="s">
        <v>294</v>
      </c>
      <c r="L305" t="s">
        <v>89</v>
      </c>
      <c r="M305" t="s">
        <v>18</v>
      </c>
      <c r="N305" s="4">
        <v>26558</v>
      </c>
      <c r="O305" s="4">
        <v>111</v>
      </c>
      <c r="P305" s="4">
        <v>15761</v>
      </c>
      <c r="Q305" s="4">
        <v>23532</v>
      </c>
      <c r="R305" s="4">
        <v>14</v>
      </c>
      <c r="S305" s="3">
        <v>6751.5589810000001</v>
      </c>
      <c r="T305" s="3">
        <f t="shared" si="26"/>
        <v>482.25421292857146</v>
      </c>
      <c r="U305" s="5">
        <f t="shared" si="30"/>
        <v>0.12612612612612611</v>
      </c>
      <c r="V305" s="5">
        <f t="shared" si="27"/>
        <v>4.1795315912342796E-3</v>
      </c>
      <c r="W305" s="3">
        <f t="shared" si="28"/>
        <v>60.824855684684685</v>
      </c>
      <c r="X305" s="3">
        <f t="shared" si="29"/>
        <v>254.21940586640562</v>
      </c>
      <c r="Y305" s="7">
        <f t="shared" si="31"/>
        <v>0.6697688254292028</v>
      </c>
    </row>
    <row r="306" spans="1:25" x14ac:dyDescent="0.25">
      <c r="A306" t="s">
        <v>537</v>
      </c>
      <c r="B306" t="s">
        <v>540</v>
      </c>
      <c r="E306" t="s">
        <v>19</v>
      </c>
      <c r="F306" t="s">
        <v>26</v>
      </c>
      <c r="G306" t="s">
        <v>1086</v>
      </c>
      <c r="H306" t="s">
        <v>1063</v>
      </c>
      <c r="K306" t="s">
        <v>213</v>
      </c>
      <c r="L306" t="s">
        <v>17</v>
      </c>
      <c r="M306" t="s">
        <v>21</v>
      </c>
      <c r="N306" s="4">
        <v>11511</v>
      </c>
      <c r="O306" s="4">
        <v>33</v>
      </c>
      <c r="P306" s="4">
        <v>8268</v>
      </c>
      <c r="Q306" s="4">
        <v>11042</v>
      </c>
      <c r="R306" s="4">
        <v>3</v>
      </c>
      <c r="S306" s="3">
        <v>6815.7123250000004</v>
      </c>
      <c r="T306" s="3">
        <f t="shared" si="26"/>
        <v>2271.9041083333336</v>
      </c>
      <c r="U306" s="5">
        <f t="shared" si="30"/>
        <v>9.0909090909090912E-2</v>
      </c>
      <c r="V306" s="5">
        <f t="shared" si="27"/>
        <v>2.8668230388324213E-3</v>
      </c>
      <c r="W306" s="3">
        <f t="shared" si="28"/>
        <v>206.53673712121213</v>
      </c>
      <c r="X306" s="3">
        <f t="shared" si="29"/>
        <v>592.10427634436621</v>
      </c>
      <c r="Y306" s="7">
        <f t="shared" si="31"/>
        <v>0.74877739539938415</v>
      </c>
    </row>
    <row r="307" spans="1:25" x14ac:dyDescent="0.25">
      <c r="A307" t="s">
        <v>537</v>
      </c>
      <c r="B307" t="s">
        <v>541</v>
      </c>
      <c r="E307" t="s">
        <v>14</v>
      </c>
      <c r="F307" t="s">
        <v>44</v>
      </c>
      <c r="G307" t="s">
        <v>1062</v>
      </c>
      <c r="H307" t="s">
        <v>1063</v>
      </c>
      <c r="K307" t="s">
        <v>134</v>
      </c>
      <c r="L307" t="s">
        <v>25</v>
      </c>
      <c r="M307" t="s">
        <v>29</v>
      </c>
      <c r="N307" s="4">
        <v>25021</v>
      </c>
      <c r="O307" s="4">
        <v>50</v>
      </c>
      <c r="P307" s="4">
        <v>11084</v>
      </c>
      <c r="Q307" s="4">
        <v>18079</v>
      </c>
      <c r="R307" s="4">
        <v>9</v>
      </c>
      <c r="S307" s="3">
        <v>4961.4788840000001</v>
      </c>
      <c r="T307" s="3">
        <f t="shared" si="26"/>
        <v>551.27543155555554</v>
      </c>
      <c r="U307" s="5">
        <f t="shared" si="30"/>
        <v>0.18</v>
      </c>
      <c r="V307" s="5">
        <f t="shared" si="27"/>
        <v>1.998321410015587E-3</v>
      </c>
      <c r="W307" s="3">
        <f t="shared" si="28"/>
        <v>99.229577680000006</v>
      </c>
      <c r="X307" s="3">
        <f t="shared" si="29"/>
        <v>198.29258958474881</v>
      </c>
      <c r="Y307" s="7">
        <f t="shared" si="31"/>
        <v>0.61308700702472485</v>
      </c>
    </row>
    <row r="308" spans="1:25" x14ac:dyDescent="0.25">
      <c r="A308" t="s">
        <v>537</v>
      </c>
      <c r="B308" t="s">
        <v>542</v>
      </c>
      <c r="E308" t="s">
        <v>19</v>
      </c>
      <c r="F308" t="s">
        <v>33</v>
      </c>
      <c r="G308" t="s">
        <v>1092</v>
      </c>
      <c r="H308" t="s">
        <v>1065</v>
      </c>
      <c r="K308" t="s">
        <v>117</v>
      </c>
      <c r="L308" t="s">
        <v>25</v>
      </c>
      <c r="M308" t="s">
        <v>21</v>
      </c>
      <c r="N308" s="4">
        <v>120603</v>
      </c>
      <c r="O308" s="4">
        <v>298</v>
      </c>
      <c r="P308" s="4">
        <v>47405</v>
      </c>
      <c r="Q308" s="4">
        <v>100881</v>
      </c>
      <c r="R308" s="4">
        <v>10</v>
      </c>
      <c r="S308" s="3">
        <v>6633.5326349999996</v>
      </c>
      <c r="T308" s="3">
        <f t="shared" si="26"/>
        <v>663.35326349999991</v>
      </c>
      <c r="U308" s="5">
        <f t="shared" si="30"/>
        <v>3.3557046979865772E-2</v>
      </c>
      <c r="V308" s="5">
        <f t="shared" si="27"/>
        <v>2.4709169755312886E-3</v>
      </c>
      <c r="W308" s="3">
        <f t="shared" si="28"/>
        <v>22.260176627516778</v>
      </c>
      <c r="X308" s="3">
        <f t="shared" si="29"/>
        <v>55.00304830725603</v>
      </c>
      <c r="Y308" s="7">
        <f t="shared" si="31"/>
        <v>0.46991009208869855</v>
      </c>
    </row>
    <row r="309" spans="1:25" x14ac:dyDescent="0.25">
      <c r="A309" t="s">
        <v>543</v>
      </c>
      <c r="E309" t="s">
        <v>19</v>
      </c>
      <c r="F309" t="s">
        <v>15</v>
      </c>
      <c r="G309" t="s">
        <v>1078</v>
      </c>
      <c r="H309" t="s">
        <v>1065</v>
      </c>
      <c r="K309" t="s">
        <v>223</v>
      </c>
      <c r="L309" t="s">
        <v>92</v>
      </c>
      <c r="M309" t="s">
        <v>21</v>
      </c>
      <c r="N309" s="4">
        <v>69540</v>
      </c>
      <c r="O309" s="4">
        <v>204</v>
      </c>
      <c r="P309" s="4">
        <v>28713</v>
      </c>
      <c r="Q309" s="4">
        <v>62829</v>
      </c>
      <c r="R309" s="4">
        <v>15</v>
      </c>
      <c r="S309" s="3">
        <v>1838.9877300000001</v>
      </c>
      <c r="T309" s="3">
        <f t="shared" si="26"/>
        <v>122.599182</v>
      </c>
      <c r="U309" s="5">
        <f t="shared" si="30"/>
        <v>7.3529411764705885E-2</v>
      </c>
      <c r="V309" s="5">
        <f t="shared" si="27"/>
        <v>2.9335634167385678E-3</v>
      </c>
      <c r="W309" s="3">
        <f t="shared" si="28"/>
        <v>9.0146457352941187</v>
      </c>
      <c r="X309" s="3">
        <f t="shared" si="29"/>
        <v>26.445034943917168</v>
      </c>
      <c r="Y309" s="7">
        <f t="shared" si="31"/>
        <v>0.45700233968390391</v>
      </c>
    </row>
    <row r="310" spans="1:25" x14ac:dyDescent="0.25">
      <c r="A310" t="s">
        <v>544</v>
      </c>
      <c r="B310" t="s">
        <v>545</v>
      </c>
      <c r="C310" t="s">
        <v>546</v>
      </c>
      <c r="D310" t="s">
        <v>378</v>
      </c>
      <c r="E310" t="s">
        <v>23</v>
      </c>
      <c r="F310" t="s">
        <v>26</v>
      </c>
      <c r="G310" t="s">
        <v>1086</v>
      </c>
      <c r="H310" t="s">
        <v>1063</v>
      </c>
      <c r="K310" t="s">
        <v>85</v>
      </c>
      <c r="L310" t="s">
        <v>25</v>
      </c>
      <c r="M310" t="s">
        <v>21</v>
      </c>
      <c r="N310" s="4">
        <v>10819</v>
      </c>
      <c r="O310" s="4">
        <v>20</v>
      </c>
      <c r="P310" s="4">
        <v>4168</v>
      </c>
      <c r="Q310" s="4">
        <v>9768</v>
      </c>
      <c r="R310" s="4">
        <v>2</v>
      </c>
      <c r="S310" s="3">
        <v>1504.3292140000001</v>
      </c>
      <c r="T310" s="3">
        <f t="shared" si="26"/>
        <v>752.16460700000005</v>
      </c>
      <c r="U310" s="5">
        <f t="shared" si="30"/>
        <v>0.1</v>
      </c>
      <c r="V310" s="5">
        <f t="shared" si="27"/>
        <v>1.8485996857380534E-3</v>
      </c>
      <c r="W310" s="3">
        <f t="shared" si="28"/>
        <v>75.216460699999999</v>
      </c>
      <c r="X310" s="3">
        <f t="shared" si="29"/>
        <v>139.04512561234867</v>
      </c>
      <c r="Y310" s="7">
        <f t="shared" si="31"/>
        <v>0.42669942669942668</v>
      </c>
    </row>
    <row r="311" spans="1:25" x14ac:dyDescent="0.25">
      <c r="A311" t="s">
        <v>547</v>
      </c>
      <c r="B311" t="s">
        <v>547</v>
      </c>
      <c r="E311" t="s">
        <v>19</v>
      </c>
      <c r="F311" t="s">
        <v>33</v>
      </c>
      <c r="G311" t="s">
        <v>1070</v>
      </c>
      <c r="H311" t="s">
        <v>1071</v>
      </c>
      <c r="K311" t="s">
        <v>430</v>
      </c>
      <c r="L311" t="s">
        <v>28</v>
      </c>
      <c r="M311" t="s">
        <v>21</v>
      </c>
      <c r="N311" s="4">
        <v>9881</v>
      </c>
      <c r="O311" s="4">
        <v>15</v>
      </c>
      <c r="P311" s="4">
        <v>2344</v>
      </c>
      <c r="Q311" s="4">
        <v>7324</v>
      </c>
      <c r="R311" s="4">
        <v>1</v>
      </c>
      <c r="S311" s="3">
        <v>1505.0115499999999</v>
      </c>
      <c r="T311" s="3">
        <f t="shared" si="26"/>
        <v>1505.0115499999999</v>
      </c>
      <c r="U311" s="5">
        <f t="shared" si="30"/>
        <v>6.6666666666666666E-2</v>
      </c>
      <c r="V311" s="5">
        <f t="shared" si="27"/>
        <v>1.5180649731808521E-3</v>
      </c>
      <c r="W311" s="3">
        <f t="shared" si="28"/>
        <v>100.33410333333333</v>
      </c>
      <c r="X311" s="3">
        <f t="shared" si="29"/>
        <v>152.31368788584152</v>
      </c>
      <c r="Y311" s="7">
        <f t="shared" si="31"/>
        <v>0.32004369197160021</v>
      </c>
    </row>
    <row r="312" spans="1:25" x14ac:dyDescent="0.25">
      <c r="A312" t="s">
        <v>548</v>
      </c>
      <c r="B312" t="s">
        <v>549</v>
      </c>
      <c r="C312" t="s">
        <v>550</v>
      </c>
      <c r="E312" t="s">
        <v>14</v>
      </c>
      <c r="F312" t="s">
        <v>33</v>
      </c>
      <c r="G312" t="s">
        <v>1066</v>
      </c>
      <c r="H312" t="s">
        <v>1067</v>
      </c>
      <c r="K312" t="s">
        <v>209</v>
      </c>
      <c r="L312" t="s">
        <v>89</v>
      </c>
      <c r="M312" t="s">
        <v>29</v>
      </c>
      <c r="N312" s="4">
        <v>25206</v>
      </c>
      <c r="O312" s="4">
        <v>75</v>
      </c>
      <c r="P312" s="4">
        <v>3588</v>
      </c>
      <c r="Q312" s="4">
        <v>23556</v>
      </c>
      <c r="R312" s="4">
        <v>19</v>
      </c>
      <c r="S312" s="3">
        <v>6846.3564340000003</v>
      </c>
      <c r="T312" s="3">
        <f t="shared" si="26"/>
        <v>360.33454915789474</v>
      </c>
      <c r="U312" s="5">
        <f t="shared" si="30"/>
        <v>0.25333333333333335</v>
      </c>
      <c r="V312" s="5">
        <f t="shared" si="27"/>
        <v>2.9754820280885504E-3</v>
      </c>
      <c r="W312" s="3">
        <f t="shared" si="28"/>
        <v>91.28475245333334</v>
      </c>
      <c r="X312" s="3">
        <f t="shared" si="29"/>
        <v>271.61614036340552</v>
      </c>
      <c r="Y312" s="7">
        <f t="shared" si="31"/>
        <v>0.15231788079470199</v>
      </c>
    </row>
    <row r="313" spans="1:25" x14ac:dyDescent="0.25">
      <c r="A313" t="s">
        <v>548</v>
      </c>
      <c r="B313" t="s">
        <v>551</v>
      </c>
      <c r="C313" t="s">
        <v>552</v>
      </c>
      <c r="E313" t="s">
        <v>19</v>
      </c>
      <c r="F313" t="s">
        <v>15</v>
      </c>
      <c r="G313" t="s">
        <v>1066</v>
      </c>
      <c r="H313" t="s">
        <v>1067</v>
      </c>
      <c r="K313" t="s">
        <v>117</v>
      </c>
      <c r="L313" t="s">
        <v>309</v>
      </c>
      <c r="M313" t="s">
        <v>21</v>
      </c>
      <c r="N313" s="4">
        <v>760502</v>
      </c>
      <c r="O313" s="4">
        <v>2140</v>
      </c>
      <c r="P313" s="4">
        <v>326721</v>
      </c>
      <c r="Q313" s="4">
        <v>700814</v>
      </c>
      <c r="R313" s="4">
        <v>17</v>
      </c>
      <c r="S313" s="3">
        <v>5179.0415320000002</v>
      </c>
      <c r="T313" s="3">
        <f t="shared" si="26"/>
        <v>304.64950188235298</v>
      </c>
      <c r="U313" s="5">
        <f t="shared" si="30"/>
        <v>7.9439252336448597E-3</v>
      </c>
      <c r="V313" s="5">
        <f t="shared" si="27"/>
        <v>2.8139307983410956E-3</v>
      </c>
      <c r="W313" s="3">
        <f t="shared" si="28"/>
        <v>2.420112865420561</v>
      </c>
      <c r="X313" s="3">
        <f t="shared" si="29"/>
        <v>6.8100301274684361</v>
      </c>
      <c r="Y313" s="7">
        <f t="shared" si="31"/>
        <v>0.46620215920344055</v>
      </c>
    </row>
    <row r="314" spans="1:25" x14ac:dyDescent="0.25">
      <c r="A314" t="s">
        <v>548</v>
      </c>
      <c r="B314" t="s">
        <v>549</v>
      </c>
      <c r="C314" t="s">
        <v>553</v>
      </c>
      <c r="E314" t="s">
        <v>14</v>
      </c>
      <c r="F314" t="s">
        <v>15</v>
      </c>
      <c r="G314" t="s">
        <v>1086</v>
      </c>
      <c r="H314" t="s">
        <v>1063</v>
      </c>
      <c r="K314" t="s">
        <v>81</v>
      </c>
      <c r="L314" t="s">
        <v>17</v>
      </c>
      <c r="M314" t="s">
        <v>21</v>
      </c>
      <c r="N314" s="4">
        <v>7862</v>
      </c>
      <c r="O314" s="4">
        <v>20</v>
      </c>
      <c r="P314" s="4">
        <v>2152</v>
      </c>
      <c r="Q314" s="4">
        <v>6039</v>
      </c>
      <c r="R314" s="4">
        <v>2</v>
      </c>
      <c r="S314" s="3">
        <v>6506.4336869999997</v>
      </c>
      <c r="T314" s="3">
        <f t="shared" si="26"/>
        <v>3253.2168434999999</v>
      </c>
      <c r="U314" s="5">
        <f t="shared" si="30"/>
        <v>0.1</v>
      </c>
      <c r="V314" s="5">
        <f t="shared" si="27"/>
        <v>2.5438819638768763E-3</v>
      </c>
      <c r="W314" s="3">
        <f t="shared" si="28"/>
        <v>325.32168435</v>
      </c>
      <c r="X314" s="3">
        <f t="shared" si="29"/>
        <v>827.57996527601119</v>
      </c>
      <c r="Y314" s="7">
        <f t="shared" si="31"/>
        <v>0.3563503891372744</v>
      </c>
    </row>
    <row r="315" spans="1:25" x14ac:dyDescent="0.25">
      <c r="A315" t="s">
        <v>548</v>
      </c>
      <c r="B315" t="s">
        <v>551</v>
      </c>
      <c r="C315" t="s">
        <v>554</v>
      </c>
      <c r="E315" t="s">
        <v>14</v>
      </c>
      <c r="F315" t="s">
        <v>26</v>
      </c>
      <c r="G315" t="s">
        <v>1086</v>
      </c>
      <c r="H315" t="s">
        <v>1063</v>
      </c>
      <c r="K315" t="s">
        <v>555</v>
      </c>
      <c r="L315" t="s">
        <v>68</v>
      </c>
      <c r="M315" t="s">
        <v>21</v>
      </c>
      <c r="N315" s="4">
        <v>14398</v>
      </c>
      <c r="O315" s="4">
        <v>30</v>
      </c>
      <c r="P315" s="4">
        <v>2807</v>
      </c>
      <c r="Q315" s="4">
        <v>13393</v>
      </c>
      <c r="R315" s="4">
        <v>7</v>
      </c>
      <c r="S315" s="3">
        <v>5154.6445549999999</v>
      </c>
      <c r="T315" s="3">
        <f t="shared" si="26"/>
        <v>736.37779357142858</v>
      </c>
      <c r="U315" s="5">
        <f t="shared" si="30"/>
        <v>0.23333333333333334</v>
      </c>
      <c r="V315" s="5">
        <f t="shared" si="27"/>
        <v>2.0836227253785249E-3</v>
      </c>
      <c r="W315" s="3">
        <f t="shared" si="28"/>
        <v>171.82148516666666</v>
      </c>
      <c r="X315" s="3">
        <f t="shared" si="29"/>
        <v>358.01115120155572</v>
      </c>
      <c r="Y315" s="7">
        <f t="shared" si="31"/>
        <v>0.20958709773762413</v>
      </c>
    </row>
    <row r="316" spans="1:25" x14ac:dyDescent="0.25">
      <c r="A316" t="s">
        <v>548</v>
      </c>
      <c r="B316" t="s">
        <v>556</v>
      </c>
      <c r="E316" t="s">
        <v>19</v>
      </c>
      <c r="F316" t="s">
        <v>15</v>
      </c>
      <c r="G316" t="s">
        <v>1079</v>
      </c>
      <c r="H316" t="s">
        <v>1080</v>
      </c>
      <c r="K316" t="s">
        <v>557</v>
      </c>
      <c r="L316" t="s">
        <v>64</v>
      </c>
      <c r="M316" t="s">
        <v>21</v>
      </c>
      <c r="N316" s="4">
        <v>41513</v>
      </c>
      <c r="O316" s="4">
        <v>113</v>
      </c>
      <c r="P316" s="4">
        <v>20872</v>
      </c>
      <c r="Q316" s="4">
        <v>39250</v>
      </c>
      <c r="R316" s="4">
        <v>9</v>
      </c>
      <c r="S316" s="3">
        <v>6789.5334009999997</v>
      </c>
      <c r="T316" s="3">
        <f t="shared" si="26"/>
        <v>754.39260011111105</v>
      </c>
      <c r="U316" s="5">
        <f t="shared" si="30"/>
        <v>7.9646017699115043E-2</v>
      </c>
      <c r="V316" s="5">
        <f t="shared" si="27"/>
        <v>2.7220388793871798E-3</v>
      </c>
      <c r="W316" s="3">
        <f t="shared" si="28"/>
        <v>60.084366380530973</v>
      </c>
      <c r="X316" s="3">
        <f t="shared" si="29"/>
        <v>163.55198133114925</v>
      </c>
      <c r="Y316" s="7">
        <f t="shared" si="31"/>
        <v>0.53177070063694265</v>
      </c>
    </row>
    <row r="317" spans="1:25" x14ac:dyDescent="0.25">
      <c r="A317" t="s">
        <v>548</v>
      </c>
      <c r="B317" t="s">
        <v>558</v>
      </c>
      <c r="E317" t="s">
        <v>14</v>
      </c>
      <c r="F317" t="s">
        <v>15</v>
      </c>
      <c r="G317" t="s">
        <v>1062</v>
      </c>
      <c r="H317" t="s">
        <v>1063</v>
      </c>
      <c r="K317" t="s">
        <v>240</v>
      </c>
      <c r="L317" t="s">
        <v>25</v>
      </c>
      <c r="M317" t="s">
        <v>18</v>
      </c>
      <c r="N317" s="4">
        <v>120902</v>
      </c>
      <c r="O317" s="4">
        <v>333</v>
      </c>
      <c r="P317" s="4">
        <v>9964</v>
      </c>
      <c r="Q317" s="4">
        <v>70015</v>
      </c>
      <c r="R317" s="4">
        <v>15</v>
      </c>
      <c r="S317" s="3">
        <v>4669.0136689999999</v>
      </c>
      <c r="T317" s="3">
        <f t="shared" si="26"/>
        <v>311.26757793333331</v>
      </c>
      <c r="U317" s="5">
        <f t="shared" si="30"/>
        <v>4.5045045045045043E-2</v>
      </c>
      <c r="V317" s="5">
        <f t="shared" si="27"/>
        <v>2.7542968685381549E-3</v>
      </c>
      <c r="W317" s="3">
        <f t="shared" si="28"/>
        <v>14.021062069069069</v>
      </c>
      <c r="X317" s="3">
        <f t="shared" si="29"/>
        <v>38.618167350416037</v>
      </c>
      <c r="Y317" s="7">
        <f t="shared" si="31"/>
        <v>0.14231236163679212</v>
      </c>
    </row>
    <row r="318" spans="1:25" x14ac:dyDescent="0.25">
      <c r="A318" t="s">
        <v>548</v>
      </c>
      <c r="B318" t="s">
        <v>559</v>
      </c>
      <c r="E318" t="s">
        <v>23</v>
      </c>
      <c r="F318" t="s">
        <v>15</v>
      </c>
      <c r="G318" t="s">
        <v>1070</v>
      </c>
      <c r="H318" t="s">
        <v>1071</v>
      </c>
      <c r="K318" t="s">
        <v>91</v>
      </c>
      <c r="L318" t="s">
        <v>17</v>
      </c>
      <c r="M318" t="s">
        <v>21</v>
      </c>
      <c r="N318" s="4">
        <v>207823</v>
      </c>
      <c r="O318" s="4">
        <v>600</v>
      </c>
      <c r="P318" s="4">
        <v>33602</v>
      </c>
      <c r="Q318" s="4">
        <v>167814</v>
      </c>
      <c r="R318" s="4">
        <v>13</v>
      </c>
      <c r="S318" s="3">
        <v>6048.9556110000003</v>
      </c>
      <c r="T318" s="3">
        <f t="shared" si="26"/>
        <v>465.30427776923079</v>
      </c>
      <c r="U318" s="5">
        <f t="shared" si="30"/>
        <v>2.1666666666666667E-2</v>
      </c>
      <c r="V318" s="5">
        <f t="shared" si="27"/>
        <v>2.8870721719925128E-3</v>
      </c>
      <c r="W318" s="3">
        <f t="shared" si="28"/>
        <v>10.081592685</v>
      </c>
      <c r="X318" s="3">
        <f t="shared" si="29"/>
        <v>29.10628569022678</v>
      </c>
      <c r="Y318" s="7">
        <f t="shared" si="31"/>
        <v>0.20023359195299559</v>
      </c>
    </row>
    <row r="319" spans="1:25" x14ac:dyDescent="0.25">
      <c r="A319" t="s">
        <v>548</v>
      </c>
      <c r="B319" t="s">
        <v>549</v>
      </c>
      <c r="C319" t="s">
        <v>560</v>
      </c>
      <c r="E319" t="s">
        <v>14</v>
      </c>
      <c r="F319" t="s">
        <v>26</v>
      </c>
      <c r="G319" t="s">
        <v>1070</v>
      </c>
      <c r="H319" t="s">
        <v>1071</v>
      </c>
      <c r="K319" t="s">
        <v>45</v>
      </c>
      <c r="L319" t="s">
        <v>28</v>
      </c>
      <c r="M319" t="s">
        <v>18</v>
      </c>
      <c r="N319" s="4">
        <v>27592</v>
      </c>
      <c r="O319" s="4">
        <v>80</v>
      </c>
      <c r="P319" s="4">
        <v>10901</v>
      </c>
      <c r="Q319" s="4">
        <v>24980</v>
      </c>
      <c r="R319" s="4">
        <v>17</v>
      </c>
      <c r="S319" s="3">
        <v>6809.3560219999999</v>
      </c>
      <c r="T319" s="3">
        <f t="shared" si="26"/>
        <v>400.55035423529409</v>
      </c>
      <c r="U319" s="5">
        <f t="shared" si="30"/>
        <v>0.21249999999999999</v>
      </c>
      <c r="V319" s="5">
        <f t="shared" si="27"/>
        <v>2.8993911278631487E-3</v>
      </c>
      <c r="W319" s="3">
        <f t="shared" si="28"/>
        <v>85.116950274999994</v>
      </c>
      <c r="X319" s="3">
        <f t="shared" si="29"/>
        <v>246.78733045810381</v>
      </c>
      <c r="Y319" s="7">
        <f t="shared" si="31"/>
        <v>0.43638911128903124</v>
      </c>
    </row>
    <row r="320" spans="1:25" x14ac:dyDescent="0.25">
      <c r="A320" t="s">
        <v>548</v>
      </c>
      <c r="B320" t="s">
        <v>561</v>
      </c>
      <c r="E320" t="s">
        <v>19</v>
      </c>
      <c r="F320" t="s">
        <v>44</v>
      </c>
      <c r="G320" t="s">
        <v>1121</v>
      </c>
      <c r="H320" t="s">
        <v>1122</v>
      </c>
      <c r="K320" t="s">
        <v>91</v>
      </c>
      <c r="L320" t="s">
        <v>17</v>
      </c>
      <c r="M320" t="s">
        <v>21</v>
      </c>
      <c r="N320" s="4">
        <v>156427</v>
      </c>
      <c r="O320" s="4">
        <v>512</v>
      </c>
      <c r="P320" s="4">
        <v>61821</v>
      </c>
      <c r="Q320" s="4">
        <v>145505</v>
      </c>
      <c r="R320" s="4">
        <v>3</v>
      </c>
      <c r="S320" s="3">
        <v>5159.7474940000002</v>
      </c>
      <c r="T320" s="3">
        <f t="shared" si="26"/>
        <v>1719.9158313333335</v>
      </c>
      <c r="U320" s="5">
        <f t="shared" si="30"/>
        <v>5.859375E-3</v>
      </c>
      <c r="V320" s="5">
        <f t="shared" si="27"/>
        <v>3.2730922411092715E-3</v>
      </c>
      <c r="W320" s="3">
        <f t="shared" si="28"/>
        <v>10.07763182421875</v>
      </c>
      <c r="X320" s="3">
        <f t="shared" si="29"/>
        <v>32.985018532606261</v>
      </c>
      <c r="Y320" s="7">
        <f t="shared" si="31"/>
        <v>0.42487199752585819</v>
      </c>
    </row>
    <row r="321" spans="1:25" x14ac:dyDescent="0.25">
      <c r="A321" t="s">
        <v>562</v>
      </c>
      <c r="B321" t="s">
        <v>563</v>
      </c>
      <c r="C321" t="s">
        <v>564</v>
      </c>
      <c r="E321" t="s">
        <v>19</v>
      </c>
      <c r="F321" t="s">
        <v>15</v>
      </c>
      <c r="G321" t="s">
        <v>1066</v>
      </c>
      <c r="H321" t="s">
        <v>1067</v>
      </c>
      <c r="K321" t="s">
        <v>85</v>
      </c>
      <c r="L321" t="s">
        <v>25</v>
      </c>
      <c r="M321" t="s">
        <v>21</v>
      </c>
      <c r="N321" s="4">
        <v>15318</v>
      </c>
      <c r="O321" s="4">
        <v>30</v>
      </c>
      <c r="P321" s="4">
        <v>5928</v>
      </c>
      <c r="Q321" s="4">
        <v>13298</v>
      </c>
      <c r="R321" s="4">
        <v>19</v>
      </c>
      <c r="S321" s="3">
        <v>1570.29739</v>
      </c>
      <c r="T321" s="3">
        <f t="shared" si="26"/>
        <v>82.647231052631582</v>
      </c>
      <c r="U321" s="5">
        <f t="shared" si="30"/>
        <v>0.6333333333333333</v>
      </c>
      <c r="V321" s="5">
        <f t="shared" si="27"/>
        <v>1.9584802193497847E-3</v>
      </c>
      <c r="W321" s="3">
        <f t="shared" si="28"/>
        <v>52.343246333333333</v>
      </c>
      <c r="X321" s="3">
        <f t="shared" si="29"/>
        <v>102.51321256038646</v>
      </c>
      <c r="Y321" s="7">
        <f t="shared" si="31"/>
        <v>0.44578132049932323</v>
      </c>
    </row>
    <row r="322" spans="1:25" x14ac:dyDescent="0.25">
      <c r="A322" t="s">
        <v>562</v>
      </c>
      <c r="B322" t="s">
        <v>565</v>
      </c>
      <c r="C322" t="s">
        <v>566</v>
      </c>
      <c r="E322" t="s">
        <v>14</v>
      </c>
      <c r="F322" t="s">
        <v>26</v>
      </c>
      <c r="G322" t="s">
        <v>1070</v>
      </c>
      <c r="H322" t="s">
        <v>1071</v>
      </c>
      <c r="K322" t="s">
        <v>186</v>
      </c>
      <c r="L322" t="s">
        <v>17</v>
      </c>
      <c r="M322" t="s">
        <v>29</v>
      </c>
      <c r="N322" s="4">
        <v>16202</v>
      </c>
      <c r="O322" s="4">
        <v>80</v>
      </c>
      <c r="P322" s="4">
        <v>11786</v>
      </c>
      <c r="Q322" s="4">
        <v>15365</v>
      </c>
      <c r="R322" s="4">
        <v>2</v>
      </c>
      <c r="S322" s="3">
        <v>1570.34276</v>
      </c>
      <c r="T322" s="3">
        <f t="shared" ref="T322:T385" si="32">S322/R322</f>
        <v>785.17138</v>
      </c>
      <c r="U322" s="5">
        <f t="shared" si="30"/>
        <v>2.5000000000000001E-2</v>
      </c>
      <c r="V322" s="5">
        <f t="shared" ref="V322:V385" si="33">O322/N322</f>
        <v>4.937662017034934E-3</v>
      </c>
      <c r="W322" s="3">
        <f t="shared" ref="W322:W385" si="34">S322/O322</f>
        <v>19.629284500000001</v>
      </c>
      <c r="X322" s="3">
        <f t="shared" ref="X322:X385" si="35">(S322/N322)*1000</f>
        <v>96.922772497222553</v>
      </c>
      <c r="Y322" s="7">
        <f t="shared" si="31"/>
        <v>0.76706801171493655</v>
      </c>
    </row>
    <row r="323" spans="1:25" x14ac:dyDescent="0.25">
      <c r="A323" t="s">
        <v>567</v>
      </c>
      <c r="B323" t="s">
        <v>568</v>
      </c>
      <c r="E323" t="s">
        <v>14</v>
      </c>
      <c r="F323" t="s">
        <v>44</v>
      </c>
      <c r="G323" t="s">
        <v>1070</v>
      </c>
      <c r="H323" t="s">
        <v>1071</v>
      </c>
      <c r="K323" t="s">
        <v>569</v>
      </c>
      <c r="L323" t="s">
        <v>17</v>
      </c>
      <c r="M323" t="s">
        <v>21</v>
      </c>
      <c r="N323" s="4">
        <v>15547</v>
      </c>
      <c r="O323" s="4">
        <v>70</v>
      </c>
      <c r="P323" s="4">
        <v>7615</v>
      </c>
      <c r="Q323" s="4">
        <v>14939</v>
      </c>
      <c r="R323" s="4">
        <v>3</v>
      </c>
      <c r="S323" s="3">
        <v>1767.4644559999999</v>
      </c>
      <c r="T323" s="3">
        <f t="shared" si="32"/>
        <v>589.15481866666664</v>
      </c>
      <c r="U323" s="5">
        <f t="shared" ref="U323:U386" si="36">R323/O323</f>
        <v>4.2857142857142858E-2</v>
      </c>
      <c r="V323" s="5">
        <f t="shared" si="33"/>
        <v>4.5024763619990991E-3</v>
      </c>
      <c r="W323" s="3">
        <f t="shared" si="34"/>
        <v>25.249492228571427</v>
      </c>
      <c r="X323" s="3">
        <f t="shared" si="35"/>
        <v>113.68524191162281</v>
      </c>
      <c r="Y323" s="7">
        <f t="shared" ref="Y323:Y386" si="37">P323/Q323</f>
        <v>0.50973960773813509</v>
      </c>
    </row>
    <row r="324" spans="1:25" x14ac:dyDescent="0.25">
      <c r="A324" t="s">
        <v>146</v>
      </c>
      <c r="B324" t="s">
        <v>570</v>
      </c>
      <c r="E324" t="s">
        <v>14</v>
      </c>
      <c r="F324" t="s">
        <v>26</v>
      </c>
      <c r="G324" t="s">
        <v>1062</v>
      </c>
      <c r="H324" t="s">
        <v>1063</v>
      </c>
      <c r="K324" t="s">
        <v>175</v>
      </c>
      <c r="L324" t="s">
        <v>17</v>
      </c>
      <c r="M324" t="s">
        <v>21</v>
      </c>
      <c r="N324" s="4">
        <v>7921</v>
      </c>
      <c r="O324" s="4">
        <v>50</v>
      </c>
      <c r="P324" s="4">
        <v>4727</v>
      </c>
      <c r="Q324" s="4">
        <v>6513</v>
      </c>
      <c r="R324" s="4">
        <v>11</v>
      </c>
      <c r="S324" s="3">
        <v>5379.00144</v>
      </c>
      <c r="T324" s="3">
        <f t="shared" si="32"/>
        <v>489.0001309090909</v>
      </c>
      <c r="U324" s="5">
        <f t="shared" si="36"/>
        <v>0.22</v>
      </c>
      <c r="V324" s="5">
        <f t="shared" si="33"/>
        <v>6.3123343012245932E-3</v>
      </c>
      <c r="W324" s="3">
        <f t="shared" si="34"/>
        <v>107.58002879999999</v>
      </c>
      <c r="X324" s="3">
        <f t="shared" si="35"/>
        <v>679.08110592096955</v>
      </c>
      <c r="Y324" s="7">
        <f t="shared" si="37"/>
        <v>0.72577921080915098</v>
      </c>
    </row>
    <row r="325" spans="1:25" x14ac:dyDescent="0.25">
      <c r="A325" t="s">
        <v>146</v>
      </c>
      <c r="B325" t="s">
        <v>119</v>
      </c>
      <c r="E325" t="s">
        <v>19</v>
      </c>
      <c r="F325" t="s">
        <v>26</v>
      </c>
      <c r="G325" t="s">
        <v>1066</v>
      </c>
      <c r="H325" t="s">
        <v>1067</v>
      </c>
      <c r="K325" t="s">
        <v>75</v>
      </c>
      <c r="L325" t="s">
        <v>28</v>
      </c>
      <c r="M325" t="s">
        <v>21</v>
      </c>
      <c r="N325" s="4">
        <v>76049</v>
      </c>
      <c r="O325" s="4">
        <v>199</v>
      </c>
      <c r="P325" s="4">
        <v>34921</v>
      </c>
      <c r="Q325" s="4">
        <v>69138</v>
      </c>
      <c r="R325" s="4">
        <v>8</v>
      </c>
      <c r="S325" s="3">
        <v>6942.8004579999997</v>
      </c>
      <c r="T325" s="3">
        <f t="shared" si="32"/>
        <v>867.85005724999996</v>
      </c>
      <c r="U325" s="5">
        <f t="shared" si="36"/>
        <v>4.0201005025125629E-2</v>
      </c>
      <c r="V325" s="5">
        <f t="shared" si="33"/>
        <v>2.6167339478494127E-3</v>
      </c>
      <c r="W325" s="3">
        <f t="shared" si="34"/>
        <v>34.888444512562813</v>
      </c>
      <c r="X325" s="3">
        <f t="shared" si="35"/>
        <v>91.29377714368367</v>
      </c>
      <c r="Y325" s="7">
        <f t="shared" si="37"/>
        <v>0.50509126674187854</v>
      </c>
    </row>
    <row r="326" spans="1:25" x14ac:dyDescent="0.25">
      <c r="A326" t="s">
        <v>146</v>
      </c>
      <c r="B326" t="s">
        <v>571</v>
      </c>
      <c r="E326" t="s">
        <v>19</v>
      </c>
      <c r="F326" t="s">
        <v>44</v>
      </c>
      <c r="G326" t="s">
        <v>1070</v>
      </c>
      <c r="H326" t="s">
        <v>1071</v>
      </c>
      <c r="K326" t="s">
        <v>184</v>
      </c>
      <c r="L326" t="s">
        <v>17</v>
      </c>
      <c r="M326" t="s">
        <v>21</v>
      </c>
      <c r="N326" s="4">
        <v>25377</v>
      </c>
      <c r="O326" s="4">
        <v>101</v>
      </c>
      <c r="P326" s="4">
        <v>16698</v>
      </c>
      <c r="Q326" s="4">
        <v>23798</v>
      </c>
      <c r="R326" s="4">
        <v>2</v>
      </c>
      <c r="S326" s="3">
        <v>5175.1429189999999</v>
      </c>
      <c r="T326" s="3">
        <f t="shared" si="32"/>
        <v>2587.5714594999999</v>
      </c>
      <c r="U326" s="5">
        <f t="shared" si="36"/>
        <v>1.9801980198019802E-2</v>
      </c>
      <c r="V326" s="5">
        <f t="shared" si="33"/>
        <v>3.9799818733498834E-3</v>
      </c>
      <c r="W326" s="3">
        <f t="shared" si="34"/>
        <v>51.2390388019802</v>
      </c>
      <c r="X326" s="3">
        <f t="shared" si="35"/>
        <v>203.93044563975252</v>
      </c>
      <c r="Y326" s="7">
        <f t="shared" si="37"/>
        <v>0.70165560131103455</v>
      </c>
    </row>
    <row r="327" spans="1:25" x14ac:dyDescent="0.25">
      <c r="A327" t="s">
        <v>146</v>
      </c>
      <c r="B327" t="s">
        <v>572</v>
      </c>
      <c r="E327" t="s">
        <v>14</v>
      </c>
      <c r="F327" t="s">
        <v>26</v>
      </c>
      <c r="G327" t="s">
        <v>1085</v>
      </c>
      <c r="H327" t="s">
        <v>1065</v>
      </c>
      <c r="K327" t="s">
        <v>557</v>
      </c>
      <c r="L327" t="s">
        <v>25</v>
      </c>
      <c r="M327" t="s">
        <v>21</v>
      </c>
      <c r="N327" s="4">
        <v>8420</v>
      </c>
      <c r="O327" s="4">
        <v>80</v>
      </c>
      <c r="P327" s="4">
        <v>4430</v>
      </c>
      <c r="Q327" s="4">
        <v>7869</v>
      </c>
      <c r="R327" s="4">
        <v>8</v>
      </c>
      <c r="S327" s="3">
        <v>5184.5854239999999</v>
      </c>
      <c r="T327" s="3">
        <f t="shared" si="32"/>
        <v>648.07317799999998</v>
      </c>
      <c r="U327" s="5">
        <f t="shared" si="36"/>
        <v>0.1</v>
      </c>
      <c r="V327" s="5">
        <f t="shared" si="33"/>
        <v>9.5011876484560574E-3</v>
      </c>
      <c r="W327" s="3">
        <f t="shared" si="34"/>
        <v>64.807317799999993</v>
      </c>
      <c r="X327" s="3">
        <f t="shared" si="35"/>
        <v>615.74648741092631</v>
      </c>
      <c r="Y327" s="7">
        <f t="shared" si="37"/>
        <v>0.56296861100521034</v>
      </c>
    </row>
    <row r="328" spans="1:25" x14ac:dyDescent="0.25">
      <c r="A328" t="s">
        <v>146</v>
      </c>
      <c r="B328" t="s">
        <v>573</v>
      </c>
      <c r="E328" t="s">
        <v>14</v>
      </c>
      <c r="F328" t="s">
        <v>15</v>
      </c>
      <c r="G328" t="s">
        <v>1062</v>
      </c>
      <c r="H328" t="s">
        <v>1063</v>
      </c>
      <c r="K328" t="s">
        <v>369</v>
      </c>
      <c r="L328" t="s">
        <v>68</v>
      </c>
      <c r="M328" t="s">
        <v>21</v>
      </c>
      <c r="N328" s="4">
        <v>11607</v>
      </c>
      <c r="O328" s="4">
        <v>184</v>
      </c>
      <c r="P328" s="4">
        <v>5218</v>
      </c>
      <c r="Q328" s="4">
        <v>10763</v>
      </c>
      <c r="R328" s="4">
        <v>12</v>
      </c>
      <c r="S328" s="3">
        <v>6909.7323180000003</v>
      </c>
      <c r="T328" s="3">
        <f t="shared" si="32"/>
        <v>575.81102650000003</v>
      </c>
      <c r="U328" s="5">
        <f t="shared" si="36"/>
        <v>6.5217391304347824E-2</v>
      </c>
      <c r="V328" s="5">
        <f t="shared" si="33"/>
        <v>1.5852502800034463E-2</v>
      </c>
      <c r="W328" s="3">
        <f t="shared" si="34"/>
        <v>37.552893032608701</v>
      </c>
      <c r="X328" s="3">
        <f t="shared" si="35"/>
        <v>595.30734194882405</v>
      </c>
      <c r="Y328" s="7">
        <f t="shared" si="37"/>
        <v>0.48480906810368857</v>
      </c>
    </row>
    <row r="329" spans="1:25" x14ac:dyDescent="0.25">
      <c r="A329" t="s">
        <v>146</v>
      </c>
      <c r="B329" t="s">
        <v>574</v>
      </c>
      <c r="E329" t="s">
        <v>14</v>
      </c>
      <c r="F329" t="s">
        <v>26</v>
      </c>
      <c r="G329" t="s">
        <v>1062</v>
      </c>
      <c r="H329" t="s">
        <v>1063</v>
      </c>
      <c r="K329" t="s">
        <v>313</v>
      </c>
      <c r="L329" t="s">
        <v>17</v>
      </c>
      <c r="M329" t="s">
        <v>18</v>
      </c>
      <c r="N329" s="4">
        <v>28888</v>
      </c>
      <c r="O329" s="4">
        <v>85</v>
      </c>
      <c r="P329" s="4">
        <v>21437</v>
      </c>
      <c r="Q329" s="4">
        <v>27586</v>
      </c>
      <c r="R329" s="4">
        <v>19</v>
      </c>
      <c r="S329" s="3">
        <v>6858.5781180000004</v>
      </c>
      <c r="T329" s="3">
        <f t="shared" si="32"/>
        <v>360.97779568421055</v>
      </c>
      <c r="U329" s="5">
        <f t="shared" si="36"/>
        <v>0.22352941176470589</v>
      </c>
      <c r="V329" s="5">
        <f t="shared" si="33"/>
        <v>2.9423982276377734E-3</v>
      </c>
      <c r="W329" s="3">
        <f t="shared" si="34"/>
        <v>80.689154329411764</v>
      </c>
      <c r="X329" s="3">
        <f t="shared" si="35"/>
        <v>237.41962468845196</v>
      </c>
      <c r="Y329" s="7">
        <f t="shared" si="37"/>
        <v>0.77709707822808671</v>
      </c>
    </row>
    <row r="330" spans="1:25" x14ac:dyDescent="0.25">
      <c r="A330" t="s">
        <v>146</v>
      </c>
      <c r="B330" t="s">
        <v>575</v>
      </c>
      <c r="E330" t="s">
        <v>14</v>
      </c>
      <c r="F330" t="s">
        <v>15</v>
      </c>
      <c r="G330" t="s">
        <v>1079</v>
      </c>
      <c r="H330" t="s">
        <v>1080</v>
      </c>
      <c r="K330" t="s">
        <v>576</v>
      </c>
      <c r="L330" t="s">
        <v>68</v>
      </c>
      <c r="M330" t="s">
        <v>18</v>
      </c>
      <c r="N330" s="4">
        <v>123430</v>
      </c>
      <c r="O330" s="4">
        <v>360</v>
      </c>
      <c r="P330" s="4">
        <v>45294</v>
      </c>
      <c r="Q330" s="4">
        <v>77646</v>
      </c>
      <c r="R330" s="4">
        <v>15</v>
      </c>
      <c r="S330" s="3">
        <v>6808.5625840000002</v>
      </c>
      <c r="T330" s="3">
        <f t="shared" si="32"/>
        <v>453.90417226666671</v>
      </c>
      <c r="U330" s="5">
        <f t="shared" si="36"/>
        <v>4.1666666666666664E-2</v>
      </c>
      <c r="V330" s="5">
        <f t="shared" si="33"/>
        <v>2.9166329093413272E-3</v>
      </c>
      <c r="W330" s="3">
        <f t="shared" si="34"/>
        <v>18.912673844444445</v>
      </c>
      <c r="X330" s="3">
        <f t="shared" si="35"/>
        <v>55.161326938345617</v>
      </c>
      <c r="Y330" s="7">
        <f t="shared" si="37"/>
        <v>0.58333977281508387</v>
      </c>
    </row>
    <row r="331" spans="1:25" x14ac:dyDescent="0.25">
      <c r="A331" t="s">
        <v>577</v>
      </c>
      <c r="B331" t="s">
        <v>578</v>
      </c>
      <c r="C331" t="s">
        <v>579</v>
      </c>
      <c r="E331" t="s">
        <v>19</v>
      </c>
      <c r="F331" t="s">
        <v>15</v>
      </c>
      <c r="G331" t="s">
        <v>1092</v>
      </c>
      <c r="H331" t="s">
        <v>1065</v>
      </c>
      <c r="K331" t="s">
        <v>301</v>
      </c>
      <c r="L331" t="s">
        <v>89</v>
      </c>
      <c r="M331" t="s">
        <v>21</v>
      </c>
      <c r="N331" s="4">
        <v>12592</v>
      </c>
      <c r="O331" s="4">
        <v>63</v>
      </c>
      <c r="P331" s="4">
        <v>7472</v>
      </c>
      <c r="Q331" s="4">
        <v>11687</v>
      </c>
      <c r="R331" s="4">
        <v>4</v>
      </c>
      <c r="S331" s="3">
        <v>1521.185189</v>
      </c>
      <c r="T331" s="3">
        <f t="shared" si="32"/>
        <v>380.29629725000001</v>
      </c>
      <c r="U331" s="5">
        <f t="shared" si="36"/>
        <v>6.3492063492063489E-2</v>
      </c>
      <c r="V331" s="5">
        <f t="shared" si="33"/>
        <v>5.0031766200762393E-3</v>
      </c>
      <c r="W331" s="3">
        <f t="shared" si="34"/>
        <v>24.145796650793653</v>
      </c>
      <c r="X331" s="3">
        <f t="shared" si="35"/>
        <v>120.80568527636595</v>
      </c>
      <c r="Y331" s="7">
        <f t="shared" si="37"/>
        <v>0.63934285958757597</v>
      </c>
    </row>
    <row r="332" spans="1:25" x14ac:dyDescent="0.25">
      <c r="A332" t="s">
        <v>577</v>
      </c>
      <c r="B332" t="s">
        <v>580</v>
      </c>
      <c r="E332" t="s">
        <v>14</v>
      </c>
      <c r="F332" t="s">
        <v>15</v>
      </c>
      <c r="G332" t="s">
        <v>1072</v>
      </c>
      <c r="H332" t="s">
        <v>1065</v>
      </c>
      <c r="K332" t="s">
        <v>42</v>
      </c>
      <c r="L332" t="s">
        <v>68</v>
      </c>
      <c r="M332" t="s">
        <v>21</v>
      </c>
      <c r="N332" s="4">
        <v>15033</v>
      </c>
      <c r="O332" s="4">
        <v>76</v>
      </c>
      <c r="P332" s="4">
        <v>5495</v>
      </c>
      <c r="Q332" s="4">
        <v>7050</v>
      </c>
      <c r="R332" s="4">
        <v>3</v>
      </c>
      <c r="S332" s="3">
        <v>1650.7230099999999</v>
      </c>
      <c r="T332" s="3">
        <f t="shared" si="32"/>
        <v>550.24100333333331</v>
      </c>
      <c r="U332" s="5">
        <f t="shared" si="36"/>
        <v>3.9473684210526314E-2</v>
      </c>
      <c r="V332" s="5">
        <f t="shared" si="33"/>
        <v>5.0555444688352288E-3</v>
      </c>
      <c r="W332" s="3">
        <f t="shared" si="34"/>
        <v>21.720039605263157</v>
      </c>
      <c r="X332" s="3">
        <f t="shared" si="35"/>
        <v>109.80662608927027</v>
      </c>
      <c r="Y332" s="7">
        <f t="shared" si="37"/>
        <v>0.77943262411347514</v>
      </c>
    </row>
    <row r="333" spans="1:25" x14ac:dyDescent="0.25">
      <c r="A333" t="s">
        <v>545</v>
      </c>
      <c r="B333" t="s">
        <v>562</v>
      </c>
      <c r="C333" t="s">
        <v>119</v>
      </c>
      <c r="D333" t="s">
        <v>581</v>
      </c>
      <c r="E333" t="s">
        <v>19</v>
      </c>
      <c r="F333" t="s">
        <v>15</v>
      </c>
      <c r="G333" t="s">
        <v>1070</v>
      </c>
      <c r="H333" t="s">
        <v>1071</v>
      </c>
      <c r="K333" t="s">
        <v>223</v>
      </c>
      <c r="L333" t="s">
        <v>17</v>
      </c>
      <c r="M333" t="s">
        <v>21</v>
      </c>
      <c r="N333" s="4">
        <v>21478</v>
      </c>
      <c r="O333" s="4">
        <v>50</v>
      </c>
      <c r="P333" s="4">
        <v>15548</v>
      </c>
      <c r="Q333" s="4">
        <v>20651</v>
      </c>
      <c r="R333" s="4">
        <v>24</v>
      </c>
      <c r="S333" s="3">
        <v>1541.2140469999999</v>
      </c>
      <c r="T333" s="3">
        <f t="shared" si="32"/>
        <v>64.217251958333335</v>
      </c>
      <c r="U333" s="5">
        <f t="shared" si="36"/>
        <v>0.48</v>
      </c>
      <c r="V333" s="5">
        <f t="shared" si="33"/>
        <v>2.3279634975323588E-3</v>
      </c>
      <c r="W333" s="3">
        <f t="shared" si="34"/>
        <v>30.824280939999998</v>
      </c>
      <c r="X333" s="3">
        <f t="shared" si="35"/>
        <v>71.757800866002412</v>
      </c>
      <c r="Y333" s="7">
        <f t="shared" si="37"/>
        <v>0.7528933223572708</v>
      </c>
    </row>
    <row r="334" spans="1:25" x14ac:dyDescent="0.25">
      <c r="A334" t="s">
        <v>545</v>
      </c>
      <c r="B334" t="s">
        <v>112</v>
      </c>
      <c r="E334" t="s">
        <v>19</v>
      </c>
      <c r="F334" t="s">
        <v>44</v>
      </c>
      <c r="G334" t="s">
        <v>1066</v>
      </c>
      <c r="H334" t="s">
        <v>1067</v>
      </c>
      <c r="K334" t="s">
        <v>249</v>
      </c>
      <c r="L334" t="s">
        <v>17</v>
      </c>
      <c r="M334" t="s">
        <v>21</v>
      </c>
      <c r="N334" s="4">
        <v>15441</v>
      </c>
      <c r="O334" s="4">
        <v>48</v>
      </c>
      <c r="P334" s="4">
        <v>7626</v>
      </c>
      <c r="Q334" s="4">
        <v>14456</v>
      </c>
      <c r="R334" s="4">
        <v>19</v>
      </c>
      <c r="S334" s="3">
        <v>1614.309013</v>
      </c>
      <c r="T334" s="3">
        <f t="shared" si="32"/>
        <v>84.963632263157891</v>
      </c>
      <c r="U334" s="5">
        <f t="shared" si="36"/>
        <v>0.39583333333333331</v>
      </c>
      <c r="V334" s="5">
        <f t="shared" si="33"/>
        <v>3.1086069555080632E-3</v>
      </c>
      <c r="W334" s="3">
        <f t="shared" si="34"/>
        <v>33.631437770833337</v>
      </c>
      <c r="X334" s="3">
        <f t="shared" si="35"/>
        <v>104.54692137814908</v>
      </c>
      <c r="Y334" s="7">
        <f t="shared" si="37"/>
        <v>0.52753182069728832</v>
      </c>
    </row>
    <row r="335" spans="1:25" x14ac:dyDescent="0.25">
      <c r="A335" t="s">
        <v>545</v>
      </c>
      <c r="B335" t="s">
        <v>582</v>
      </c>
      <c r="E335" t="s">
        <v>14</v>
      </c>
      <c r="F335" t="s">
        <v>15</v>
      </c>
      <c r="G335" t="s">
        <v>1084</v>
      </c>
      <c r="H335" t="s">
        <v>1065</v>
      </c>
      <c r="K335" t="s">
        <v>184</v>
      </c>
      <c r="L335" t="s">
        <v>89</v>
      </c>
      <c r="M335" t="s">
        <v>18</v>
      </c>
      <c r="N335" s="4">
        <v>73567</v>
      </c>
      <c r="O335" s="4">
        <v>197</v>
      </c>
      <c r="P335" s="4">
        <v>28800</v>
      </c>
      <c r="Q335" s="4">
        <v>68566</v>
      </c>
      <c r="R335" s="4">
        <v>2</v>
      </c>
      <c r="S335" s="3">
        <v>1567.3660709999999</v>
      </c>
      <c r="T335" s="3">
        <f t="shared" si="32"/>
        <v>783.68303549999996</v>
      </c>
      <c r="U335" s="5">
        <f t="shared" si="36"/>
        <v>1.015228426395939E-2</v>
      </c>
      <c r="V335" s="5">
        <f t="shared" si="33"/>
        <v>2.6778310927453885E-3</v>
      </c>
      <c r="W335" s="3">
        <f t="shared" si="34"/>
        <v>7.956172949238578</v>
      </c>
      <c r="X335" s="3">
        <f t="shared" si="35"/>
        <v>21.305287302730843</v>
      </c>
      <c r="Y335" s="7">
        <f t="shared" si="37"/>
        <v>0.42003325263250008</v>
      </c>
    </row>
    <row r="336" spans="1:25" x14ac:dyDescent="0.25">
      <c r="A336" t="s">
        <v>545</v>
      </c>
      <c r="B336" t="s">
        <v>578</v>
      </c>
      <c r="C336" t="s">
        <v>583</v>
      </c>
      <c r="E336" t="s">
        <v>19</v>
      </c>
      <c r="F336" t="s">
        <v>44</v>
      </c>
      <c r="G336" t="s">
        <v>1070</v>
      </c>
      <c r="H336" t="s">
        <v>1071</v>
      </c>
      <c r="K336" t="s">
        <v>584</v>
      </c>
      <c r="L336" t="s">
        <v>79</v>
      </c>
      <c r="M336" t="s">
        <v>21</v>
      </c>
      <c r="N336" s="4">
        <v>9920</v>
      </c>
      <c r="O336" s="4">
        <v>20</v>
      </c>
      <c r="P336" s="4">
        <v>6702</v>
      </c>
      <c r="Q336" s="4">
        <v>9096</v>
      </c>
      <c r="R336" s="4">
        <v>10</v>
      </c>
      <c r="S336" s="3">
        <v>1453.11439</v>
      </c>
      <c r="T336" s="3">
        <f t="shared" si="32"/>
        <v>145.31143900000001</v>
      </c>
      <c r="U336" s="5">
        <f t="shared" si="36"/>
        <v>0.5</v>
      </c>
      <c r="V336" s="5">
        <f t="shared" si="33"/>
        <v>2.0161290322580645E-3</v>
      </c>
      <c r="W336" s="3">
        <f t="shared" si="34"/>
        <v>72.655719500000004</v>
      </c>
      <c r="X336" s="3">
        <f t="shared" si="35"/>
        <v>146.48330544354837</v>
      </c>
      <c r="Y336" s="7">
        <f t="shared" si="37"/>
        <v>0.73680738786279687</v>
      </c>
    </row>
    <row r="337" spans="1:25" x14ac:dyDescent="0.25">
      <c r="A337" t="s">
        <v>585</v>
      </c>
      <c r="B337" t="s">
        <v>140</v>
      </c>
      <c r="C337" t="s">
        <v>586</v>
      </c>
      <c r="E337" t="s">
        <v>23</v>
      </c>
      <c r="F337" t="s">
        <v>33</v>
      </c>
      <c r="G337" t="s">
        <v>1092</v>
      </c>
      <c r="H337" t="s">
        <v>1065</v>
      </c>
      <c r="K337" t="s">
        <v>209</v>
      </c>
      <c r="L337" t="s">
        <v>587</v>
      </c>
      <c r="M337" t="s">
        <v>21</v>
      </c>
      <c r="N337" s="4">
        <v>12459</v>
      </c>
      <c r="O337" s="4">
        <v>84</v>
      </c>
      <c r="P337" s="4">
        <v>7290</v>
      </c>
      <c r="Q337" s="4">
        <v>11731</v>
      </c>
      <c r="R337" s="4">
        <v>14</v>
      </c>
      <c r="S337" s="3">
        <v>1593.010399</v>
      </c>
      <c r="T337" s="3">
        <f t="shared" si="32"/>
        <v>113.78645707142857</v>
      </c>
      <c r="U337" s="5">
        <f t="shared" si="36"/>
        <v>0.16666666666666666</v>
      </c>
      <c r="V337" s="5">
        <f t="shared" si="33"/>
        <v>6.7421141343607027E-3</v>
      </c>
      <c r="W337" s="3">
        <f t="shared" si="34"/>
        <v>18.964409511904762</v>
      </c>
      <c r="X337" s="3">
        <f t="shared" si="35"/>
        <v>127.86021342001766</v>
      </c>
      <c r="Y337" s="7">
        <f t="shared" si="37"/>
        <v>0.62143039809052936</v>
      </c>
    </row>
    <row r="338" spans="1:25" x14ac:dyDescent="0.25">
      <c r="A338" t="s">
        <v>585</v>
      </c>
      <c r="B338" t="s">
        <v>588</v>
      </c>
      <c r="C338" t="s">
        <v>589</v>
      </c>
      <c r="D338" t="s">
        <v>590</v>
      </c>
      <c r="E338" t="s">
        <v>14</v>
      </c>
      <c r="F338" t="s">
        <v>15</v>
      </c>
      <c r="G338" t="s">
        <v>1078</v>
      </c>
      <c r="H338" t="s">
        <v>1065</v>
      </c>
      <c r="K338" t="s">
        <v>339</v>
      </c>
      <c r="L338" t="s">
        <v>17</v>
      </c>
      <c r="M338" t="s">
        <v>21</v>
      </c>
      <c r="N338" s="4">
        <v>14799</v>
      </c>
      <c r="O338" s="4">
        <v>59</v>
      </c>
      <c r="P338" s="4">
        <v>1403</v>
      </c>
      <c r="Q338" s="4">
        <v>13410</v>
      </c>
      <c r="R338" s="4">
        <v>9</v>
      </c>
      <c r="S338" s="3">
        <v>1693.7604349999999</v>
      </c>
      <c r="T338" s="3">
        <f t="shared" si="32"/>
        <v>188.19560388888888</v>
      </c>
      <c r="U338" s="5">
        <f t="shared" si="36"/>
        <v>0.15254237288135594</v>
      </c>
      <c r="V338" s="5">
        <f t="shared" si="33"/>
        <v>3.9867558618825599E-3</v>
      </c>
      <c r="W338" s="3">
        <f t="shared" si="34"/>
        <v>28.707803983050844</v>
      </c>
      <c r="X338" s="3">
        <f t="shared" si="35"/>
        <v>114.45100581120346</v>
      </c>
      <c r="Y338" s="7">
        <f t="shared" si="37"/>
        <v>0.1046234153616704</v>
      </c>
    </row>
    <row r="339" spans="1:25" x14ac:dyDescent="0.25">
      <c r="A339" t="s">
        <v>585</v>
      </c>
      <c r="B339" t="s">
        <v>588</v>
      </c>
      <c r="C339" t="s">
        <v>166</v>
      </c>
      <c r="E339" t="s">
        <v>14</v>
      </c>
      <c r="F339" t="s">
        <v>44</v>
      </c>
      <c r="G339" t="s">
        <v>1084</v>
      </c>
      <c r="H339" t="s">
        <v>1065</v>
      </c>
      <c r="K339" t="s">
        <v>45</v>
      </c>
      <c r="L339" t="s">
        <v>89</v>
      </c>
      <c r="M339" t="s">
        <v>29</v>
      </c>
      <c r="N339" s="4">
        <v>61442</v>
      </c>
      <c r="O339" s="4">
        <v>190</v>
      </c>
      <c r="P339" s="4">
        <v>17048</v>
      </c>
      <c r="Q339" s="4">
        <v>54166</v>
      </c>
      <c r="R339" s="4">
        <v>1</v>
      </c>
      <c r="S339" s="3">
        <v>1609.1499329999999</v>
      </c>
      <c r="T339" s="3">
        <f t="shared" si="32"/>
        <v>1609.1499329999999</v>
      </c>
      <c r="U339" s="5">
        <f t="shared" si="36"/>
        <v>5.263157894736842E-3</v>
      </c>
      <c r="V339" s="5">
        <f t="shared" si="33"/>
        <v>3.0923472543211484E-3</v>
      </c>
      <c r="W339" s="3">
        <f t="shared" si="34"/>
        <v>8.4692101736842105</v>
      </c>
      <c r="X339" s="3">
        <f t="shared" si="35"/>
        <v>26.189738826861106</v>
      </c>
      <c r="Y339" s="7">
        <f t="shared" si="37"/>
        <v>0.31473618136838605</v>
      </c>
    </row>
    <row r="340" spans="1:25" x14ac:dyDescent="0.25">
      <c r="A340" t="s">
        <v>585</v>
      </c>
      <c r="B340" t="s">
        <v>588</v>
      </c>
      <c r="C340" t="s">
        <v>591</v>
      </c>
      <c r="E340" t="s">
        <v>23</v>
      </c>
      <c r="F340" t="s">
        <v>15</v>
      </c>
      <c r="G340" t="s">
        <v>1101</v>
      </c>
      <c r="H340" t="s">
        <v>1071</v>
      </c>
      <c r="K340" t="s">
        <v>592</v>
      </c>
      <c r="L340" t="s">
        <v>17</v>
      </c>
      <c r="M340" t="s">
        <v>21</v>
      </c>
      <c r="N340" s="4">
        <v>9946</v>
      </c>
      <c r="O340" s="4">
        <v>20</v>
      </c>
      <c r="P340" s="4">
        <v>4818</v>
      </c>
      <c r="Q340" s="4">
        <v>7382</v>
      </c>
      <c r="R340" s="4">
        <v>3</v>
      </c>
      <c r="S340" s="3">
        <v>1525.962329</v>
      </c>
      <c r="T340" s="3">
        <f t="shared" si="32"/>
        <v>508.65410966666667</v>
      </c>
      <c r="U340" s="5">
        <f t="shared" si="36"/>
        <v>0.15</v>
      </c>
      <c r="V340" s="5">
        <f t="shared" si="33"/>
        <v>2.0108586366378444E-3</v>
      </c>
      <c r="W340" s="3">
        <f t="shared" si="34"/>
        <v>76.298116449999995</v>
      </c>
      <c r="X340" s="3">
        <f t="shared" si="35"/>
        <v>153.42472642268248</v>
      </c>
      <c r="Y340" s="7">
        <f t="shared" si="37"/>
        <v>0.65266865348144132</v>
      </c>
    </row>
    <row r="341" spans="1:25" x14ac:dyDescent="0.25">
      <c r="A341" t="s">
        <v>585</v>
      </c>
      <c r="B341" t="s">
        <v>140</v>
      </c>
      <c r="C341" t="s">
        <v>593</v>
      </c>
      <c r="E341" t="s">
        <v>14</v>
      </c>
      <c r="F341" t="s">
        <v>26</v>
      </c>
      <c r="G341" t="s">
        <v>1073</v>
      </c>
      <c r="H341" t="s">
        <v>1074</v>
      </c>
      <c r="K341" t="s">
        <v>594</v>
      </c>
      <c r="L341" t="s">
        <v>17</v>
      </c>
      <c r="M341" t="s">
        <v>18</v>
      </c>
      <c r="N341" s="4">
        <v>12436</v>
      </c>
      <c r="O341" s="4">
        <v>84</v>
      </c>
      <c r="P341" s="4">
        <v>7055</v>
      </c>
      <c r="Q341" s="4">
        <v>11497</v>
      </c>
      <c r="R341" s="4">
        <v>9</v>
      </c>
      <c r="S341" s="3">
        <v>1720.870126</v>
      </c>
      <c r="T341" s="3">
        <f t="shared" si="32"/>
        <v>191.20779177777777</v>
      </c>
      <c r="U341" s="5">
        <f t="shared" si="36"/>
        <v>0.10714285714285714</v>
      </c>
      <c r="V341" s="5">
        <f t="shared" si="33"/>
        <v>6.7545834673528463E-3</v>
      </c>
      <c r="W341" s="3">
        <f t="shared" si="34"/>
        <v>20.48654911904762</v>
      </c>
      <c r="X341" s="3">
        <f t="shared" si="35"/>
        <v>138.37810598263107</v>
      </c>
      <c r="Y341" s="7">
        <f t="shared" si="37"/>
        <v>0.61363834043663568</v>
      </c>
    </row>
    <row r="342" spans="1:25" x14ac:dyDescent="0.25">
      <c r="A342" t="s">
        <v>585</v>
      </c>
      <c r="B342" t="s">
        <v>588</v>
      </c>
      <c r="C342" t="s">
        <v>595</v>
      </c>
      <c r="E342" t="s">
        <v>19</v>
      </c>
      <c r="F342" t="s">
        <v>15</v>
      </c>
      <c r="G342" t="s">
        <v>1105</v>
      </c>
      <c r="H342" t="s">
        <v>1077</v>
      </c>
      <c r="K342" t="s">
        <v>24</v>
      </c>
      <c r="L342" t="s">
        <v>79</v>
      </c>
      <c r="M342" t="s">
        <v>21</v>
      </c>
      <c r="N342" s="4">
        <v>171575</v>
      </c>
      <c r="O342" s="4">
        <v>499</v>
      </c>
      <c r="P342" s="4">
        <v>101487</v>
      </c>
      <c r="Q342" s="4">
        <v>136036</v>
      </c>
      <c r="R342" s="4">
        <v>8</v>
      </c>
      <c r="S342" s="3">
        <v>1658.3324259999999</v>
      </c>
      <c r="T342" s="3">
        <f t="shared" si="32"/>
        <v>207.29155324999999</v>
      </c>
      <c r="U342" s="5">
        <f t="shared" si="36"/>
        <v>1.6032064128256512E-2</v>
      </c>
      <c r="V342" s="5">
        <f t="shared" si="33"/>
        <v>2.9083491184613143E-3</v>
      </c>
      <c r="W342" s="3">
        <f t="shared" si="34"/>
        <v>3.3233114749498998</v>
      </c>
      <c r="X342" s="3">
        <f t="shared" si="35"/>
        <v>9.6653499985429114</v>
      </c>
      <c r="Y342" s="7">
        <f t="shared" si="37"/>
        <v>0.74603046252462579</v>
      </c>
    </row>
    <row r="343" spans="1:25" x14ac:dyDescent="0.25">
      <c r="A343" t="s">
        <v>585</v>
      </c>
      <c r="B343" t="s">
        <v>588</v>
      </c>
      <c r="C343" t="s">
        <v>596</v>
      </c>
      <c r="E343" t="s">
        <v>14</v>
      </c>
      <c r="F343" t="s">
        <v>26</v>
      </c>
      <c r="G343" t="s">
        <v>1062</v>
      </c>
      <c r="H343" t="s">
        <v>1063</v>
      </c>
      <c r="K343" t="s">
        <v>342</v>
      </c>
      <c r="L343" t="s">
        <v>17</v>
      </c>
      <c r="M343" t="s">
        <v>21</v>
      </c>
      <c r="N343" s="4">
        <v>12864</v>
      </c>
      <c r="O343" s="4">
        <v>84</v>
      </c>
      <c r="P343" s="4">
        <v>5549</v>
      </c>
      <c r="Q343" s="4">
        <v>11852</v>
      </c>
      <c r="R343" s="4">
        <v>5</v>
      </c>
      <c r="S343" s="3">
        <v>1905.8896930000001</v>
      </c>
      <c r="T343" s="3">
        <f t="shared" si="32"/>
        <v>381.1779386</v>
      </c>
      <c r="U343" s="5">
        <f t="shared" si="36"/>
        <v>5.9523809523809521E-2</v>
      </c>
      <c r="V343" s="5">
        <f t="shared" si="33"/>
        <v>6.5298507462686565E-3</v>
      </c>
      <c r="W343" s="3">
        <f t="shared" si="34"/>
        <v>22.689163011904764</v>
      </c>
      <c r="X343" s="3">
        <f t="shared" si="35"/>
        <v>148.15684802549754</v>
      </c>
      <c r="Y343" s="7">
        <f t="shared" si="37"/>
        <v>0.46819102261221734</v>
      </c>
    </row>
    <row r="344" spans="1:25" x14ac:dyDescent="0.25">
      <c r="A344" t="s">
        <v>585</v>
      </c>
      <c r="B344" t="s">
        <v>140</v>
      </c>
      <c r="C344" t="s">
        <v>597</v>
      </c>
      <c r="E344" t="s">
        <v>14</v>
      </c>
      <c r="F344" t="s">
        <v>15</v>
      </c>
      <c r="G344" t="s">
        <v>1070</v>
      </c>
      <c r="H344" t="s">
        <v>1071</v>
      </c>
      <c r="K344" t="s">
        <v>598</v>
      </c>
      <c r="L344" t="s">
        <v>28</v>
      </c>
      <c r="M344" t="s">
        <v>21</v>
      </c>
      <c r="N344" s="4">
        <v>14932</v>
      </c>
      <c r="O344" s="4">
        <v>90</v>
      </c>
      <c r="P344" s="4">
        <v>8947</v>
      </c>
      <c r="Q344" s="4">
        <v>14256</v>
      </c>
      <c r="R344" s="4">
        <v>3</v>
      </c>
      <c r="S344" s="3">
        <v>1724.417704</v>
      </c>
      <c r="T344" s="3">
        <f t="shared" si="32"/>
        <v>574.80590133333328</v>
      </c>
      <c r="U344" s="5">
        <f t="shared" si="36"/>
        <v>3.3333333333333333E-2</v>
      </c>
      <c r="V344" s="5">
        <f t="shared" si="33"/>
        <v>6.0273238682025179E-3</v>
      </c>
      <c r="W344" s="3">
        <f t="shared" si="34"/>
        <v>19.160196711111112</v>
      </c>
      <c r="X344" s="3">
        <f t="shared" si="35"/>
        <v>115.48471095633539</v>
      </c>
      <c r="Y344" s="7">
        <f t="shared" si="37"/>
        <v>0.6275953984287318</v>
      </c>
    </row>
    <row r="345" spans="1:25" x14ac:dyDescent="0.25">
      <c r="A345" t="s">
        <v>585</v>
      </c>
      <c r="B345" t="s">
        <v>140</v>
      </c>
      <c r="C345" t="s">
        <v>599</v>
      </c>
      <c r="E345" t="s">
        <v>19</v>
      </c>
      <c r="F345" t="s">
        <v>33</v>
      </c>
      <c r="G345" t="s">
        <v>1066</v>
      </c>
      <c r="H345" t="s">
        <v>1067</v>
      </c>
      <c r="K345" t="s">
        <v>91</v>
      </c>
      <c r="L345" t="s">
        <v>89</v>
      </c>
      <c r="M345" t="s">
        <v>21</v>
      </c>
      <c r="N345" s="4">
        <v>61848</v>
      </c>
      <c r="O345" s="4">
        <v>213</v>
      </c>
      <c r="P345" s="4">
        <v>6581</v>
      </c>
      <c r="Q345" s="4">
        <v>44917</v>
      </c>
      <c r="R345" s="4">
        <v>15</v>
      </c>
      <c r="S345" s="3">
        <v>1819.8936020000001</v>
      </c>
      <c r="T345" s="3">
        <f t="shared" si="32"/>
        <v>121.32624013333334</v>
      </c>
      <c r="U345" s="5">
        <f t="shared" si="36"/>
        <v>7.0422535211267609E-2</v>
      </c>
      <c r="V345" s="5">
        <f t="shared" si="33"/>
        <v>3.4439270469538222E-3</v>
      </c>
      <c r="W345" s="3">
        <f t="shared" si="34"/>
        <v>8.5441014178403769</v>
      </c>
      <c r="X345" s="3">
        <f t="shared" si="35"/>
        <v>29.425261964816972</v>
      </c>
      <c r="Y345" s="7">
        <f t="shared" si="37"/>
        <v>0.14651468263686354</v>
      </c>
    </row>
    <row r="346" spans="1:25" x14ac:dyDescent="0.25">
      <c r="A346" t="s">
        <v>585</v>
      </c>
      <c r="B346" t="s">
        <v>140</v>
      </c>
      <c r="C346" t="s">
        <v>600</v>
      </c>
      <c r="E346" t="s">
        <v>14</v>
      </c>
      <c r="F346" t="s">
        <v>33</v>
      </c>
      <c r="G346" t="s">
        <v>1070</v>
      </c>
      <c r="H346" t="s">
        <v>1071</v>
      </c>
      <c r="K346" t="s">
        <v>45</v>
      </c>
      <c r="L346" t="s">
        <v>309</v>
      </c>
      <c r="M346" t="s">
        <v>21</v>
      </c>
      <c r="N346" s="4">
        <v>229908</v>
      </c>
      <c r="O346" s="4">
        <v>489</v>
      </c>
      <c r="P346" s="4">
        <v>98259</v>
      </c>
      <c r="Q346" s="4">
        <v>212073</v>
      </c>
      <c r="R346" s="4">
        <v>4</v>
      </c>
      <c r="S346" s="3">
        <v>1464.3489440000001</v>
      </c>
      <c r="T346" s="3">
        <f t="shared" si="32"/>
        <v>366.08723600000002</v>
      </c>
      <c r="U346" s="5">
        <f t="shared" si="36"/>
        <v>8.1799591002044997E-3</v>
      </c>
      <c r="V346" s="5">
        <f t="shared" si="33"/>
        <v>2.1269377316143847E-3</v>
      </c>
      <c r="W346" s="3">
        <f t="shared" si="34"/>
        <v>2.994578617586912</v>
      </c>
      <c r="X346" s="3">
        <f t="shared" si="35"/>
        <v>6.3692822520312475</v>
      </c>
      <c r="Y346" s="7">
        <f t="shared" si="37"/>
        <v>0.46332630745073633</v>
      </c>
    </row>
    <row r="347" spans="1:25" x14ac:dyDescent="0.25">
      <c r="A347" t="s">
        <v>585</v>
      </c>
      <c r="B347" t="s">
        <v>588</v>
      </c>
      <c r="C347" t="s">
        <v>601</v>
      </c>
      <c r="E347" t="s">
        <v>19</v>
      </c>
      <c r="F347" t="s">
        <v>26</v>
      </c>
      <c r="G347" t="s">
        <v>1066</v>
      </c>
      <c r="H347" t="s">
        <v>1067</v>
      </c>
      <c r="K347" t="s">
        <v>229</v>
      </c>
      <c r="L347" t="s">
        <v>25</v>
      </c>
      <c r="M347" t="s">
        <v>21</v>
      </c>
      <c r="N347" s="4">
        <v>20486</v>
      </c>
      <c r="O347" s="4">
        <v>42</v>
      </c>
      <c r="P347" s="4">
        <v>14583</v>
      </c>
      <c r="Q347" s="4">
        <v>19860</v>
      </c>
      <c r="R347" s="4">
        <v>2</v>
      </c>
      <c r="S347" s="3">
        <v>1718.513762</v>
      </c>
      <c r="T347" s="3">
        <f t="shared" si="32"/>
        <v>859.25688100000002</v>
      </c>
      <c r="U347" s="5">
        <f t="shared" si="36"/>
        <v>4.7619047619047616E-2</v>
      </c>
      <c r="V347" s="5">
        <f t="shared" si="33"/>
        <v>2.0501806111490775E-3</v>
      </c>
      <c r="W347" s="3">
        <f t="shared" si="34"/>
        <v>40.916994333333335</v>
      </c>
      <c r="X347" s="3">
        <f t="shared" si="35"/>
        <v>83.887228448696675</v>
      </c>
      <c r="Y347" s="7">
        <f t="shared" si="37"/>
        <v>0.73429003021148032</v>
      </c>
    </row>
    <row r="348" spans="1:25" x14ac:dyDescent="0.25">
      <c r="A348" t="s">
        <v>585</v>
      </c>
      <c r="B348" t="s">
        <v>140</v>
      </c>
      <c r="C348" t="s">
        <v>602</v>
      </c>
      <c r="E348" t="s">
        <v>14</v>
      </c>
      <c r="F348" t="s">
        <v>26</v>
      </c>
      <c r="G348" t="s">
        <v>1066</v>
      </c>
      <c r="H348" t="s">
        <v>1067</v>
      </c>
      <c r="K348" t="s">
        <v>294</v>
      </c>
      <c r="L348" t="s">
        <v>17</v>
      </c>
      <c r="M348" t="s">
        <v>29</v>
      </c>
      <c r="N348" s="4">
        <v>32845</v>
      </c>
      <c r="O348" s="4">
        <v>164</v>
      </c>
      <c r="P348" s="4">
        <v>16163</v>
      </c>
      <c r="Q348" s="4">
        <v>30368</v>
      </c>
      <c r="R348" s="4">
        <v>5</v>
      </c>
      <c r="S348" s="3">
        <v>1910.436686</v>
      </c>
      <c r="T348" s="3">
        <f t="shared" si="32"/>
        <v>382.08733719999998</v>
      </c>
      <c r="U348" s="5">
        <f t="shared" si="36"/>
        <v>3.048780487804878E-2</v>
      </c>
      <c r="V348" s="5">
        <f t="shared" si="33"/>
        <v>4.9931496422590954E-3</v>
      </c>
      <c r="W348" s="3">
        <f t="shared" si="34"/>
        <v>11.649004182926829</v>
      </c>
      <c r="X348" s="3">
        <f t="shared" si="35"/>
        <v>58.165221068655804</v>
      </c>
      <c r="Y348" s="7">
        <f t="shared" si="37"/>
        <v>0.53223788198103261</v>
      </c>
    </row>
    <row r="349" spans="1:25" x14ac:dyDescent="0.25">
      <c r="A349" t="s">
        <v>585</v>
      </c>
      <c r="B349" t="s">
        <v>588</v>
      </c>
      <c r="C349" t="s">
        <v>603</v>
      </c>
      <c r="E349" t="s">
        <v>19</v>
      </c>
      <c r="F349" t="s">
        <v>33</v>
      </c>
      <c r="G349" t="s">
        <v>1087</v>
      </c>
      <c r="H349" t="s">
        <v>1074</v>
      </c>
      <c r="K349" t="s">
        <v>209</v>
      </c>
      <c r="L349" t="s">
        <v>25</v>
      </c>
      <c r="M349" t="s">
        <v>21</v>
      </c>
      <c r="N349" s="4">
        <v>32714</v>
      </c>
      <c r="O349" s="4">
        <v>69</v>
      </c>
      <c r="P349" s="4">
        <v>3756</v>
      </c>
      <c r="Q349" s="4">
        <v>30764</v>
      </c>
      <c r="R349" s="4">
        <v>15</v>
      </c>
      <c r="S349" s="3">
        <v>1506.6243039999999</v>
      </c>
      <c r="T349" s="3">
        <f t="shared" si="32"/>
        <v>100.44162026666666</v>
      </c>
      <c r="U349" s="5">
        <f t="shared" si="36"/>
        <v>0.21739130434782608</v>
      </c>
      <c r="V349" s="5">
        <f t="shared" si="33"/>
        <v>2.1091887265390964E-3</v>
      </c>
      <c r="W349" s="3">
        <f t="shared" si="34"/>
        <v>21.835134840579709</v>
      </c>
      <c r="X349" s="3">
        <f t="shared" si="35"/>
        <v>46.054420248211777</v>
      </c>
      <c r="Y349" s="7">
        <f t="shared" si="37"/>
        <v>0.12209075542842283</v>
      </c>
    </row>
    <row r="350" spans="1:25" x14ac:dyDescent="0.25">
      <c r="A350" t="s">
        <v>585</v>
      </c>
      <c r="B350" t="s">
        <v>140</v>
      </c>
      <c r="C350" t="s">
        <v>604</v>
      </c>
      <c r="E350" t="s">
        <v>19</v>
      </c>
      <c r="F350" t="s">
        <v>33</v>
      </c>
      <c r="G350" t="s">
        <v>1066</v>
      </c>
      <c r="H350" t="s">
        <v>1067</v>
      </c>
      <c r="K350" t="s">
        <v>249</v>
      </c>
      <c r="L350" t="s">
        <v>17</v>
      </c>
      <c r="M350" t="s">
        <v>21</v>
      </c>
      <c r="N350" s="4">
        <v>33069</v>
      </c>
      <c r="O350" s="4">
        <v>140</v>
      </c>
      <c r="P350" s="4">
        <v>17744</v>
      </c>
      <c r="Q350" s="4">
        <v>31192</v>
      </c>
      <c r="R350" s="4">
        <v>14</v>
      </c>
      <c r="S350" s="3">
        <v>1543.3106110000001</v>
      </c>
      <c r="T350" s="3">
        <f t="shared" si="32"/>
        <v>110.23647221428573</v>
      </c>
      <c r="U350" s="5">
        <f t="shared" si="36"/>
        <v>0.1</v>
      </c>
      <c r="V350" s="5">
        <f t="shared" si="33"/>
        <v>4.2335722277661858E-3</v>
      </c>
      <c r="W350" s="3">
        <f t="shared" si="34"/>
        <v>11.023647221428572</v>
      </c>
      <c r="X350" s="3">
        <f t="shared" si="35"/>
        <v>46.669406725331889</v>
      </c>
      <c r="Y350" s="7">
        <f t="shared" si="37"/>
        <v>0.56886381123364971</v>
      </c>
    </row>
    <row r="351" spans="1:25" x14ac:dyDescent="0.25">
      <c r="A351" t="s">
        <v>585</v>
      </c>
      <c r="B351" t="s">
        <v>605</v>
      </c>
      <c r="C351" t="s">
        <v>606</v>
      </c>
      <c r="E351" t="s">
        <v>19</v>
      </c>
      <c r="F351" t="s">
        <v>33</v>
      </c>
      <c r="G351" t="s">
        <v>1075</v>
      </c>
      <c r="H351" t="s">
        <v>1074</v>
      </c>
      <c r="K351" t="s">
        <v>91</v>
      </c>
      <c r="L351" t="s">
        <v>17</v>
      </c>
      <c r="M351" t="s">
        <v>21</v>
      </c>
      <c r="N351" s="4">
        <v>254780</v>
      </c>
      <c r="O351" s="4">
        <v>699</v>
      </c>
      <c r="P351" s="4">
        <v>19169</v>
      </c>
      <c r="Q351" s="4">
        <v>182583</v>
      </c>
      <c r="R351" s="4">
        <v>4</v>
      </c>
      <c r="S351" s="3">
        <v>1561.021915</v>
      </c>
      <c r="T351" s="3">
        <f t="shared" si="32"/>
        <v>390.25547875000001</v>
      </c>
      <c r="U351" s="5">
        <f t="shared" si="36"/>
        <v>5.7224606580829757E-3</v>
      </c>
      <c r="V351" s="5">
        <f t="shared" si="33"/>
        <v>2.7435434492503337E-3</v>
      </c>
      <c r="W351" s="3">
        <f t="shared" si="34"/>
        <v>2.2332216237482116</v>
      </c>
      <c r="X351" s="3">
        <f t="shared" si="35"/>
        <v>6.1269405565585995</v>
      </c>
      <c r="Y351" s="7">
        <f t="shared" si="37"/>
        <v>0.10498786853102425</v>
      </c>
    </row>
    <row r="352" spans="1:25" x14ac:dyDescent="0.25">
      <c r="A352" t="s">
        <v>585</v>
      </c>
      <c r="B352" t="s">
        <v>607</v>
      </c>
      <c r="C352" t="s">
        <v>608</v>
      </c>
      <c r="E352" t="s">
        <v>14</v>
      </c>
      <c r="F352" t="s">
        <v>33</v>
      </c>
      <c r="G352" t="s">
        <v>1062</v>
      </c>
      <c r="H352" t="s">
        <v>1063</v>
      </c>
      <c r="K352" t="s">
        <v>81</v>
      </c>
      <c r="L352" t="s">
        <v>115</v>
      </c>
      <c r="M352" t="s">
        <v>21</v>
      </c>
      <c r="N352" s="4">
        <v>15200</v>
      </c>
      <c r="O352" s="4">
        <v>60</v>
      </c>
      <c r="P352" s="4">
        <v>5375</v>
      </c>
      <c r="Q352" s="4">
        <v>12040</v>
      </c>
      <c r="R352" s="4">
        <v>4</v>
      </c>
      <c r="S352" s="3">
        <v>1970.3573449999999</v>
      </c>
      <c r="T352" s="3">
        <f t="shared" si="32"/>
        <v>492.58933624999997</v>
      </c>
      <c r="U352" s="5">
        <f t="shared" si="36"/>
        <v>6.6666666666666666E-2</v>
      </c>
      <c r="V352" s="5">
        <f t="shared" si="33"/>
        <v>3.9473684210526317E-3</v>
      </c>
      <c r="W352" s="3">
        <f t="shared" si="34"/>
        <v>32.839289083333334</v>
      </c>
      <c r="X352" s="3">
        <f t="shared" si="35"/>
        <v>129.62877269736842</v>
      </c>
      <c r="Y352" s="7">
        <f t="shared" si="37"/>
        <v>0.44642857142857145</v>
      </c>
    </row>
    <row r="353" spans="1:25" x14ac:dyDescent="0.25">
      <c r="A353" t="s">
        <v>585</v>
      </c>
      <c r="B353" t="s">
        <v>605</v>
      </c>
      <c r="C353" t="s">
        <v>609</v>
      </c>
      <c r="E353" t="s">
        <v>14</v>
      </c>
      <c r="F353" t="s">
        <v>26</v>
      </c>
      <c r="G353" t="s">
        <v>1072</v>
      </c>
      <c r="H353" t="s">
        <v>1065</v>
      </c>
      <c r="K353" t="s">
        <v>610</v>
      </c>
      <c r="L353" t="s">
        <v>17</v>
      </c>
      <c r="M353" t="s">
        <v>21</v>
      </c>
      <c r="N353" s="4">
        <v>8716</v>
      </c>
      <c r="O353" s="4">
        <v>40</v>
      </c>
      <c r="P353" s="4">
        <v>6490</v>
      </c>
      <c r="Q353" s="4">
        <v>7862</v>
      </c>
      <c r="R353" s="4">
        <v>2</v>
      </c>
      <c r="S353" s="3">
        <v>2100.8201370000002</v>
      </c>
      <c r="T353" s="3">
        <f t="shared" si="32"/>
        <v>1050.4100685000001</v>
      </c>
      <c r="U353" s="5">
        <f t="shared" si="36"/>
        <v>0.05</v>
      </c>
      <c r="V353" s="5">
        <f t="shared" si="33"/>
        <v>4.589261128958238E-3</v>
      </c>
      <c r="W353" s="3">
        <f t="shared" si="34"/>
        <v>52.520503425000001</v>
      </c>
      <c r="X353" s="3">
        <f t="shared" si="35"/>
        <v>241.0303048416705</v>
      </c>
      <c r="Y353" s="7">
        <f t="shared" si="37"/>
        <v>0.82548969727804633</v>
      </c>
    </row>
    <row r="354" spans="1:25" x14ac:dyDescent="0.25">
      <c r="A354" t="s">
        <v>585</v>
      </c>
      <c r="B354" t="s">
        <v>611</v>
      </c>
      <c r="C354" t="s">
        <v>612</v>
      </c>
      <c r="E354" t="s">
        <v>14</v>
      </c>
      <c r="F354" t="s">
        <v>15</v>
      </c>
      <c r="G354" t="s">
        <v>1062</v>
      </c>
      <c r="H354" t="s">
        <v>1063</v>
      </c>
      <c r="K354" t="s">
        <v>98</v>
      </c>
      <c r="L354" t="s">
        <v>17</v>
      </c>
      <c r="M354" t="s">
        <v>21</v>
      </c>
      <c r="N354" s="4">
        <v>88499</v>
      </c>
      <c r="O354" s="4">
        <v>186</v>
      </c>
      <c r="P354" s="4">
        <v>18950</v>
      </c>
      <c r="Q354" s="4">
        <v>71458</v>
      </c>
      <c r="R354" s="4">
        <v>5</v>
      </c>
      <c r="S354" s="3">
        <v>1803.1398119999999</v>
      </c>
      <c r="T354" s="3">
        <f t="shared" si="32"/>
        <v>360.6279624</v>
      </c>
      <c r="U354" s="5">
        <f t="shared" si="36"/>
        <v>2.6881720430107527E-2</v>
      </c>
      <c r="V354" s="5">
        <f t="shared" si="33"/>
        <v>2.1017186634877229E-3</v>
      </c>
      <c r="W354" s="3">
        <f t="shared" si="34"/>
        <v>9.6943000645161277</v>
      </c>
      <c r="X354" s="3">
        <f t="shared" si="35"/>
        <v>20.374691375043785</v>
      </c>
      <c r="Y354" s="7">
        <f t="shared" si="37"/>
        <v>0.26519074141453719</v>
      </c>
    </row>
    <row r="355" spans="1:25" x14ac:dyDescent="0.25">
      <c r="A355" t="s">
        <v>585</v>
      </c>
      <c r="B355" t="s">
        <v>201</v>
      </c>
      <c r="C355" t="s">
        <v>613</v>
      </c>
      <c r="E355" t="s">
        <v>19</v>
      </c>
      <c r="F355" t="s">
        <v>44</v>
      </c>
      <c r="G355" t="s">
        <v>1092</v>
      </c>
      <c r="H355" t="s">
        <v>1065</v>
      </c>
      <c r="K355" t="s">
        <v>81</v>
      </c>
      <c r="L355" t="s">
        <v>25</v>
      </c>
      <c r="M355" t="s">
        <v>21</v>
      </c>
      <c r="N355" s="4">
        <v>213699</v>
      </c>
      <c r="O355" s="4">
        <v>270</v>
      </c>
      <c r="P355" s="4">
        <v>18395</v>
      </c>
      <c r="Q355" s="4">
        <v>164487</v>
      </c>
      <c r="R355" s="4">
        <v>4</v>
      </c>
      <c r="S355" s="3">
        <v>2194.9871250000001</v>
      </c>
      <c r="T355" s="3">
        <f t="shared" si="32"/>
        <v>548.74678125000003</v>
      </c>
      <c r="U355" s="5">
        <f t="shared" si="36"/>
        <v>1.4814814814814815E-2</v>
      </c>
      <c r="V355" s="5">
        <f t="shared" si="33"/>
        <v>1.2634593517049683E-3</v>
      </c>
      <c r="W355" s="3">
        <f t="shared" si="34"/>
        <v>8.1295819444444444</v>
      </c>
      <c r="X355" s="3">
        <f t="shared" si="35"/>
        <v>10.271396333160192</v>
      </c>
      <c r="Y355" s="7">
        <f t="shared" si="37"/>
        <v>0.11183254603707284</v>
      </c>
    </row>
    <row r="356" spans="1:25" x14ac:dyDescent="0.25">
      <c r="A356" t="s">
        <v>585</v>
      </c>
      <c r="B356" t="s">
        <v>614</v>
      </c>
      <c r="C356" t="s">
        <v>615</v>
      </c>
      <c r="E356" t="s">
        <v>19</v>
      </c>
      <c r="F356" t="s">
        <v>33</v>
      </c>
      <c r="G356" t="s">
        <v>1070</v>
      </c>
      <c r="H356" t="s">
        <v>1071</v>
      </c>
      <c r="K356" t="s">
        <v>85</v>
      </c>
      <c r="L356" t="s">
        <v>17</v>
      </c>
      <c r="M356" t="s">
        <v>21</v>
      </c>
      <c r="N356" s="4">
        <v>85280</v>
      </c>
      <c r="O356" s="4">
        <v>211</v>
      </c>
      <c r="P356" s="4">
        <v>35860</v>
      </c>
      <c r="Q356" s="4">
        <v>79837</v>
      </c>
      <c r="R356" s="4">
        <v>5</v>
      </c>
      <c r="S356" s="3">
        <v>2217.932092</v>
      </c>
      <c r="T356" s="3">
        <f t="shared" si="32"/>
        <v>443.58641840000001</v>
      </c>
      <c r="U356" s="5">
        <f t="shared" si="36"/>
        <v>2.3696682464454975E-2</v>
      </c>
      <c r="V356" s="5">
        <f t="shared" si="33"/>
        <v>2.4742026266416509E-3</v>
      </c>
      <c r="W356" s="3">
        <f t="shared" si="34"/>
        <v>10.511526502369668</v>
      </c>
      <c r="X356" s="3">
        <f t="shared" si="35"/>
        <v>26.007646482176359</v>
      </c>
      <c r="Y356" s="7">
        <f t="shared" si="37"/>
        <v>0.44916517404211082</v>
      </c>
    </row>
    <row r="357" spans="1:25" x14ac:dyDescent="0.25">
      <c r="A357" t="s">
        <v>585</v>
      </c>
      <c r="B357" t="s">
        <v>201</v>
      </c>
      <c r="C357" t="s">
        <v>616</v>
      </c>
      <c r="E357" t="s">
        <v>19</v>
      </c>
      <c r="F357" t="s">
        <v>33</v>
      </c>
      <c r="G357" t="s">
        <v>1072</v>
      </c>
      <c r="H357" t="s">
        <v>1065</v>
      </c>
      <c r="K357" t="s">
        <v>349</v>
      </c>
      <c r="L357" t="s">
        <v>17</v>
      </c>
      <c r="M357" t="s">
        <v>21</v>
      </c>
      <c r="N357" s="4">
        <v>61474</v>
      </c>
      <c r="O357" s="4">
        <v>250</v>
      </c>
      <c r="P357" s="4">
        <v>31245</v>
      </c>
      <c r="Q357" s="4">
        <v>49089</v>
      </c>
      <c r="R357" s="4">
        <v>15</v>
      </c>
      <c r="S357" s="3">
        <v>2189.3413489999998</v>
      </c>
      <c r="T357" s="3">
        <f t="shared" si="32"/>
        <v>145.95608993333332</v>
      </c>
      <c r="U357" s="5">
        <f t="shared" si="36"/>
        <v>0.06</v>
      </c>
      <c r="V357" s="5">
        <f t="shared" si="33"/>
        <v>4.0667599310277519E-3</v>
      </c>
      <c r="W357" s="3">
        <f t="shared" si="34"/>
        <v>8.7573653959999991</v>
      </c>
      <c r="X357" s="3">
        <f t="shared" si="35"/>
        <v>35.614102693821771</v>
      </c>
      <c r="Y357" s="7">
        <f t="shared" si="37"/>
        <v>0.63649697488235657</v>
      </c>
    </row>
    <row r="358" spans="1:25" x14ac:dyDescent="0.25">
      <c r="A358" t="s">
        <v>585</v>
      </c>
      <c r="B358" t="s">
        <v>617</v>
      </c>
      <c r="C358" t="s">
        <v>618</v>
      </c>
      <c r="E358" t="s">
        <v>19</v>
      </c>
      <c r="F358" t="s">
        <v>15</v>
      </c>
      <c r="G358" t="s">
        <v>1066</v>
      </c>
      <c r="H358" t="s">
        <v>1067</v>
      </c>
      <c r="K358" t="s">
        <v>209</v>
      </c>
      <c r="L358" t="s">
        <v>17</v>
      </c>
      <c r="M358" t="s">
        <v>21</v>
      </c>
      <c r="N358" s="4">
        <v>10012</v>
      </c>
      <c r="O358" s="4">
        <v>25</v>
      </c>
      <c r="P358" s="4">
        <v>5734</v>
      </c>
      <c r="Q358" s="4">
        <v>9413</v>
      </c>
      <c r="R358" s="4">
        <v>4</v>
      </c>
      <c r="S358" s="3">
        <v>1805.9260859999999</v>
      </c>
      <c r="T358" s="3">
        <f t="shared" si="32"/>
        <v>451.48152149999999</v>
      </c>
      <c r="U358" s="5">
        <f t="shared" si="36"/>
        <v>0.16</v>
      </c>
      <c r="V358" s="5">
        <f t="shared" si="33"/>
        <v>2.4970035956851776E-3</v>
      </c>
      <c r="W358" s="3">
        <f t="shared" si="34"/>
        <v>72.237043439999994</v>
      </c>
      <c r="X358" s="3">
        <f t="shared" si="35"/>
        <v>180.37615721134637</v>
      </c>
      <c r="Y358" s="7">
        <f t="shared" si="37"/>
        <v>0.60915754807181555</v>
      </c>
    </row>
    <row r="359" spans="1:25" x14ac:dyDescent="0.25">
      <c r="A359" t="s">
        <v>585</v>
      </c>
      <c r="B359" t="s">
        <v>619</v>
      </c>
      <c r="C359" t="s">
        <v>620</v>
      </c>
      <c r="E359" t="s">
        <v>19</v>
      </c>
      <c r="F359" t="s">
        <v>15</v>
      </c>
      <c r="G359" t="s">
        <v>1094</v>
      </c>
      <c r="H359" t="s">
        <v>1095</v>
      </c>
      <c r="K359" t="s">
        <v>114</v>
      </c>
      <c r="L359" t="s">
        <v>68</v>
      </c>
      <c r="M359" t="s">
        <v>21</v>
      </c>
      <c r="N359" s="4">
        <v>16227</v>
      </c>
      <c r="O359" s="4">
        <v>40</v>
      </c>
      <c r="P359" s="4">
        <v>9438</v>
      </c>
      <c r="Q359" s="4">
        <v>15611</v>
      </c>
      <c r="R359" s="4">
        <v>3</v>
      </c>
      <c r="S359" s="3">
        <v>1991.9438399999999</v>
      </c>
      <c r="T359" s="3">
        <f t="shared" si="32"/>
        <v>663.98127999999997</v>
      </c>
      <c r="U359" s="5">
        <f t="shared" si="36"/>
        <v>7.4999999999999997E-2</v>
      </c>
      <c r="V359" s="5">
        <f t="shared" si="33"/>
        <v>2.4650274234300855E-3</v>
      </c>
      <c r="W359" s="3">
        <f t="shared" si="34"/>
        <v>49.798595999999996</v>
      </c>
      <c r="X359" s="3">
        <f t="shared" si="35"/>
        <v>122.75490478831576</v>
      </c>
      <c r="Y359" s="7">
        <f t="shared" si="37"/>
        <v>0.60457369803343797</v>
      </c>
    </row>
    <row r="360" spans="1:25" x14ac:dyDescent="0.25">
      <c r="A360" t="s">
        <v>585</v>
      </c>
      <c r="B360" t="s">
        <v>140</v>
      </c>
      <c r="C360" t="s">
        <v>621</v>
      </c>
      <c r="E360" t="s">
        <v>14</v>
      </c>
      <c r="F360" t="s">
        <v>44</v>
      </c>
      <c r="G360" t="s">
        <v>1070</v>
      </c>
      <c r="H360" t="s">
        <v>1071</v>
      </c>
      <c r="K360" t="s">
        <v>117</v>
      </c>
      <c r="L360" t="s">
        <v>17</v>
      </c>
      <c r="M360" t="s">
        <v>18</v>
      </c>
      <c r="N360" s="4">
        <v>598460</v>
      </c>
      <c r="O360" s="4">
        <v>1654</v>
      </c>
      <c r="P360" s="4">
        <v>201153</v>
      </c>
      <c r="Q360" s="4">
        <v>557263</v>
      </c>
      <c r="R360" s="4">
        <v>13</v>
      </c>
      <c r="S360" s="3">
        <v>1689.7445070000001</v>
      </c>
      <c r="T360" s="3">
        <f t="shared" si="32"/>
        <v>129.98034669230771</v>
      </c>
      <c r="U360" s="5">
        <f t="shared" si="36"/>
        <v>7.8597339782345826E-3</v>
      </c>
      <c r="V360" s="5">
        <f t="shared" si="33"/>
        <v>2.763760318149918E-3</v>
      </c>
      <c r="W360" s="3">
        <f t="shared" si="34"/>
        <v>1.0216109474002419</v>
      </c>
      <c r="X360" s="3">
        <f t="shared" si="35"/>
        <v>2.8234877970123318</v>
      </c>
      <c r="Y360" s="7">
        <f t="shared" si="37"/>
        <v>0.36096600707385917</v>
      </c>
    </row>
    <row r="361" spans="1:25" x14ac:dyDescent="0.25">
      <c r="A361" t="s">
        <v>585</v>
      </c>
      <c r="B361" t="s">
        <v>607</v>
      </c>
      <c r="C361" t="s">
        <v>622</v>
      </c>
      <c r="E361" t="s">
        <v>14</v>
      </c>
      <c r="F361" t="s">
        <v>26</v>
      </c>
      <c r="G361" t="s">
        <v>1062</v>
      </c>
      <c r="H361" t="s">
        <v>1063</v>
      </c>
      <c r="K361" t="s">
        <v>117</v>
      </c>
      <c r="L361" t="s">
        <v>89</v>
      </c>
      <c r="M361" t="s">
        <v>21</v>
      </c>
      <c r="N361" s="4">
        <v>556152</v>
      </c>
      <c r="O361" s="4">
        <v>1867</v>
      </c>
      <c r="P361" s="4">
        <v>221833</v>
      </c>
      <c r="Q361" s="4">
        <v>480882</v>
      </c>
      <c r="R361" s="4">
        <v>7</v>
      </c>
      <c r="S361" s="3">
        <v>1818.100044</v>
      </c>
      <c r="T361" s="3">
        <f t="shared" si="32"/>
        <v>259.72857771428573</v>
      </c>
      <c r="U361" s="5">
        <f t="shared" si="36"/>
        <v>3.7493304767005891E-3</v>
      </c>
      <c r="V361" s="5">
        <f t="shared" si="33"/>
        <v>3.3569959291704426E-3</v>
      </c>
      <c r="W361" s="3">
        <f t="shared" si="34"/>
        <v>0.9738082720942689</v>
      </c>
      <c r="X361" s="3">
        <f t="shared" si="35"/>
        <v>3.2690704052129633</v>
      </c>
      <c r="Y361" s="7">
        <f t="shared" si="37"/>
        <v>0.46130443643139063</v>
      </c>
    </row>
    <row r="362" spans="1:25" x14ac:dyDescent="0.25">
      <c r="A362" t="s">
        <v>585</v>
      </c>
      <c r="B362" t="s">
        <v>607</v>
      </c>
      <c r="C362" t="s">
        <v>623</v>
      </c>
      <c r="E362" t="s">
        <v>19</v>
      </c>
      <c r="F362" t="s">
        <v>15</v>
      </c>
      <c r="G362" t="s">
        <v>1078</v>
      </c>
      <c r="H362" t="s">
        <v>1065</v>
      </c>
      <c r="K362" t="s">
        <v>85</v>
      </c>
      <c r="L362" t="s">
        <v>17</v>
      </c>
      <c r="M362" t="s">
        <v>21</v>
      </c>
      <c r="N362" s="4">
        <v>104814</v>
      </c>
      <c r="O362" s="4">
        <v>369</v>
      </c>
      <c r="P362" s="4">
        <v>55984</v>
      </c>
      <c r="Q362" s="4">
        <v>99432</v>
      </c>
      <c r="R362" s="4">
        <v>5</v>
      </c>
      <c r="S362" s="3">
        <v>1942.8475129999999</v>
      </c>
      <c r="T362" s="3">
        <f t="shared" si="32"/>
        <v>388.56950259999996</v>
      </c>
      <c r="U362" s="5">
        <f t="shared" si="36"/>
        <v>1.3550135501355014E-2</v>
      </c>
      <c r="V362" s="5">
        <f t="shared" si="33"/>
        <v>3.5205220676627169E-3</v>
      </c>
      <c r="W362" s="3">
        <f t="shared" si="34"/>
        <v>5.265169411924119</v>
      </c>
      <c r="X362" s="3">
        <f t="shared" si="35"/>
        <v>18.536145104661589</v>
      </c>
      <c r="Y362" s="7">
        <f t="shared" si="37"/>
        <v>0.56303805615898306</v>
      </c>
    </row>
    <row r="363" spans="1:25" x14ac:dyDescent="0.25">
      <c r="A363" t="s">
        <v>585</v>
      </c>
      <c r="B363" t="s">
        <v>607</v>
      </c>
      <c r="C363" t="s">
        <v>624</v>
      </c>
      <c r="D363" t="s">
        <v>625</v>
      </c>
      <c r="E363" t="s">
        <v>14</v>
      </c>
      <c r="F363" t="s">
        <v>26</v>
      </c>
      <c r="G363" t="s">
        <v>1070</v>
      </c>
      <c r="H363" t="s">
        <v>1071</v>
      </c>
      <c r="K363" t="s">
        <v>626</v>
      </c>
      <c r="L363" t="s">
        <v>68</v>
      </c>
      <c r="M363" t="s">
        <v>21</v>
      </c>
      <c r="N363" s="4">
        <v>15047</v>
      </c>
      <c r="O363" s="4">
        <v>84</v>
      </c>
      <c r="P363" s="4">
        <v>5653</v>
      </c>
      <c r="Q363" s="4">
        <v>14459</v>
      </c>
      <c r="R363" s="4">
        <v>4</v>
      </c>
      <c r="S363" s="3">
        <v>2127.495962</v>
      </c>
      <c r="T363" s="3">
        <f t="shared" si="32"/>
        <v>531.87399049999999</v>
      </c>
      <c r="U363" s="5">
        <f t="shared" si="36"/>
        <v>4.7619047619047616E-2</v>
      </c>
      <c r="V363" s="5">
        <f t="shared" si="33"/>
        <v>5.5825081411577061E-3</v>
      </c>
      <c r="W363" s="3">
        <f t="shared" si="34"/>
        <v>25.32733288095238</v>
      </c>
      <c r="X363" s="3">
        <f t="shared" si="35"/>
        <v>141.39004200172792</v>
      </c>
      <c r="Y363" s="7">
        <f t="shared" si="37"/>
        <v>0.39096756345528738</v>
      </c>
    </row>
    <row r="364" spans="1:25" x14ac:dyDescent="0.25">
      <c r="A364" t="s">
        <v>585</v>
      </c>
      <c r="B364" t="s">
        <v>588</v>
      </c>
      <c r="C364" t="s">
        <v>627</v>
      </c>
      <c r="E364" t="s">
        <v>19</v>
      </c>
      <c r="F364" t="s">
        <v>33</v>
      </c>
      <c r="G364" t="s">
        <v>1079</v>
      </c>
      <c r="H364" t="s">
        <v>1080</v>
      </c>
      <c r="K364" t="s">
        <v>27</v>
      </c>
      <c r="L364" t="s">
        <v>28</v>
      </c>
      <c r="M364" t="s">
        <v>21</v>
      </c>
      <c r="N364" s="4">
        <v>16151</v>
      </c>
      <c r="O364" s="4">
        <v>54</v>
      </c>
      <c r="P364" s="4">
        <v>4360</v>
      </c>
      <c r="Q364" s="4">
        <v>11358</v>
      </c>
      <c r="R364" s="4">
        <v>3</v>
      </c>
      <c r="S364" s="3">
        <v>1706.224318</v>
      </c>
      <c r="T364" s="3">
        <f t="shared" si="32"/>
        <v>568.74143933333335</v>
      </c>
      <c r="U364" s="5">
        <f t="shared" si="36"/>
        <v>5.5555555555555552E-2</v>
      </c>
      <c r="V364" s="5">
        <f t="shared" si="33"/>
        <v>3.3434462262398614E-3</v>
      </c>
      <c r="W364" s="3">
        <f t="shared" si="34"/>
        <v>31.596746629629632</v>
      </c>
      <c r="X364" s="3">
        <f t="shared" si="35"/>
        <v>105.64202328029225</v>
      </c>
      <c r="Y364" s="7">
        <f t="shared" si="37"/>
        <v>0.38387039971826026</v>
      </c>
    </row>
    <row r="365" spans="1:25" x14ac:dyDescent="0.25">
      <c r="A365" t="s">
        <v>585</v>
      </c>
      <c r="B365" t="s">
        <v>605</v>
      </c>
      <c r="C365" t="s">
        <v>628</v>
      </c>
      <c r="E365" t="s">
        <v>14</v>
      </c>
      <c r="F365" t="s">
        <v>26</v>
      </c>
      <c r="G365" t="s">
        <v>1070</v>
      </c>
      <c r="H365" t="s">
        <v>1071</v>
      </c>
      <c r="K365" t="s">
        <v>629</v>
      </c>
      <c r="L365" t="s">
        <v>17</v>
      </c>
      <c r="M365" t="s">
        <v>29</v>
      </c>
      <c r="N365" s="4">
        <v>62040</v>
      </c>
      <c r="O365" s="4">
        <v>174</v>
      </c>
      <c r="P365" s="4">
        <v>43853</v>
      </c>
      <c r="Q365" s="4">
        <v>58642</v>
      </c>
      <c r="R365" s="4">
        <v>15</v>
      </c>
      <c r="S365" s="3">
        <v>2139.0657930000002</v>
      </c>
      <c r="T365" s="3">
        <f t="shared" si="32"/>
        <v>142.60438620000002</v>
      </c>
      <c r="U365" s="5">
        <f t="shared" si="36"/>
        <v>8.6206896551724144E-2</v>
      </c>
      <c r="V365" s="5">
        <f t="shared" si="33"/>
        <v>2.8046421663442938E-3</v>
      </c>
      <c r="W365" s="3">
        <f t="shared" si="34"/>
        <v>12.293481568965518</v>
      </c>
      <c r="X365" s="3">
        <f t="shared" si="35"/>
        <v>34.478816779497102</v>
      </c>
      <c r="Y365" s="7">
        <f t="shared" si="37"/>
        <v>0.74780873776474199</v>
      </c>
    </row>
    <row r="366" spans="1:25" x14ac:dyDescent="0.25">
      <c r="A366" t="s">
        <v>585</v>
      </c>
      <c r="B366" t="s">
        <v>588</v>
      </c>
      <c r="C366" t="s">
        <v>630</v>
      </c>
      <c r="E366" t="s">
        <v>14</v>
      </c>
      <c r="F366" t="s">
        <v>15</v>
      </c>
      <c r="G366" t="s">
        <v>1066</v>
      </c>
      <c r="H366" t="s">
        <v>1067</v>
      </c>
      <c r="K366" t="s">
        <v>631</v>
      </c>
      <c r="L366" t="s">
        <v>17</v>
      </c>
      <c r="M366" t="s">
        <v>29</v>
      </c>
      <c r="N366" s="4">
        <v>20459</v>
      </c>
      <c r="O366" s="4">
        <v>40</v>
      </c>
      <c r="P366" s="4">
        <v>12668</v>
      </c>
      <c r="Q366" s="4">
        <v>18613</v>
      </c>
      <c r="R366" s="4">
        <v>4</v>
      </c>
      <c r="S366" s="3">
        <v>1842.6065129999999</v>
      </c>
      <c r="T366" s="3">
        <f t="shared" si="32"/>
        <v>460.65162824999999</v>
      </c>
      <c r="U366" s="5">
        <f t="shared" si="36"/>
        <v>0.1</v>
      </c>
      <c r="V366" s="5">
        <f t="shared" si="33"/>
        <v>1.9551297717385991E-3</v>
      </c>
      <c r="W366" s="3">
        <f t="shared" si="34"/>
        <v>46.065162825000002</v>
      </c>
      <c r="X366" s="3">
        <f t="shared" si="35"/>
        <v>90.063371279143652</v>
      </c>
      <c r="Y366" s="7">
        <f t="shared" si="37"/>
        <v>0.68059958093805406</v>
      </c>
    </row>
    <row r="367" spans="1:25" x14ac:dyDescent="0.25">
      <c r="A367" t="s">
        <v>632</v>
      </c>
      <c r="B367" t="s">
        <v>633</v>
      </c>
      <c r="E367" t="s">
        <v>19</v>
      </c>
      <c r="F367" t="s">
        <v>26</v>
      </c>
      <c r="G367" t="s">
        <v>1081</v>
      </c>
      <c r="H367" t="s">
        <v>1080</v>
      </c>
      <c r="K367" t="s">
        <v>91</v>
      </c>
      <c r="L367" t="s">
        <v>17</v>
      </c>
      <c r="M367" t="s">
        <v>21</v>
      </c>
      <c r="N367" s="4">
        <v>96508</v>
      </c>
      <c r="O367" s="4">
        <v>351</v>
      </c>
      <c r="P367" s="4">
        <v>47065</v>
      </c>
      <c r="Q367" s="4">
        <v>73640</v>
      </c>
      <c r="R367" s="4">
        <v>15</v>
      </c>
      <c r="S367" s="3">
        <v>5310.7695720000002</v>
      </c>
      <c r="T367" s="3">
        <f t="shared" si="32"/>
        <v>354.05130480000003</v>
      </c>
      <c r="U367" s="5">
        <f t="shared" si="36"/>
        <v>4.2735042735042736E-2</v>
      </c>
      <c r="V367" s="5">
        <f t="shared" si="33"/>
        <v>3.6370041861814566E-3</v>
      </c>
      <c r="W367" s="3">
        <f t="shared" si="34"/>
        <v>15.130397641025642</v>
      </c>
      <c r="X367" s="3">
        <f t="shared" si="35"/>
        <v>55.029319559000292</v>
      </c>
      <c r="Y367" s="7">
        <f t="shared" si="37"/>
        <v>0.6391227593699077</v>
      </c>
    </row>
    <row r="368" spans="1:25" x14ac:dyDescent="0.25">
      <c r="A368" t="s">
        <v>632</v>
      </c>
      <c r="B368" t="s">
        <v>634</v>
      </c>
      <c r="E368" t="s">
        <v>14</v>
      </c>
      <c r="F368" t="s">
        <v>33</v>
      </c>
      <c r="G368" t="s">
        <v>1066</v>
      </c>
      <c r="H368" t="s">
        <v>1067</v>
      </c>
      <c r="K368" t="s">
        <v>85</v>
      </c>
      <c r="L368" t="s">
        <v>25</v>
      </c>
      <c r="M368" t="s">
        <v>29</v>
      </c>
      <c r="N368" s="4">
        <v>109372</v>
      </c>
      <c r="O368" s="4">
        <v>364</v>
      </c>
      <c r="P368" s="4">
        <v>58336</v>
      </c>
      <c r="Q368" s="4">
        <v>103569</v>
      </c>
      <c r="R368" s="4">
        <v>21</v>
      </c>
      <c r="S368" s="3">
        <v>6928.0062019999996</v>
      </c>
      <c r="T368" s="3">
        <f t="shared" si="32"/>
        <v>329.9050572380952</v>
      </c>
      <c r="U368" s="5">
        <f t="shared" si="36"/>
        <v>5.7692307692307696E-2</v>
      </c>
      <c r="V368" s="5">
        <f t="shared" si="33"/>
        <v>3.3280912847895258E-3</v>
      </c>
      <c r="W368" s="3">
        <f t="shared" si="34"/>
        <v>19.032984071428569</v>
      </c>
      <c r="X368" s="3">
        <f t="shared" si="35"/>
        <v>63.343508411659286</v>
      </c>
      <c r="Y368" s="7">
        <f t="shared" si="37"/>
        <v>0.56325734534464944</v>
      </c>
    </row>
    <row r="369" spans="1:25" x14ac:dyDescent="0.25">
      <c r="A369" t="s">
        <v>632</v>
      </c>
      <c r="B369" t="s">
        <v>635</v>
      </c>
      <c r="E369" t="s">
        <v>19</v>
      </c>
      <c r="F369" t="s">
        <v>15</v>
      </c>
      <c r="G369" t="s">
        <v>1078</v>
      </c>
      <c r="H369" t="s">
        <v>1065</v>
      </c>
      <c r="K369" t="s">
        <v>85</v>
      </c>
      <c r="L369" t="s">
        <v>28</v>
      </c>
      <c r="M369" t="s">
        <v>21</v>
      </c>
      <c r="N369" s="4">
        <v>14581</v>
      </c>
      <c r="O369" s="4">
        <v>45</v>
      </c>
      <c r="P369" s="4">
        <v>3821</v>
      </c>
      <c r="Q369" s="4">
        <v>12741</v>
      </c>
      <c r="R369" s="4">
        <v>6</v>
      </c>
      <c r="S369" s="3">
        <v>5296.9700910000001</v>
      </c>
      <c r="T369" s="3">
        <f t="shared" si="32"/>
        <v>882.82834850000006</v>
      </c>
      <c r="U369" s="5">
        <f t="shared" si="36"/>
        <v>0.13333333333333333</v>
      </c>
      <c r="V369" s="5">
        <f t="shared" si="33"/>
        <v>3.0862080790069269E-3</v>
      </c>
      <c r="W369" s="3">
        <f t="shared" si="34"/>
        <v>117.71044646666667</v>
      </c>
      <c r="X369" s="3">
        <f t="shared" si="35"/>
        <v>363.27893086893903</v>
      </c>
      <c r="Y369" s="7">
        <f t="shared" si="37"/>
        <v>0.29989796719252804</v>
      </c>
    </row>
    <row r="370" spans="1:25" x14ac:dyDescent="0.25">
      <c r="A370" t="s">
        <v>632</v>
      </c>
      <c r="B370" t="s">
        <v>636</v>
      </c>
      <c r="E370" t="s">
        <v>19</v>
      </c>
      <c r="F370" t="s">
        <v>44</v>
      </c>
      <c r="G370" t="s">
        <v>1073</v>
      </c>
      <c r="H370" t="s">
        <v>1074</v>
      </c>
      <c r="K370" t="s">
        <v>249</v>
      </c>
      <c r="L370" t="s">
        <v>17</v>
      </c>
      <c r="M370" t="s">
        <v>21</v>
      </c>
      <c r="N370" s="4">
        <v>15326</v>
      </c>
      <c r="O370" s="4">
        <v>68</v>
      </c>
      <c r="P370" s="4">
        <v>7941</v>
      </c>
      <c r="Q370" s="4">
        <v>14331</v>
      </c>
      <c r="R370" s="4">
        <v>8</v>
      </c>
      <c r="S370" s="3">
        <v>6943.5158240000001</v>
      </c>
      <c r="T370" s="3">
        <f t="shared" si="32"/>
        <v>867.93947800000001</v>
      </c>
      <c r="U370" s="5">
        <f t="shared" si="36"/>
        <v>0.11764705882352941</v>
      </c>
      <c r="V370" s="5">
        <f t="shared" si="33"/>
        <v>4.436904606550959E-3</v>
      </c>
      <c r="W370" s="3">
        <f t="shared" si="34"/>
        <v>102.11052682352941</v>
      </c>
      <c r="X370" s="3">
        <f t="shared" si="35"/>
        <v>453.05466684066295</v>
      </c>
      <c r="Y370" s="7">
        <f t="shared" si="37"/>
        <v>0.55411346033075148</v>
      </c>
    </row>
    <row r="371" spans="1:25" x14ac:dyDescent="0.25">
      <c r="A371" t="s">
        <v>632</v>
      </c>
      <c r="B371" t="s">
        <v>637</v>
      </c>
      <c r="E371" t="s">
        <v>14</v>
      </c>
      <c r="F371" t="s">
        <v>26</v>
      </c>
      <c r="G371" t="s">
        <v>1070</v>
      </c>
      <c r="H371" t="s">
        <v>1071</v>
      </c>
      <c r="K371" t="s">
        <v>91</v>
      </c>
      <c r="L371" t="s">
        <v>89</v>
      </c>
      <c r="M371" t="s">
        <v>29</v>
      </c>
      <c r="N371" s="4">
        <v>26439</v>
      </c>
      <c r="O371" s="4">
        <v>95</v>
      </c>
      <c r="P371" s="4">
        <v>7093</v>
      </c>
      <c r="Q371" s="4">
        <v>19681</v>
      </c>
      <c r="R371" s="4">
        <v>7</v>
      </c>
      <c r="S371" s="3">
        <v>5330.7819689999997</v>
      </c>
      <c r="T371" s="3">
        <f t="shared" si="32"/>
        <v>761.54028128571429</v>
      </c>
      <c r="U371" s="5">
        <f t="shared" si="36"/>
        <v>7.3684210526315783E-2</v>
      </c>
      <c r="V371" s="5">
        <f t="shared" si="33"/>
        <v>3.5931767464730132E-3</v>
      </c>
      <c r="W371" s="3">
        <f t="shared" si="34"/>
        <v>56.113494410526314</v>
      </c>
      <c r="X371" s="3">
        <f t="shared" si="35"/>
        <v>201.62570327924655</v>
      </c>
      <c r="Y371" s="7">
        <f t="shared" si="37"/>
        <v>0.36039835374218787</v>
      </c>
    </row>
    <row r="372" spans="1:25" x14ac:dyDescent="0.25">
      <c r="A372" t="s">
        <v>632</v>
      </c>
      <c r="B372" t="s">
        <v>638</v>
      </c>
      <c r="E372" t="s">
        <v>19</v>
      </c>
      <c r="F372" t="s">
        <v>15</v>
      </c>
      <c r="G372" t="s">
        <v>1078</v>
      </c>
      <c r="H372" t="s">
        <v>1065</v>
      </c>
      <c r="K372" t="s">
        <v>639</v>
      </c>
      <c r="L372" t="s">
        <v>73</v>
      </c>
      <c r="M372" t="s">
        <v>21</v>
      </c>
      <c r="N372" s="4">
        <v>14553</v>
      </c>
      <c r="O372" s="4">
        <v>47</v>
      </c>
      <c r="P372" s="4">
        <v>6119</v>
      </c>
      <c r="Q372" s="4">
        <v>12505</v>
      </c>
      <c r="R372" s="4">
        <v>11</v>
      </c>
      <c r="S372" s="3">
        <v>6968.00047</v>
      </c>
      <c r="T372" s="3">
        <f t="shared" si="32"/>
        <v>633.45458818181817</v>
      </c>
      <c r="U372" s="5">
        <f t="shared" si="36"/>
        <v>0.23404255319148937</v>
      </c>
      <c r="V372" s="5">
        <f t="shared" si="33"/>
        <v>3.2295746581460869E-3</v>
      </c>
      <c r="W372" s="3">
        <f t="shared" si="34"/>
        <v>148.25532914893617</v>
      </c>
      <c r="X372" s="3">
        <f t="shared" si="35"/>
        <v>478.8016539545111</v>
      </c>
      <c r="Y372" s="7">
        <f t="shared" si="37"/>
        <v>0.48932427029188325</v>
      </c>
    </row>
    <row r="373" spans="1:25" x14ac:dyDescent="0.25">
      <c r="A373" t="s">
        <v>640</v>
      </c>
      <c r="B373" t="s">
        <v>420</v>
      </c>
      <c r="E373" t="s">
        <v>14</v>
      </c>
      <c r="F373" t="s">
        <v>44</v>
      </c>
      <c r="G373" t="s">
        <v>1070</v>
      </c>
      <c r="H373" t="s">
        <v>1071</v>
      </c>
      <c r="K373" t="s">
        <v>215</v>
      </c>
      <c r="L373" t="s">
        <v>17</v>
      </c>
      <c r="M373" t="s">
        <v>29</v>
      </c>
      <c r="N373" s="4">
        <v>113420</v>
      </c>
      <c r="O373" s="4">
        <v>333</v>
      </c>
      <c r="P373" s="4">
        <v>33557</v>
      </c>
      <c r="Q373" s="4">
        <v>104929</v>
      </c>
      <c r="R373" s="4">
        <v>11</v>
      </c>
      <c r="S373" s="3">
        <v>5124.4359340000001</v>
      </c>
      <c r="T373" s="3">
        <f t="shared" si="32"/>
        <v>465.85781218181819</v>
      </c>
      <c r="U373" s="5">
        <f t="shared" si="36"/>
        <v>3.3033033033033031E-2</v>
      </c>
      <c r="V373" s="5">
        <f t="shared" si="33"/>
        <v>2.9359901251983776E-3</v>
      </c>
      <c r="W373" s="3">
        <f t="shared" si="34"/>
        <v>15.388696498498499</v>
      </c>
      <c r="X373" s="3">
        <f t="shared" si="35"/>
        <v>45.181060959266446</v>
      </c>
      <c r="Y373" s="7">
        <f t="shared" si="37"/>
        <v>0.31980672645312547</v>
      </c>
    </row>
    <row r="374" spans="1:25" x14ac:dyDescent="0.25">
      <c r="A374" t="s">
        <v>640</v>
      </c>
      <c r="B374" t="s">
        <v>641</v>
      </c>
      <c r="E374" t="s">
        <v>14</v>
      </c>
      <c r="F374" t="s">
        <v>33</v>
      </c>
      <c r="G374" t="s">
        <v>1072</v>
      </c>
      <c r="H374" t="s">
        <v>1065</v>
      </c>
      <c r="K374" t="s">
        <v>171</v>
      </c>
      <c r="L374" t="s">
        <v>89</v>
      </c>
      <c r="M374" t="s">
        <v>21</v>
      </c>
      <c r="N374" s="4">
        <v>21280</v>
      </c>
      <c r="O374" s="4">
        <v>70</v>
      </c>
      <c r="P374" s="4">
        <v>15309</v>
      </c>
      <c r="Q374" s="4">
        <v>20244</v>
      </c>
      <c r="R374" s="4">
        <v>6</v>
      </c>
      <c r="S374" s="3">
        <v>6837.5106020000003</v>
      </c>
      <c r="T374" s="3">
        <f t="shared" si="32"/>
        <v>1139.5851003333335</v>
      </c>
      <c r="U374" s="5">
        <f t="shared" si="36"/>
        <v>8.5714285714285715E-2</v>
      </c>
      <c r="V374" s="5">
        <f t="shared" si="33"/>
        <v>3.2894736842105261E-3</v>
      </c>
      <c r="W374" s="3">
        <f t="shared" si="34"/>
        <v>97.678722885714294</v>
      </c>
      <c r="X374" s="3">
        <f t="shared" si="35"/>
        <v>321.31158843984963</v>
      </c>
      <c r="Y374" s="7">
        <f t="shared" si="37"/>
        <v>0.75622406639004147</v>
      </c>
    </row>
    <row r="375" spans="1:25" x14ac:dyDescent="0.25">
      <c r="A375" t="s">
        <v>642</v>
      </c>
      <c r="B375" t="s">
        <v>643</v>
      </c>
      <c r="E375" t="s">
        <v>14</v>
      </c>
      <c r="F375" t="s">
        <v>33</v>
      </c>
      <c r="G375" t="s">
        <v>1070</v>
      </c>
      <c r="H375" t="s">
        <v>1071</v>
      </c>
      <c r="K375" t="s">
        <v>278</v>
      </c>
      <c r="L375" t="s">
        <v>73</v>
      </c>
      <c r="M375" t="s">
        <v>29</v>
      </c>
      <c r="N375" s="4">
        <v>18537</v>
      </c>
      <c r="O375" s="4">
        <v>95</v>
      </c>
      <c r="P375" s="4">
        <v>6473</v>
      </c>
      <c r="Q375" s="4">
        <v>17081</v>
      </c>
      <c r="R375" s="4">
        <v>4</v>
      </c>
      <c r="S375" s="3">
        <v>5206.2389679999997</v>
      </c>
      <c r="T375" s="3">
        <f t="shared" si="32"/>
        <v>1301.5597419999999</v>
      </c>
      <c r="U375" s="5">
        <f t="shared" si="36"/>
        <v>4.2105263157894736E-2</v>
      </c>
      <c r="V375" s="5">
        <f t="shared" si="33"/>
        <v>5.1248853644063229E-3</v>
      </c>
      <c r="W375" s="3">
        <f t="shared" si="34"/>
        <v>54.802515452631575</v>
      </c>
      <c r="X375" s="3">
        <f t="shared" si="35"/>
        <v>280.85660937584288</v>
      </c>
      <c r="Y375" s="7">
        <f t="shared" si="37"/>
        <v>0.37895907733739242</v>
      </c>
    </row>
    <row r="376" spans="1:25" x14ac:dyDescent="0.25">
      <c r="A376" t="s">
        <v>642</v>
      </c>
      <c r="B376" t="s">
        <v>644</v>
      </c>
      <c r="E376" t="s">
        <v>19</v>
      </c>
      <c r="F376" t="s">
        <v>15</v>
      </c>
      <c r="G376" t="s">
        <v>1093</v>
      </c>
      <c r="H376" t="s">
        <v>1090</v>
      </c>
      <c r="K376" t="s">
        <v>215</v>
      </c>
      <c r="L376" t="s">
        <v>272</v>
      </c>
      <c r="M376" t="s">
        <v>21</v>
      </c>
      <c r="N376" s="4">
        <v>43367</v>
      </c>
      <c r="O376" s="4">
        <v>111</v>
      </c>
      <c r="P376" s="4">
        <v>14306</v>
      </c>
      <c r="Q376" s="4">
        <v>39750</v>
      </c>
      <c r="R376" s="4">
        <v>12</v>
      </c>
      <c r="S376" s="3">
        <v>5214.2986929999997</v>
      </c>
      <c r="T376" s="3">
        <f t="shared" si="32"/>
        <v>434.52489108333333</v>
      </c>
      <c r="U376" s="5">
        <f t="shared" si="36"/>
        <v>0.10810810810810811</v>
      </c>
      <c r="V376" s="5">
        <f t="shared" si="33"/>
        <v>2.5595498881638111E-3</v>
      </c>
      <c r="W376" s="3">
        <f t="shared" si="34"/>
        <v>46.975663900900898</v>
      </c>
      <c r="X376" s="3">
        <f t="shared" si="35"/>
        <v>120.23655528397167</v>
      </c>
      <c r="Y376" s="7">
        <f t="shared" si="37"/>
        <v>0.35989937106918241</v>
      </c>
    </row>
    <row r="377" spans="1:25" x14ac:dyDescent="0.25">
      <c r="A377" t="s">
        <v>642</v>
      </c>
      <c r="B377" t="s">
        <v>645</v>
      </c>
      <c r="E377" t="s">
        <v>19</v>
      </c>
      <c r="F377" t="s">
        <v>26</v>
      </c>
      <c r="G377" t="s">
        <v>1070</v>
      </c>
      <c r="H377" t="s">
        <v>1071</v>
      </c>
      <c r="K377" t="s">
        <v>646</v>
      </c>
      <c r="L377" t="s">
        <v>79</v>
      </c>
      <c r="M377" t="s">
        <v>21</v>
      </c>
      <c r="N377" s="4">
        <v>9867</v>
      </c>
      <c r="O377" s="4">
        <v>30</v>
      </c>
      <c r="P377" s="4">
        <v>6867</v>
      </c>
      <c r="Q377" s="4">
        <v>9347</v>
      </c>
      <c r="R377" s="4">
        <v>12</v>
      </c>
      <c r="S377" s="3">
        <v>6839.5690860000004</v>
      </c>
      <c r="T377" s="3">
        <f t="shared" si="32"/>
        <v>569.9640905</v>
      </c>
      <c r="U377" s="5">
        <f t="shared" si="36"/>
        <v>0.4</v>
      </c>
      <c r="V377" s="5">
        <f t="shared" si="33"/>
        <v>3.0404378230465185E-3</v>
      </c>
      <c r="W377" s="3">
        <f t="shared" si="34"/>
        <v>227.98563620000002</v>
      </c>
      <c r="X377" s="3">
        <f t="shared" si="35"/>
        <v>693.17615141380361</v>
      </c>
      <c r="Y377" s="7">
        <f t="shared" si="37"/>
        <v>0.73467422702471386</v>
      </c>
    </row>
    <row r="378" spans="1:25" x14ac:dyDescent="0.25">
      <c r="A378" t="s">
        <v>642</v>
      </c>
      <c r="B378" t="s">
        <v>647</v>
      </c>
      <c r="E378" t="s">
        <v>19</v>
      </c>
      <c r="F378" t="s">
        <v>33</v>
      </c>
      <c r="G378" t="s">
        <v>1079</v>
      </c>
      <c r="H378" t="s">
        <v>1080</v>
      </c>
      <c r="K378" t="s">
        <v>648</v>
      </c>
      <c r="L378" t="s">
        <v>17</v>
      </c>
      <c r="M378" t="s">
        <v>21</v>
      </c>
      <c r="N378" s="4">
        <v>17582</v>
      </c>
      <c r="O378" s="4">
        <v>56</v>
      </c>
      <c r="P378" s="4">
        <v>9848</v>
      </c>
      <c r="Q378" s="4">
        <v>16558</v>
      </c>
      <c r="R378" s="4">
        <v>12</v>
      </c>
      <c r="S378" s="3">
        <v>6846.4479149999997</v>
      </c>
      <c r="T378" s="3">
        <f t="shared" si="32"/>
        <v>570.53732624999998</v>
      </c>
      <c r="U378" s="5">
        <f t="shared" si="36"/>
        <v>0.21428571428571427</v>
      </c>
      <c r="V378" s="5">
        <f t="shared" si="33"/>
        <v>3.1850756455465818E-3</v>
      </c>
      <c r="W378" s="3">
        <f t="shared" si="34"/>
        <v>122.25799848214285</v>
      </c>
      <c r="X378" s="3">
        <f t="shared" si="35"/>
        <v>389.40097343874413</v>
      </c>
      <c r="Y378" s="7">
        <f t="shared" si="37"/>
        <v>0.59475782099287355</v>
      </c>
    </row>
    <row r="379" spans="1:25" x14ac:dyDescent="0.25">
      <c r="A379" t="s">
        <v>649</v>
      </c>
      <c r="B379" t="s">
        <v>650</v>
      </c>
      <c r="E379" t="s">
        <v>14</v>
      </c>
      <c r="F379" t="s">
        <v>33</v>
      </c>
      <c r="G379" t="s">
        <v>1066</v>
      </c>
      <c r="H379" t="s">
        <v>1067</v>
      </c>
      <c r="K379" t="s">
        <v>117</v>
      </c>
      <c r="L379" t="s">
        <v>17</v>
      </c>
      <c r="M379" t="s">
        <v>21</v>
      </c>
      <c r="N379" s="4">
        <v>1221746</v>
      </c>
      <c r="O379" s="4">
        <v>3874</v>
      </c>
      <c r="P379" s="4">
        <v>512107</v>
      </c>
      <c r="Q379" s="4">
        <v>1088748</v>
      </c>
      <c r="R379" s="4">
        <v>19</v>
      </c>
      <c r="S379" s="3">
        <v>7483.8871870000003</v>
      </c>
      <c r="T379" s="3">
        <f t="shared" si="32"/>
        <v>393.88879931578947</v>
      </c>
      <c r="U379" s="5">
        <f t="shared" si="36"/>
        <v>4.90449148167269E-3</v>
      </c>
      <c r="V379" s="5">
        <f t="shared" si="33"/>
        <v>3.1708718506137938E-3</v>
      </c>
      <c r="W379" s="3">
        <f t="shared" si="34"/>
        <v>1.9318242609705731</v>
      </c>
      <c r="X379" s="3">
        <f t="shared" si="35"/>
        <v>6.1255671694443858</v>
      </c>
      <c r="Y379" s="7">
        <f t="shared" si="37"/>
        <v>0.47036320617810551</v>
      </c>
    </row>
    <row r="380" spans="1:25" x14ac:dyDescent="0.25">
      <c r="A380" t="s">
        <v>649</v>
      </c>
      <c r="B380" t="s">
        <v>651</v>
      </c>
      <c r="E380" t="s">
        <v>19</v>
      </c>
      <c r="F380" t="s">
        <v>15</v>
      </c>
      <c r="G380" t="s">
        <v>1073</v>
      </c>
      <c r="H380" t="s">
        <v>1074</v>
      </c>
      <c r="K380" t="s">
        <v>652</v>
      </c>
      <c r="L380" t="s">
        <v>64</v>
      </c>
      <c r="M380" t="s">
        <v>21</v>
      </c>
      <c r="N380" s="4">
        <v>11919</v>
      </c>
      <c r="O380" s="4">
        <v>69</v>
      </c>
      <c r="P380" s="4">
        <v>8100</v>
      </c>
      <c r="Q380" s="4">
        <v>11524</v>
      </c>
      <c r="R380" s="4">
        <v>2</v>
      </c>
      <c r="S380" s="3">
        <v>6350.916905</v>
      </c>
      <c r="T380" s="3">
        <f t="shared" si="32"/>
        <v>3175.4584525</v>
      </c>
      <c r="U380" s="5">
        <f t="shared" si="36"/>
        <v>2.8985507246376812E-2</v>
      </c>
      <c r="V380" s="5">
        <f t="shared" si="33"/>
        <v>5.7890762647873142E-3</v>
      </c>
      <c r="W380" s="3">
        <f t="shared" si="34"/>
        <v>92.042273985507251</v>
      </c>
      <c r="X380" s="3">
        <f t="shared" si="35"/>
        <v>532.83974368655083</v>
      </c>
      <c r="Y380" s="7">
        <f t="shared" si="37"/>
        <v>0.70288094411662616</v>
      </c>
    </row>
    <row r="381" spans="1:25" x14ac:dyDescent="0.25">
      <c r="A381" t="s">
        <v>649</v>
      </c>
      <c r="B381" t="s">
        <v>653</v>
      </c>
      <c r="E381" t="s">
        <v>19</v>
      </c>
      <c r="F381" t="s">
        <v>15</v>
      </c>
      <c r="G381" t="s">
        <v>1070</v>
      </c>
      <c r="H381" t="s">
        <v>1071</v>
      </c>
      <c r="K381" t="s">
        <v>117</v>
      </c>
      <c r="L381" t="s">
        <v>79</v>
      </c>
      <c r="M381" t="s">
        <v>21</v>
      </c>
      <c r="N381" s="4">
        <v>446774</v>
      </c>
      <c r="O381" s="4">
        <v>1245</v>
      </c>
      <c r="P381" s="4">
        <v>163786</v>
      </c>
      <c r="Q381" s="4">
        <v>374116</v>
      </c>
      <c r="R381" s="4">
        <v>12</v>
      </c>
      <c r="S381" s="3">
        <v>7248.2316119999996</v>
      </c>
      <c r="T381" s="3">
        <f t="shared" si="32"/>
        <v>604.01930099999993</v>
      </c>
      <c r="U381" s="5">
        <f t="shared" si="36"/>
        <v>9.6385542168674707E-3</v>
      </c>
      <c r="V381" s="5">
        <f t="shared" si="33"/>
        <v>2.7866438064882916E-3</v>
      </c>
      <c r="W381" s="3">
        <f t="shared" si="34"/>
        <v>5.8218727807228916</v>
      </c>
      <c r="X381" s="3">
        <f t="shared" si="35"/>
        <v>16.223485726564213</v>
      </c>
      <c r="Y381" s="7">
        <f t="shared" si="37"/>
        <v>0.43779469469362442</v>
      </c>
    </row>
    <row r="382" spans="1:25" x14ac:dyDescent="0.25">
      <c r="A382" t="s">
        <v>649</v>
      </c>
      <c r="B382" t="s">
        <v>654</v>
      </c>
      <c r="E382" t="s">
        <v>19</v>
      </c>
      <c r="F382" t="s">
        <v>26</v>
      </c>
      <c r="G382" t="s">
        <v>1062</v>
      </c>
      <c r="H382" t="s">
        <v>1063</v>
      </c>
      <c r="K382" t="s">
        <v>24</v>
      </c>
      <c r="L382" t="s">
        <v>17</v>
      </c>
      <c r="M382" t="s">
        <v>21</v>
      </c>
      <c r="N382" s="4">
        <v>1515751</v>
      </c>
      <c r="O382" s="4">
        <v>3874</v>
      </c>
      <c r="P382" s="4">
        <v>1151776</v>
      </c>
      <c r="Q382" s="4">
        <v>1396230</v>
      </c>
      <c r="R382" s="4">
        <v>49</v>
      </c>
      <c r="S382" s="3">
        <v>7850.6442440000001</v>
      </c>
      <c r="T382" s="3">
        <f t="shared" si="32"/>
        <v>160.21722946938775</v>
      </c>
      <c r="U382" s="5">
        <f t="shared" si="36"/>
        <v>1.2648425400103252E-2</v>
      </c>
      <c r="V382" s="5">
        <f t="shared" si="33"/>
        <v>2.555828760792505E-3</v>
      </c>
      <c r="W382" s="3">
        <f t="shared" si="34"/>
        <v>2.0264956747547753</v>
      </c>
      <c r="X382" s="3">
        <f t="shared" si="35"/>
        <v>5.1793759291598684</v>
      </c>
      <c r="Y382" s="7">
        <f t="shared" si="37"/>
        <v>0.82491853061458353</v>
      </c>
    </row>
    <row r="383" spans="1:25" x14ac:dyDescent="0.25">
      <c r="A383" t="s">
        <v>649</v>
      </c>
      <c r="B383" t="s">
        <v>655</v>
      </c>
      <c r="E383" t="s">
        <v>14</v>
      </c>
      <c r="F383" t="s">
        <v>15</v>
      </c>
      <c r="G383" t="s">
        <v>1079</v>
      </c>
      <c r="H383" t="s">
        <v>1080</v>
      </c>
      <c r="K383" t="s">
        <v>117</v>
      </c>
      <c r="L383" t="s">
        <v>17</v>
      </c>
      <c r="M383" t="s">
        <v>21</v>
      </c>
      <c r="N383" s="4">
        <v>310255</v>
      </c>
      <c r="O383" s="4">
        <v>970</v>
      </c>
      <c r="P383" s="4">
        <v>105054</v>
      </c>
      <c r="Q383" s="4">
        <v>260998</v>
      </c>
      <c r="R383" s="4">
        <v>14</v>
      </c>
      <c r="S383" s="3">
        <v>6057.8567220000004</v>
      </c>
      <c r="T383" s="3">
        <f t="shared" si="32"/>
        <v>432.70405157142858</v>
      </c>
      <c r="U383" s="5">
        <f t="shared" si="36"/>
        <v>1.443298969072165E-2</v>
      </c>
      <c r="V383" s="5">
        <f t="shared" si="33"/>
        <v>3.1264604921757908E-3</v>
      </c>
      <c r="W383" s="3">
        <f t="shared" si="34"/>
        <v>6.2452131154639181</v>
      </c>
      <c r="X383" s="3">
        <f t="shared" si="35"/>
        <v>19.525412070716026</v>
      </c>
      <c r="Y383" s="7">
        <f t="shared" si="37"/>
        <v>0.40250883148529876</v>
      </c>
    </row>
    <row r="384" spans="1:25" x14ac:dyDescent="0.25">
      <c r="A384" t="s">
        <v>649</v>
      </c>
      <c r="B384" t="s">
        <v>656</v>
      </c>
      <c r="E384" t="s">
        <v>19</v>
      </c>
      <c r="F384" t="s">
        <v>26</v>
      </c>
      <c r="G384" t="s">
        <v>1066</v>
      </c>
      <c r="H384" t="s">
        <v>1067</v>
      </c>
      <c r="K384" t="s">
        <v>281</v>
      </c>
      <c r="L384" t="s">
        <v>17</v>
      </c>
      <c r="M384" t="s">
        <v>21</v>
      </c>
      <c r="N384" s="4">
        <v>18081</v>
      </c>
      <c r="O384" s="4">
        <v>44</v>
      </c>
      <c r="P384" s="4">
        <v>4545</v>
      </c>
      <c r="Q384" s="4">
        <v>15617</v>
      </c>
      <c r="R384" s="4">
        <v>15</v>
      </c>
      <c r="S384" s="3">
        <v>6522.6375260000004</v>
      </c>
      <c r="T384" s="3">
        <f t="shared" si="32"/>
        <v>434.84250173333334</v>
      </c>
      <c r="U384" s="5">
        <f t="shared" si="36"/>
        <v>0.34090909090909088</v>
      </c>
      <c r="V384" s="5">
        <f t="shared" si="33"/>
        <v>2.4334937226923288E-3</v>
      </c>
      <c r="W384" s="3">
        <f t="shared" si="34"/>
        <v>148.24176195454547</v>
      </c>
      <c r="X384" s="3">
        <f t="shared" si="35"/>
        <v>360.74539715723694</v>
      </c>
      <c r="Y384" s="7">
        <f t="shared" si="37"/>
        <v>0.29102900685150795</v>
      </c>
    </row>
    <row r="385" spans="1:25" x14ac:dyDescent="0.25">
      <c r="A385" t="s">
        <v>649</v>
      </c>
      <c r="B385" t="s">
        <v>657</v>
      </c>
      <c r="E385" t="s">
        <v>19</v>
      </c>
      <c r="F385" t="s">
        <v>33</v>
      </c>
      <c r="G385" t="s">
        <v>1078</v>
      </c>
      <c r="H385" t="s">
        <v>1065</v>
      </c>
      <c r="K385" t="s">
        <v>652</v>
      </c>
      <c r="L385" t="s">
        <v>17</v>
      </c>
      <c r="M385" t="s">
        <v>21</v>
      </c>
      <c r="N385" s="4">
        <v>35163</v>
      </c>
      <c r="O385" s="4">
        <v>250</v>
      </c>
      <c r="P385" s="4">
        <v>21222</v>
      </c>
      <c r="Q385" s="4">
        <v>33671</v>
      </c>
      <c r="R385" s="4">
        <v>15</v>
      </c>
      <c r="S385" s="3">
        <v>6336.7181</v>
      </c>
      <c r="T385" s="3">
        <f t="shared" si="32"/>
        <v>422.44787333333335</v>
      </c>
      <c r="U385" s="5">
        <f t="shared" si="36"/>
        <v>0.06</v>
      </c>
      <c r="V385" s="5">
        <f t="shared" si="33"/>
        <v>7.1097460398714561E-3</v>
      </c>
      <c r="W385" s="3">
        <f t="shared" si="34"/>
        <v>25.346872399999999</v>
      </c>
      <c r="X385" s="3">
        <f t="shared" si="35"/>
        <v>180.20982566902711</v>
      </c>
      <c r="Y385" s="7">
        <f t="shared" si="37"/>
        <v>0.63027531109857149</v>
      </c>
    </row>
    <row r="386" spans="1:25" x14ac:dyDescent="0.25">
      <c r="A386" t="s">
        <v>649</v>
      </c>
      <c r="B386" t="s">
        <v>658</v>
      </c>
      <c r="E386" t="s">
        <v>14</v>
      </c>
      <c r="F386" t="s">
        <v>26</v>
      </c>
      <c r="G386" t="s">
        <v>1073</v>
      </c>
      <c r="H386" t="s">
        <v>1074</v>
      </c>
      <c r="K386" t="s">
        <v>45</v>
      </c>
      <c r="L386" t="s">
        <v>79</v>
      </c>
      <c r="M386" t="s">
        <v>21</v>
      </c>
      <c r="N386" s="4">
        <v>569171</v>
      </c>
      <c r="O386" s="4">
        <v>1354</v>
      </c>
      <c r="P386" s="4">
        <v>343050</v>
      </c>
      <c r="Q386" s="4">
        <v>541133</v>
      </c>
      <c r="R386" s="4">
        <v>78</v>
      </c>
      <c r="S386" s="3">
        <v>7129.6332869999997</v>
      </c>
      <c r="T386" s="3">
        <f t="shared" ref="T386:T449" si="38">S386/R386</f>
        <v>91.405554961538456</v>
      </c>
      <c r="U386" s="5">
        <f t="shared" si="36"/>
        <v>5.7607090103397339E-2</v>
      </c>
      <c r="V386" s="5">
        <f t="shared" ref="V386:V449" si="39">O386/N386</f>
        <v>2.3788984329841121E-3</v>
      </c>
      <c r="W386" s="3">
        <f t="shared" ref="W386:W449" si="40">S386/O386</f>
        <v>5.2656080406203838</v>
      </c>
      <c r="X386" s="3">
        <f t="shared" ref="X386:X449" si="41">(S386/N386)*1000</f>
        <v>12.52634671654037</v>
      </c>
      <c r="Y386" s="7">
        <f t="shared" si="37"/>
        <v>0.63394766166543159</v>
      </c>
    </row>
    <row r="387" spans="1:25" x14ac:dyDescent="0.25">
      <c r="A387" t="s">
        <v>649</v>
      </c>
      <c r="B387" t="s">
        <v>659</v>
      </c>
      <c r="E387" t="s">
        <v>14</v>
      </c>
      <c r="F387" t="s">
        <v>44</v>
      </c>
      <c r="G387" t="s">
        <v>1070</v>
      </c>
      <c r="H387" t="s">
        <v>1071</v>
      </c>
      <c r="K387" t="s">
        <v>557</v>
      </c>
      <c r="L387" t="s">
        <v>25</v>
      </c>
      <c r="M387" t="s">
        <v>21</v>
      </c>
      <c r="N387" s="4">
        <v>16503</v>
      </c>
      <c r="O387" s="4">
        <v>69</v>
      </c>
      <c r="P387" s="4">
        <v>8595</v>
      </c>
      <c r="Q387" s="4">
        <v>14466</v>
      </c>
      <c r="R387" s="4">
        <v>7</v>
      </c>
      <c r="S387" s="3">
        <v>5714.5238669999999</v>
      </c>
      <c r="T387" s="3">
        <f t="shared" si="38"/>
        <v>816.3605524285714</v>
      </c>
      <c r="U387" s="5">
        <f t="shared" ref="U387:U450" si="42">R387/O387</f>
        <v>0.10144927536231885</v>
      </c>
      <c r="V387" s="5">
        <f t="shared" si="39"/>
        <v>4.1810579894564623E-3</v>
      </c>
      <c r="W387" s="3">
        <f t="shared" si="40"/>
        <v>82.819186478260875</v>
      </c>
      <c r="X387" s="3">
        <f t="shared" si="41"/>
        <v>346.2718213052172</v>
      </c>
      <c r="Y387" s="7">
        <f t="shared" ref="Y387:Y450" si="43">P387/Q387</f>
        <v>0.59415180423060976</v>
      </c>
    </row>
    <row r="388" spans="1:25" x14ac:dyDescent="0.25">
      <c r="A388" t="s">
        <v>649</v>
      </c>
      <c r="B388" t="s">
        <v>660</v>
      </c>
      <c r="E388" t="s">
        <v>14</v>
      </c>
      <c r="F388" t="s">
        <v>15</v>
      </c>
      <c r="G388" t="s">
        <v>1066</v>
      </c>
      <c r="H388" t="s">
        <v>1067</v>
      </c>
      <c r="K388" t="s">
        <v>661</v>
      </c>
      <c r="L388" t="s">
        <v>89</v>
      </c>
      <c r="M388" t="s">
        <v>21</v>
      </c>
      <c r="N388" s="4">
        <v>9362</v>
      </c>
      <c r="O388" s="4">
        <v>39</v>
      </c>
      <c r="P388" s="4">
        <v>5202</v>
      </c>
      <c r="Q388" s="4">
        <v>8928</v>
      </c>
      <c r="R388" s="4">
        <v>6</v>
      </c>
      <c r="S388" s="3">
        <v>7312.492757</v>
      </c>
      <c r="T388" s="3">
        <f t="shared" si="38"/>
        <v>1218.7487928333333</v>
      </c>
      <c r="U388" s="5">
        <f t="shared" si="42"/>
        <v>0.15384615384615385</v>
      </c>
      <c r="V388" s="5">
        <f t="shared" si="39"/>
        <v>4.1657765434736172E-3</v>
      </c>
      <c r="W388" s="3">
        <f t="shared" si="40"/>
        <v>187.49981428205129</v>
      </c>
      <c r="X388" s="3">
        <f t="shared" si="41"/>
        <v>781.08232824182869</v>
      </c>
      <c r="Y388" s="7">
        <f t="shared" si="43"/>
        <v>0.58266129032258063</v>
      </c>
    </row>
    <row r="389" spans="1:25" x14ac:dyDescent="0.25">
      <c r="A389" t="s">
        <v>662</v>
      </c>
      <c r="B389" t="s">
        <v>663</v>
      </c>
      <c r="E389" t="s">
        <v>14</v>
      </c>
      <c r="F389" t="s">
        <v>44</v>
      </c>
      <c r="G389" t="s">
        <v>1070</v>
      </c>
      <c r="H389" t="s">
        <v>1071</v>
      </c>
      <c r="K389" t="s">
        <v>24</v>
      </c>
      <c r="L389" t="s">
        <v>17</v>
      </c>
      <c r="M389" t="s">
        <v>21</v>
      </c>
      <c r="N389" s="4">
        <v>554980</v>
      </c>
      <c r="O389" s="4">
        <v>1542</v>
      </c>
      <c r="P389" s="4">
        <v>323498</v>
      </c>
      <c r="Q389" s="4">
        <v>467646</v>
      </c>
      <c r="R389" s="4">
        <v>8</v>
      </c>
      <c r="S389" s="3">
        <v>1600.7695880000001</v>
      </c>
      <c r="T389" s="3">
        <f t="shared" si="38"/>
        <v>200.09619850000001</v>
      </c>
      <c r="U389" s="5">
        <f t="shared" si="42"/>
        <v>5.1880674448767832E-3</v>
      </c>
      <c r="V389" s="5">
        <f t="shared" si="39"/>
        <v>2.7784785037298643E-3</v>
      </c>
      <c r="W389" s="3">
        <f t="shared" si="40"/>
        <v>1.0381125732814527</v>
      </c>
      <c r="X389" s="3">
        <f t="shared" si="41"/>
        <v>2.8843734693142098</v>
      </c>
      <c r="Y389" s="7">
        <f t="shared" si="43"/>
        <v>0.69175829580494652</v>
      </c>
    </row>
    <row r="390" spans="1:25" x14ac:dyDescent="0.25">
      <c r="A390" t="s">
        <v>662</v>
      </c>
      <c r="B390" t="s">
        <v>664</v>
      </c>
      <c r="C390" t="s">
        <v>665</v>
      </c>
      <c r="E390" t="s">
        <v>19</v>
      </c>
      <c r="F390" t="s">
        <v>15</v>
      </c>
      <c r="G390" t="s">
        <v>1062</v>
      </c>
      <c r="H390" t="s">
        <v>1063</v>
      </c>
      <c r="K390" t="s">
        <v>652</v>
      </c>
      <c r="L390" t="s">
        <v>17</v>
      </c>
      <c r="M390" t="s">
        <v>21</v>
      </c>
      <c r="N390" s="4">
        <v>59782</v>
      </c>
      <c r="O390" s="4">
        <v>212</v>
      </c>
      <c r="P390" s="4">
        <v>28235</v>
      </c>
      <c r="Q390" s="4">
        <v>57543</v>
      </c>
      <c r="R390" s="4">
        <v>13</v>
      </c>
      <c r="S390" s="3">
        <v>1455.7035539999999</v>
      </c>
      <c r="T390" s="3">
        <f t="shared" si="38"/>
        <v>111.97719646153845</v>
      </c>
      <c r="U390" s="5">
        <f t="shared" si="42"/>
        <v>6.1320754716981132E-2</v>
      </c>
      <c r="V390" s="5">
        <f t="shared" si="39"/>
        <v>3.5462179251279651E-3</v>
      </c>
      <c r="W390" s="3">
        <f t="shared" si="40"/>
        <v>6.8665261981132071</v>
      </c>
      <c r="X390" s="3">
        <f t="shared" si="41"/>
        <v>24.350198287109833</v>
      </c>
      <c r="Y390" s="7">
        <f t="shared" si="43"/>
        <v>0.49067653754583529</v>
      </c>
    </row>
    <row r="391" spans="1:25" x14ac:dyDescent="0.25">
      <c r="A391" t="s">
        <v>662</v>
      </c>
      <c r="B391" t="s">
        <v>666</v>
      </c>
      <c r="C391" t="s">
        <v>667</v>
      </c>
      <c r="E391" t="s">
        <v>14</v>
      </c>
      <c r="F391" t="s">
        <v>15</v>
      </c>
      <c r="G391" t="s">
        <v>1073</v>
      </c>
      <c r="H391" t="s">
        <v>1074</v>
      </c>
      <c r="K391" t="s">
        <v>191</v>
      </c>
      <c r="L391" t="s">
        <v>68</v>
      </c>
      <c r="M391" t="s">
        <v>21</v>
      </c>
      <c r="N391" s="4">
        <v>19464</v>
      </c>
      <c r="O391" s="4">
        <v>68</v>
      </c>
      <c r="P391" s="4">
        <v>11814</v>
      </c>
      <c r="Q391" s="4">
        <v>17040</v>
      </c>
      <c r="R391" s="4">
        <v>9</v>
      </c>
      <c r="S391" s="3">
        <v>1540.4693500000001</v>
      </c>
      <c r="T391" s="3">
        <f t="shared" si="38"/>
        <v>171.16326111111113</v>
      </c>
      <c r="U391" s="5">
        <f t="shared" si="42"/>
        <v>0.13235294117647059</v>
      </c>
      <c r="V391" s="5">
        <f t="shared" si="39"/>
        <v>3.4936292642827787E-3</v>
      </c>
      <c r="W391" s="3">
        <f t="shared" si="40"/>
        <v>22.653961029411764</v>
      </c>
      <c r="X391" s="3">
        <f t="shared" si="41"/>
        <v>79.144541204274574</v>
      </c>
      <c r="Y391" s="7">
        <f t="shared" si="43"/>
        <v>0.6933098591549296</v>
      </c>
    </row>
    <row r="392" spans="1:25" x14ac:dyDescent="0.25">
      <c r="A392" t="s">
        <v>662</v>
      </c>
      <c r="B392" t="s">
        <v>172</v>
      </c>
      <c r="C392" t="s">
        <v>668</v>
      </c>
      <c r="E392" t="s">
        <v>14</v>
      </c>
      <c r="F392" t="s">
        <v>26</v>
      </c>
      <c r="G392" t="s">
        <v>1086</v>
      </c>
      <c r="H392" t="s">
        <v>1063</v>
      </c>
      <c r="K392" t="s">
        <v>669</v>
      </c>
      <c r="L392" t="s">
        <v>17</v>
      </c>
      <c r="M392" t="s">
        <v>21</v>
      </c>
      <c r="N392" s="4">
        <v>13464</v>
      </c>
      <c r="O392" s="4">
        <v>84</v>
      </c>
      <c r="P392" s="4">
        <v>1698</v>
      </c>
      <c r="Q392" s="4">
        <v>11234</v>
      </c>
      <c r="R392" s="4">
        <v>1</v>
      </c>
      <c r="S392" s="3">
        <v>1466.285104</v>
      </c>
      <c r="T392" s="3">
        <f t="shared" si="38"/>
        <v>1466.285104</v>
      </c>
      <c r="U392" s="5">
        <f t="shared" si="42"/>
        <v>1.1904761904761904E-2</v>
      </c>
      <c r="V392" s="5">
        <f t="shared" si="39"/>
        <v>6.2388591800356507E-3</v>
      </c>
      <c r="W392" s="3">
        <f t="shared" si="40"/>
        <v>17.455775047619049</v>
      </c>
      <c r="X392" s="3">
        <f t="shared" si="41"/>
        <v>108.90412240047534</v>
      </c>
      <c r="Y392" s="7">
        <f t="shared" si="43"/>
        <v>0.15114829980416591</v>
      </c>
    </row>
    <row r="393" spans="1:25" x14ac:dyDescent="0.25">
      <c r="A393" t="s">
        <v>662</v>
      </c>
      <c r="B393" t="s">
        <v>666</v>
      </c>
      <c r="C393" t="s">
        <v>670</v>
      </c>
      <c r="E393" t="s">
        <v>19</v>
      </c>
      <c r="F393" t="s">
        <v>33</v>
      </c>
      <c r="G393" t="s">
        <v>1075</v>
      </c>
      <c r="H393" t="s">
        <v>1074</v>
      </c>
      <c r="K393" t="s">
        <v>671</v>
      </c>
      <c r="L393" t="s">
        <v>145</v>
      </c>
      <c r="M393" t="s">
        <v>21</v>
      </c>
      <c r="N393" s="4">
        <v>9014</v>
      </c>
      <c r="O393" s="4">
        <v>26</v>
      </c>
      <c r="P393" s="4">
        <v>5054</v>
      </c>
      <c r="Q393" s="4">
        <v>7227</v>
      </c>
      <c r="R393" s="4">
        <v>4</v>
      </c>
      <c r="S393" s="3">
        <v>1539.60069</v>
      </c>
      <c r="T393" s="3">
        <f t="shared" si="38"/>
        <v>384.9001725</v>
      </c>
      <c r="U393" s="5">
        <f t="shared" si="42"/>
        <v>0.15384615384615385</v>
      </c>
      <c r="V393" s="5">
        <f t="shared" si="39"/>
        <v>2.8844020412691369E-3</v>
      </c>
      <c r="W393" s="3">
        <f t="shared" si="40"/>
        <v>59.215411153846155</v>
      </c>
      <c r="X393" s="3">
        <f t="shared" si="41"/>
        <v>170.80105280674508</v>
      </c>
      <c r="Y393" s="7">
        <f t="shared" si="43"/>
        <v>0.6993219869932199</v>
      </c>
    </row>
    <row r="394" spans="1:25" x14ac:dyDescent="0.25">
      <c r="A394" t="s">
        <v>662</v>
      </c>
      <c r="B394" t="s">
        <v>672</v>
      </c>
      <c r="C394" t="s">
        <v>672</v>
      </c>
      <c r="E394" t="s">
        <v>14</v>
      </c>
      <c r="F394" t="s">
        <v>33</v>
      </c>
      <c r="G394" t="s">
        <v>1079</v>
      </c>
      <c r="H394" t="s">
        <v>1080</v>
      </c>
      <c r="K394" t="s">
        <v>673</v>
      </c>
      <c r="L394" t="s">
        <v>25</v>
      </c>
      <c r="M394" t="s">
        <v>21</v>
      </c>
      <c r="N394" s="4">
        <v>13347</v>
      </c>
      <c r="O394" s="4">
        <v>80</v>
      </c>
      <c r="P394" s="4">
        <v>8357</v>
      </c>
      <c r="Q394" s="4">
        <v>11461</v>
      </c>
      <c r="R394" s="4">
        <v>10</v>
      </c>
      <c r="S394" s="3">
        <v>1543.6614199999999</v>
      </c>
      <c r="T394" s="3">
        <f t="shared" si="38"/>
        <v>154.366142</v>
      </c>
      <c r="U394" s="5">
        <f t="shared" si="42"/>
        <v>0.125</v>
      </c>
      <c r="V394" s="5">
        <f t="shared" si="39"/>
        <v>5.9938562972952723E-3</v>
      </c>
      <c r="W394" s="3">
        <f t="shared" si="40"/>
        <v>19.29576775</v>
      </c>
      <c r="X394" s="3">
        <f t="shared" si="41"/>
        <v>115.65605903948452</v>
      </c>
      <c r="Y394" s="7">
        <f t="shared" si="43"/>
        <v>0.7291684844254428</v>
      </c>
    </row>
    <row r="395" spans="1:25" x14ac:dyDescent="0.25">
      <c r="A395" t="s">
        <v>662</v>
      </c>
      <c r="B395" t="s">
        <v>666</v>
      </c>
      <c r="C395" t="s">
        <v>674</v>
      </c>
      <c r="E395" t="s">
        <v>19</v>
      </c>
      <c r="F395" t="s">
        <v>15</v>
      </c>
      <c r="G395" t="s">
        <v>1064</v>
      </c>
      <c r="H395" t="s">
        <v>1065</v>
      </c>
      <c r="K395" t="s">
        <v>435</v>
      </c>
      <c r="L395" t="s">
        <v>28</v>
      </c>
      <c r="M395" t="s">
        <v>21</v>
      </c>
      <c r="N395" s="4">
        <v>9040</v>
      </c>
      <c r="O395" s="4">
        <v>21</v>
      </c>
      <c r="P395" s="4">
        <v>3585</v>
      </c>
      <c r="Q395" s="4">
        <v>8450</v>
      </c>
      <c r="R395" s="4">
        <v>3</v>
      </c>
      <c r="S395" s="3">
        <v>1473.192464</v>
      </c>
      <c r="T395" s="3">
        <f t="shared" si="38"/>
        <v>491.06415466666664</v>
      </c>
      <c r="U395" s="5">
        <f t="shared" si="42"/>
        <v>0.14285714285714285</v>
      </c>
      <c r="V395" s="5">
        <f t="shared" si="39"/>
        <v>2.3230088495575221E-3</v>
      </c>
      <c r="W395" s="3">
        <f t="shared" si="40"/>
        <v>70.152022095238095</v>
      </c>
      <c r="X395" s="3">
        <f t="shared" si="41"/>
        <v>162.96376814159291</v>
      </c>
      <c r="Y395" s="7">
        <f t="shared" si="43"/>
        <v>0.42426035502958581</v>
      </c>
    </row>
    <row r="396" spans="1:25" x14ac:dyDescent="0.25">
      <c r="A396" t="s">
        <v>662</v>
      </c>
      <c r="B396" t="s">
        <v>666</v>
      </c>
      <c r="E396" t="s">
        <v>19</v>
      </c>
      <c r="F396" t="s">
        <v>15</v>
      </c>
      <c r="G396" t="s">
        <v>1098</v>
      </c>
      <c r="H396" t="s">
        <v>1074</v>
      </c>
      <c r="I396" t="s">
        <v>1099</v>
      </c>
      <c r="K396" t="s">
        <v>675</v>
      </c>
      <c r="L396" t="s">
        <v>17</v>
      </c>
      <c r="M396" t="s">
        <v>21</v>
      </c>
      <c r="N396" s="4">
        <v>13168</v>
      </c>
      <c r="O396" s="4">
        <v>84</v>
      </c>
      <c r="P396" s="4">
        <v>8527</v>
      </c>
      <c r="Q396" s="4">
        <v>12625</v>
      </c>
      <c r="R396" s="4">
        <v>4</v>
      </c>
      <c r="S396" s="3">
        <v>1639.72335</v>
      </c>
      <c r="T396" s="3">
        <f t="shared" si="38"/>
        <v>409.9308375</v>
      </c>
      <c r="U396" s="5">
        <f t="shared" si="42"/>
        <v>4.7619047619047616E-2</v>
      </c>
      <c r="V396" s="5">
        <f t="shared" si="39"/>
        <v>6.3791008505467801E-3</v>
      </c>
      <c r="W396" s="3">
        <f t="shared" si="40"/>
        <v>19.52051607142857</v>
      </c>
      <c r="X396" s="3">
        <f t="shared" si="41"/>
        <v>124.52334067436209</v>
      </c>
      <c r="Y396" s="7">
        <f t="shared" si="43"/>
        <v>0.67540594059405945</v>
      </c>
    </row>
    <row r="397" spans="1:25" x14ac:dyDescent="0.25">
      <c r="A397" t="s">
        <v>662</v>
      </c>
      <c r="B397" t="s">
        <v>666</v>
      </c>
      <c r="C397" t="s">
        <v>676</v>
      </c>
      <c r="E397" t="s">
        <v>19</v>
      </c>
      <c r="F397" t="s">
        <v>33</v>
      </c>
      <c r="G397" t="s">
        <v>1070</v>
      </c>
      <c r="H397" t="s">
        <v>1071</v>
      </c>
      <c r="K397" t="s">
        <v>677</v>
      </c>
      <c r="L397" t="s">
        <v>89</v>
      </c>
      <c r="M397" t="s">
        <v>21</v>
      </c>
      <c r="N397" s="4">
        <v>10903</v>
      </c>
      <c r="O397" s="4">
        <v>35</v>
      </c>
      <c r="P397" s="4">
        <v>3776</v>
      </c>
      <c r="Q397" s="4">
        <v>9581</v>
      </c>
      <c r="R397" s="4">
        <v>2</v>
      </c>
      <c r="S397" s="3">
        <v>1460.0097539999999</v>
      </c>
      <c r="T397" s="3">
        <f t="shared" si="38"/>
        <v>730.00487699999996</v>
      </c>
      <c r="U397" s="5">
        <f t="shared" si="42"/>
        <v>5.7142857142857141E-2</v>
      </c>
      <c r="V397" s="5">
        <f t="shared" si="39"/>
        <v>3.2101256534898654E-3</v>
      </c>
      <c r="W397" s="3">
        <f t="shared" si="40"/>
        <v>41.7145644</v>
      </c>
      <c r="X397" s="3">
        <f t="shared" si="41"/>
        <v>133.90899330459504</v>
      </c>
      <c r="Y397" s="7">
        <f t="shared" si="43"/>
        <v>0.39411334933722991</v>
      </c>
    </row>
    <row r="398" spans="1:25" x14ac:dyDescent="0.25">
      <c r="A398" t="s">
        <v>662</v>
      </c>
      <c r="B398" t="s">
        <v>678</v>
      </c>
      <c r="C398" t="s">
        <v>679</v>
      </c>
      <c r="E398" t="s">
        <v>14</v>
      </c>
      <c r="F398" t="s">
        <v>15</v>
      </c>
      <c r="G398" t="s">
        <v>1066</v>
      </c>
      <c r="H398" t="s">
        <v>1067</v>
      </c>
      <c r="K398" t="s">
        <v>42</v>
      </c>
      <c r="L398" t="s">
        <v>17</v>
      </c>
      <c r="M398" t="s">
        <v>21</v>
      </c>
      <c r="N398" s="4">
        <v>92806</v>
      </c>
      <c r="O398" s="4">
        <v>212</v>
      </c>
      <c r="P398" s="4">
        <v>67534</v>
      </c>
      <c r="Q398" s="4">
        <v>85013</v>
      </c>
      <c r="R398" s="4">
        <v>11</v>
      </c>
      <c r="S398" s="3">
        <v>1579.379602</v>
      </c>
      <c r="T398" s="3">
        <f t="shared" si="38"/>
        <v>143.57996381818182</v>
      </c>
      <c r="U398" s="5">
        <f t="shared" si="42"/>
        <v>5.1886792452830191E-2</v>
      </c>
      <c r="V398" s="5">
        <f t="shared" si="39"/>
        <v>2.2843350645432407E-3</v>
      </c>
      <c r="W398" s="3">
        <f t="shared" si="40"/>
        <v>7.4499037830188675</v>
      </c>
      <c r="X398" s="3">
        <f t="shared" si="41"/>
        <v>17.018076439023339</v>
      </c>
      <c r="Y398" s="7">
        <f t="shared" si="43"/>
        <v>0.79439615117687878</v>
      </c>
    </row>
    <row r="399" spans="1:25" x14ac:dyDescent="0.25">
      <c r="A399" t="s">
        <v>662</v>
      </c>
      <c r="B399" t="s">
        <v>678</v>
      </c>
      <c r="C399" t="s">
        <v>679</v>
      </c>
      <c r="D399" t="s">
        <v>680</v>
      </c>
      <c r="E399" t="s">
        <v>14</v>
      </c>
      <c r="F399" t="s">
        <v>33</v>
      </c>
      <c r="G399" t="s">
        <v>1062</v>
      </c>
      <c r="H399" t="s">
        <v>1063</v>
      </c>
      <c r="K399" t="s">
        <v>45</v>
      </c>
      <c r="L399" t="s">
        <v>89</v>
      </c>
      <c r="M399" t="s">
        <v>21</v>
      </c>
      <c r="N399" s="4">
        <v>13326</v>
      </c>
      <c r="O399" s="4">
        <v>98</v>
      </c>
      <c r="P399" s="4">
        <v>3568</v>
      </c>
      <c r="Q399" s="4">
        <v>11388</v>
      </c>
      <c r="R399" s="4">
        <v>2</v>
      </c>
      <c r="S399" s="3">
        <v>1442.032183</v>
      </c>
      <c r="T399" s="3">
        <f t="shared" si="38"/>
        <v>721.01609150000002</v>
      </c>
      <c r="U399" s="5">
        <f t="shared" si="42"/>
        <v>2.0408163265306121E-2</v>
      </c>
      <c r="V399" s="5">
        <f t="shared" si="39"/>
        <v>7.3540447245985293E-3</v>
      </c>
      <c r="W399" s="3">
        <f t="shared" si="40"/>
        <v>14.714614112244899</v>
      </c>
      <c r="X399" s="3">
        <f t="shared" si="41"/>
        <v>108.21193028665766</v>
      </c>
      <c r="Y399" s="7">
        <f t="shared" si="43"/>
        <v>0.31331225851773797</v>
      </c>
    </row>
    <row r="400" spans="1:25" x14ac:dyDescent="0.25">
      <c r="A400" t="s">
        <v>662</v>
      </c>
      <c r="B400" t="s">
        <v>681</v>
      </c>
      <c r="C400" t="s">
        <v>682</v>
      </c>
      <c r="E400" t="s">
        <v>14</v>
      </c>
      <c r="F400" t="s">
        <v>33</v>
      </c>
      <c r="G400" t="s">
        <v>1082</v>
      </c>
      <c r="H400" t="s">
        <v>1083</v>
      </c>
      <c r="K400" t="s">
        <v>132</v>
      </c>
      <c r="L400" t="s">
        <v>89</v>
      </c>
      <c r="M400" t="s">
        <v>21</v>
      </c>
      <c r="N400" s="4">
        <v>39705</v>
      </c>
      <c r="O400" s="4">
        <v>190</v>
      </c>
      <c r="P400" s="4">
        <v>12950</v>
      </c>
      <c r="Q400" s="4">
        <v>38030</v>
      </c>
      <c r="R400" s="4">
        <v>3</v>
      </c>
      <c r="S400" s="3">
        <v>1476.4195090000001</v>
      </c>
      <c r="T400" s="3">
        <f t="shared" si="38"/>
        <v>492.13983633333334</v>
      </c>
      <c r="U400" s="5">
        <f t="shared" si="42"/>
        <v>1.5789473684210527E-2</v>
      </c>
      <c r="V400" s="5">
        <f t="shared" si="39"/>
        <v>4.7852915249968521E-3</v>
      </c>
      <c r="W400" s="3">
        <f t="shared" si="40"/>
        <v>7.7706289947368425</v>
      </c>
      <c r="X400" s="3">
        <f t="shared" si="41"/>
        <v>37.184725072409016</v>
      </c>
      <c r="Y400" s="7">
        <f t="shared" si="43"/>
        <v>0.34052064159873785</v>
      </c>
    </row>
    <row r="401" spans="1:25" x14ac:dyDescent="0.25">
      <c r="A401" t="s">
        <v>662</v>
      </c>
      <c r="B401" t="s">
        <v>681</v>
      </c>
      <c r="E401" t="s">
        <v>19</v>
      </c>
      <c r="F401" t="s">
        <v>15</v>
      </c>
      <c r="G401" t="s">
        <v>1086</v>
      </c>
      <c r="H401" t="s">
        <v>1063</v>
      </c>
      <c r="K401" t="s">
        <v>683</v>
      </c>
      <c r="L401" t="s">
        <v>17</v>
      </c>
      <c r="M401" t="s">
        <v>21</v>
      </c>
      <c r="N401" s="4">
        <v>9059</v>
      </c>
      <c r="O401" s="4">
        <v>22</v>
      </c>
      <c r="P401" s="4">
        <v>589</v>
      </c>
      <c r="Q401" s="4">
        <v>7480</v>
      </c>
      <c r="R401" s="4">
        <v>4</v>
      </c>
      <c r="S401" s="3">
        <v>1908.5261170000001</v>
      </c>
      <c r="T401" s="3">
        <f t="shared" si="38"/>
        <v>477.13152925000003</v>
      </c>
      <c r="U401" s="5">
        <f t="shared" si="42"/>
        <v>0.18181818181818182</v>
      </c>
      <c r="V401" s="5">
        <f t="shared" si="39"/>
        <v>2.4285241196600068E-3</v>
      </c>
      <c r="W401" s="3">
        <f t="shared" si="40"/>
        <v>86.75118713636364</v>
      </c>
      <c r="X401" s="3">
        <f t="shared" si="41"/>
        <v>210.67735036979801</v>
      </c>
      <c r="Y401" s="7">
        <f t="shared" si="43"/>
        <v>7.8743315508021397E-2</v>
      </c>
    </row>
    <row r="402" spans="1:25" x14ac:dyDescent="0.25">
      <c r="A402" t="s">
        <v>662</v>
      </c>
      <c r="B402" t="s">
        <v>681</v>
      </c>
      <c r="C402" t="s">
        <v>684</v>
      </c>
      <c r="E402" t="s">
        <v>14</v>
      </c>
      <c r="F402" t="s">
        <v>26</v>
      </c>
      <c r="G402" t="s">
        <v>1104</v>
      </c>
      <c r="H402" t="s">
        <v>1080</v>
      </c>
      <c r="K402" t="s">
        <v>160</v>
      </c>
      <c r="L402" t="s">
        <v>17</v>
      </c>
      <c r="M402" t="s">
        <v>18</v>
      </c>
      <c r="N402" s="4">
        <v>16236</v>
      </c>
      <c r="O402" s="4">
        <v>50</v>
      </c>
      <c r="P402" s="4">
        <v>8669</v>
      </c>
      <c r="Q402" s="4">
        <v>15208</v>
      </c>
      <c r="R402" s="4">
        <v>11</v>
      </c>
      <c r="S402" s="3">
        <v>1639.8136959999999</v>
      </c>
      <c r="T402" s="3">
        <f t="shared" si="38"/>
        <v>149.07397236363636</v>
      </c>
      <c r="U402" s="5">
        <f t="shared" si="42"/>
        <v>0.22</v>
      </c>
      <c r="V402" s="5">
        <f t="shared" si="39"/>
        <v>3.0795762503079576E-3</v>
      </c>
      <c r="W402" s="3">
        <f t="shared" si="40"/>
        <v>32.796273919999997</v>
      </c>
      <c r="X402" s="3">
        <f t="shared" si="41"/>
        <v>100.99862626262626</v>
      </c>
      <c r="Y402" s="7">
        <f t="shared" si="43"/>
        <v>0.57002893214097838</v>
      </c>
    </row>
    <row r="403" spans="1:25" x14ac:dyDescent="0.25">
      <c r="A403" t="s">
        <v>662</v>
      </c>
      <c r="B403" t="s">
        <v>172</v>
      </c>
      <c r="C403" t="s">
        <v>685</v>
      </c>
      <c r="E403" t="s">
        <v>14</v>
      </c>
      <c r="F403" t="s">
        <v>44</v>
      </c>
      <c r="G403" t="s">
        <v>1085</v>
      </c>
      <c r="H403" t="s">
        <v>1065</v>
      </c>
      <c r="K403" t="s">
        <v>301</v>
      </c>
      <c r="L403" t="s">
        <v>17</v>
      </c>
      <c r="M403" t="s">
        <v>18</v>
      </c>
      <c r="N403" s="4">
        <v>16719</v>
      </c>
      <c r="O403" s="4">
        <v>35</v>
      </c>
      <c r="P403" s="4">
        <v>9944</v>
      </c>
      <c r="Q403" s="4">
        <v>15714</v>
      </c>
      <c r="R403" s="4">
        <v>13</v>
      </c>
      <c r="S403" s="3">
        <v>1588.6475</v>
      </c>
      <c r="T403" s="3">
        <f t="shared" si="38"/>
        <v>122.20365384615386</v>
      </c>
      <c r="U403" s="5">
        <f t="shared" si="42"/>
        <v>0.37142857142857144</v>
      </c>
      <c r="V403" s="5">
        <f t="shared" si="39"/>
        <v>2.0934266403493033E-3</v>
      </c>
      <c r="W403" s="3">
        <f t="shared" si="40"/>
        <v>45.38992857142857</v>
      </c>
      <c r="X403" s="3">
        <f t="shared" si="41"/>
        <v>95.020485674980563</v>
      </c>
      <c r="Y403" s="7">
        <f t="shared" si="43"/>
        <v>0.63281150566373934</v>
      </c>
    </row>
    <row r="404" spans="1:25" x14ac:dyDescent="0.25">
      <c r="A404" t="s">
        <v>662</v>
      </c>
      <c r="B404" t="s">
        <v>172</v>
      </c>
      <c r="C404" t="s">
        <v>686</v>
      </c>
      <c r="E404" t="s">
        <v>14</v>
      </c>
      <c r="F404" t="s">
        <v>44</v>
      </c>
      <c r="G404" t="s">
        <v>1086</v>
      </c>
      <c r="H404" t="s">
        <v>1063</v>
      </c>
      <c r="K404" t="s">
        <v>449</v>
      </c>
      <c r="L404" t="s">
        <v>28</v>
      </c>
      <c r="M404" t="s">
        <v>18</v>
      </c>
      <c r="N404" s="4">
        <v>81486</v>
      </c>
      <c r="O404" s="4">
        <v>193</v>
      </c>
      <c r="P404" s="4">
        <v>57653</v>
      </c>
      <c r="Q404" s="4">
        <v>76803</v>
      </c>
      <c r="R404" s="4">
        <v>6</v>
      </c>
      <c r="S404" s="3">
        <v>1463.8428739999999</v>
      </c>
      <c r="T404" s="3">
        <f t="shared" si="38"/>
        <v>243.97381233333331</v>
      </c>
      <c r="U404" s="5">
        <f t="shared" si="42"/>
        <v>3.1088082901554404E-2</v>
      </c>
      <c r="V404" s="5">
        <f t="shared" si="39"/>
        <v>2.3685050192671134E-3</v>
      </c>
      <c r="W404" s="3">
        <f t="shared" si="40"/>
        <v>7.5846781036269428</v>
      </c>
      <c r="X404" s="3">
        <f t="shared" si="41"/>
        <v>17.964348157965784</v>
      </c>
      <c r="Y404" s="7">
        <f t="shared" si="43"/>
        <v>0.75066078147989013</v>
      </c>
    </row>
    <row r="405" spans="1:25" x14ac:dyDescent="0.25">
      <c r="A405" t="s">
        <v>662</v>
      </c>
      <c r="B405" t="s">
        <v>664</v>
      </c>
      <c r="C405" t="s">
        <v>687</v>
      </c>
      <c r="E405" t="s">
        <v>14</v>
      </c>
      <c r="F405" t="s">
        <v>44</v>
      </c>
      <c r="G405" t="s">
        <v>1066</v>
      </c>
      <c r="H405" t="s">
        <v>1067</v>
      </c>
      <c r="K405" t="s">
        <v>688</v>
      </c>
      <c r="L405" t="s">
        <v>115</v>
      </c>
      <c r="M405" t="s">
        <v>21</v>
      </c>
      <c r="N405" s="4">
        <v>13382</v>
      </c>
      <c r="O405" s="4">
        <v>68</v>
      </c>
      <c r="P405" s="4">
        <v>3340</v>
      </c>
      <c r="Q405" s="4">
        <v>11662</v>
      </c>
      <c r="R405" s="4">
        <v>1</v>
      </c>
      <c r="S405" s="3">
        <v>1447.927193</v>
      </c>
      <c r="T405" s="3">
        <f t="shared" si="38"/>
        <v>1447.927193</v>
      </c>
      <c r="U405" s="5">
        <f t="shared" si="42"/>
        <v>1.4705882352941176E-2</v>
      </c>
      <c r="V405" s="5">
        <f t="shared" si="39"/>
        <v>5.0814526976535645E-3</v>
      </c>
      <c r="W405" s="3">
        <f t="shared" si="40"/>
        <v>21.293046955882353</v>
      </c>
      <c r="X405" s="3">
        <f t="shared" si="41"/>
        <v>108.19961089523241</v>
      </c>
      <c r="Y405" s="7">
        <f t="shared" si="43"/>
        <v>0.2864002743954725</v>
      </c>
    </row>
    <row r="406" spans="1:25" x14ac:dyDescent="0.25">
      <c r="A406" t="s">
        <v>662</v>
      </c>
      <c r="B406" t="s">
        <v>172</v>
      </c>
      <c r="C406" t="s">
        <v>689</v>
      </c>
      <c r="E406" t="s">
        <v>19</v>
      </c>
      <c r="F406" t="s">
        <v>44</v>
      </c>
      <c r="G406" t="s">
        <v>1128</v>
      </c>
      <c r="H406" t="s">
        <v>1119</v>
      </c>
      <c r="K406" t="s">
        <v>91</v>
      </c>
      <c r="L406" t="s">
        <v>17</v>
      </c>
      <c r="M406" t="s">
        <v>21</v>
      </c>
      <c r="N406" s="4">
        <v>36543</v>
      </c>
      <c r="O406" s="4">
        <v>147</v>
      </c>
      <c r="P406" s="4">
        <v>18046</v>
      </c>
      <c r="Q406" s="4">
        <v>27358</v>
      </c>
      <c r="R406" s="4">
        <v>6</v>
      </c>
      <c r="S406" s="3">
        <v>1513.0887279999999</v>
      </c>
      <c r="T406" s="3">
        <f t="shared" si="38"/>
        <v>252.18145466666667</v>
      </c>
      <c r="U406" s="5">
        <f t="shared" si="42"/>
        <v>4.0816326530612242E-2</v>
      </c>
      <c r="V406" s="5">
        <f t="shared" si="39"/>
        <v>4.022658238239882E-3</v>
      </c>
      <c r="W406" s="3">
        <f t="shared" si="40"/>
        <v>10.293120598639456</v>
      </c>
      <c r="X406" s="3">
        <f t="shared" si="41"/>
        <v>41.405706373313627</v>
      </c>
      <c r="Y406" s="7">
        <f t="shared" si="43"/>
        <v>0.65962424153812416</v>
      </c>
    </row>
    <row r="407" spans="1:25" x14ac:dyDescent="0.25">
      <c r="A407" t="s">
        <v>690</v>
      </c>
      <c r="E407" t="s">
        <v>19</v>
      </c>
      <c r="F407" t="s">
        <v>44</v>
      </c>
      <c r="G407" t="s">
        <v>1066</v>
      </c>
      <c r="H407" t="s">
        <v>1067</v>
      </c>
      <c r="K407" t="s">
        <v>691</v>
      </c>
      <c r="L407" t="s">
        <v>89</v>
      </c>
      <c r="M407" t="s">
        <v>21</v>
      </c>
      <c r="N407" s="4">
        <v>16137</v>
      </c>
      <c r="O407" s="4">
        <v>40</v>
      </c>
      <c r="P407" s="4">
        <v>7938</v>
      </c>
      <c r="Q407" s="4">
        <v>14030</v>
      </c>
      <c r="R407" s="4">
        <v>4</v>
      </c>
      <c r="S407" s="3">
        <v>1835.048738</v>
      </c>
      <c r="T407" s="3">
        <f t="shared" si="38"/>
        <v>458.76218449999999</v>
      </c>
      <c r="U407" s="5">
        <f t="shared" si="42"/>
        <v>0.1</v>
      </c>
      <c r="V407" s="5">
        <f t="shared" si="39"/>
        <v>2.4787754849104541E-3</v>
      </c>
      <c r="W407" s="3">
        <f t="shared" si="40"/>
        <v>45.876218449999996</v>
      </c>
      <c r="X407" s="3">
        <f t="shared" si="41"/>
        <v>113.71684563425667</v>
      </c>
      <c r="Y407" s="7">
        <f t="shared" si="43"/>
        <v>0.56578759800427658</v>
      </c>
    </row>
    <row r="408" spans="1:25" x14ac:dyDescent="0.25">
      <c r="A408" t="s">
        <v>692</v>
      </c>
      <c r="E408" t="s">
        <v>19</v>
      </c>
      <c r="F408" t="s">
        <v>15</v>
      </c>
      <c r="G408" t="s">
        <v>1066</v>
      </c>
      <c r="H408" t="s">
        <v>1067</v>
      </c>
      <c r="K408" t="s">
        <v>91</v>
      </c>
      <c r="L408" t="s">
        <v>17</v>
      </c>
      <c r="M408" t="s">
        <v>21</v>
      </c>
      <c r="N408" s="4">
        <v>78433</v>
      </c>
      <c r="O408" s="4">
        <v>204</v>
      </c>
      <c r="P408" s="4">
        <v>24067</v>
      </c>
      <c r="Q408" s="4">
        <v>58308</v>
      </c>
      <c r="R408" s="4">
        <v>16</v>
      </c>
      <c r="S408" s="3">
        <v>1612.5493269999999</v>
      </c>
      <c r="T408" s="3">
        <f t="shared" si="38"/>
        <v>100.7843329375</v>
      </c>
      <c r="U408" s="5">
        <f t="shared" si="42"/>
        <v>7.8431372549019607E-2</v>
      </c>
      <c r="V408" s="5">
        <f t="shared" si="39"/>
        <v>2.6009460303698696E-3</v>
      </c>
      <c r="W408" s="3">
        <f t="shared" si="40"/>
        <v>7.90465356372549</v>
      </c>
      <c r="X408" s="3">
        <f t="shared" si="41"/>
        <v>20.559577308020859</v>
      </c>
      <c r="Y408" s="7">
        <f t="shared" si="43"/>
        <v>0.41275639706386774</v>
      </c>
    </row>
    <row r="409" spans="1:25" x14ac:dyDescent="0.25">
      <c r="A409" t="s">
        <v>693</v>
      </c>
      <c r="E409" t="s">
        <v>14</v>
      </c>
      <c r="F409" t="s">
        <v>26</v>
      </c>
      <c r="G409" t="s">
        <v>1062</v>
      </c>
      <c r="H409" t="s">
        <v>1063</v>
      </c>
      <c r="K409" t="s">
        <v>694</v>
      </c>
      <c r="L409" t="s">
        <v>145</v>
      </c>
      <c r="M409" t="s">
        <v>21</v>
      </c>
      <c r="N409" s="4">
        <v>9149</v>
      </c>
      <c r="O409" s="4">
        <v>40</v>
      </c>
      <c r="P409" s="4">
        <v>4568</v>
      </c>
      <c r="Q409" s="4">
        <v>8648</v>
      </c>
      <c r="R409" s="4">
        <v>4</v>
      </c>
      <c r="S409" s="3">
        <v>1758.0983650000001</v>
      </c>
      <c r="T409" s="3">
        <f t="shared" si="38"/>
        <v>439.52459125000001</v>
      </c>
      <c r="U409" s="5">
        <f t="shared" si="42"/>
        <v>0.1</v>
      </c>
      <c r="V409" s="5">
        <f t="shared" si="39"/>
        <v>4.3720625204940432E-3</v>
      </c>
      <c r="W409" s="3">
        <f t="shared" si="40"/>
        <v>43.952459125000004</v>
      </c>
      <c r="X409" s="3">
        <f t="shared" si="41"/>
        <v>192.1628992239589</v>
      </c>
      <c r="Y409" s="7">
        <f t="shared" si="43"/>
        <v>0.52821461609620723</v>
      </c>
    </row>
    <row r="410" spans="1:25" x14ac:dyDescent="0.25">
      <c r="A410" t="s">
        <v>693</v>
      </c>
      <c r="B410" t="s">
        <v>695</v>
      </c>
      <c r="C410" t="s">
        <v>696</v>
      </c>
      <c r="E410" t="s">
        <v>19</v>
      </c>
      <c r="F410" t="s">
        <v>44</v>
      </c>
      <c r="G410" t="s">
        <v>1062</v>
      </c>
      <c r="H410" t="s">
        <v>1063</v>
      </c>
      <c r="K410" t="s">
        <v>697</v>
      </c>
      <c r="L410" t="s">
        <v>73</v>
      </c>
      <c r="M410" t="s">
        <v>21</v>
      </c>
      <c r="N410" s="4">
        <v>21737</v>
      </c>
      <c r="O410" s="4">
        <v>80</v>
      </c>
      <c r="P410" s="4">
        <v>11206</v>
      </c>
      <c r="Q410" s="4">
        <v>19459</v>
      </c>
      <c r="R410" s="4">
        <v>4</v>
      </c>
      <c r="S410" s="3">
        <v>1521.576648</v>
      </c>
      <c r="T410" s="3">
        <f t="shared" si="38"/>
        <v>380.39416199999999</v>
      </c>
      <c r="U410" s="5">
        <f t="shared" si="42"/>
        <v>0.05</v>
      </c>
      <c r="V410" s="5">
        <f t="shared" si="39"/>
        <v>3.6803606753461841E-3</v>
      </c>
      <c r="W410" s="3">
        <f t="shared" si="40"/>
        <v>19.019708099999999</v>
      </c>
      <c r="X410" s="3">
        <f t="shared" si="41"/>
        <v>69.999385747803288</v>
      </c>
      <c r="Y410" s="7">
        <f t="shared" si="43"/>
        <v>0.57587748599619715</v>
      </c>
    </row>
    <row r="411" spans="1:25" x14ac:dyDescent="0.25">
      <c r="A411" t="s">
        <v>346</v>
      </c>
      <c r="B411" t="s">
        <v>698</v>
      </c>
      <c r="E411" t="s">
        <v>14</v>
      </c>
      <c r="F411" t="s">
        <v>44</v>
      </c>
      <c r="G411" t="s">
        <v>1062</v>
      </c>
      <c r="H411" t="s">
        <v>1063</v>
      </c>
      <c r="K411" t="s">
        <v>229</v>
      </c>
      <c r="L411" t="s">
        <v>17</v>
      </c>
      <c r="M411" t="s">
        <v>21</v>
      </c>
      <c r="N411" s="4">
        <v>183208</v>
      </c>
      <c r="O411" s="4">
        <v>620</v>
      </c>
      <c r="P411" s="4">
        <v>131164</v>
      </c>
      <c r="Q411" s="4">
        <v>177952</v>
      </c>
      <c r="R411" s="4">
        <v>43</v>
      </c>
      <c r="S411" s="3">
        <v>2682.4366230000001</v>
      </c>
      <c r="T411" s="3">
        <f t="shared" si="38"/>
        <v>62.38224704651163</v>
      </c>
      <c r="U411" s="5">
        <f t="shared" si="42"/>
        <v>6.9354838709677416E-2</v>
      </c>
      <c r="V411" s="5">
        <f t="shared" si="39"/>
        <v>3.3841316973057946E-3</v>
      </c>
      <c r="W411" s="3">
        <f t="shared" si="40"/>
        <v>4.326510682258065</v>
      </c>
      <c r="X411" s="3">
        <f t="shared" si="41"/>
        <v>14.641481938561636</v>
      </c>
      <c r="Y411" s="7">
        <f t="shared" si="43"/>
        <v>0.73707516633698977</v>
      </c>
    </row>
    <row r="412" spans="1:25" x14ac:dyDescent="0.25">
      <c r="A412" t="s">
        <v>346</v>
      </c>
      <c r="B412" t="s">
        <v>699</v>
      </c>
      <c r="C412" t="s">
        <v>700</v>
      </c>
      <c r="D412" t="s">
        <v>1129</v>
      </c>
      <c r="E412" t="s">
        <v>19</v>
      </c>
      <c r="F412" t="s">
        <v>26</v>
      </c>
      <c r="G412" t="s">
        <v>1118</v>
      </c>
      <c r="H412" t="s">
        <v>1119</v>
      </c>
      <c r="K412" t="s">
        <v>167</v>
      </c>
      <c r="L412" t="s">
        <v>17</v>
      </c>
      <c r="M412" t="s">
        <v>21</v>
      </c>
      <c r="N412" s="4">
        <v>21229</v>
      </c>
      <c r="O412" s="4">
        <v>80</v>
      </c>
      <c r="P412" s="4">
        <v>18073</v>
      </c>
      <c r="Q412" s="4">
        <v>19655</v>
      </c>
      <c r="R412" s="4">
        <v>10</v>
      </c>
      <c r="S412" s="3">
        <v>1550.0766550000001</v>
      </c>
      <c r="T412" s="3">
        <f t="shared" si="38"/>
        <v>155.0076655</v>
      </c>
      <c r="U412" s="5">
        <f t="shared" si="42"/>
        <v>0.125</v>
      </c>
      <c r="V412" s="5">
        <f t="shared" si="39"/>
        <v>3.7684299778604738E-3</v>
      </c>
      <c r="W412" s="3">
        <f t="shared" si="40"/>
        <v>19.3759581875</v>
      </c>
      <c r="X412" s="3">
        <f t="shared" si="41"/>
        <v>73.016941683546094</v>
      </c>
      <c r="Y412" s="7">
        <f t="shared" si="43"/>
        <v>0.91951157466293565</v>
      </c>
    </row>
    <row r="413" spans="1:25" x14ac:dyDescent="0.25">
      <c r="A413" t="s">
        <v>346</v>
      </c>
      <c r="B413" t="s">
        <v>699</v>
      </c>
      <c r="C413" t="s">
        <v>700</v>
      </c>
      <c r="D413" t="s">
        <v>1130</v>
      </c>
      <c r="E413" t="s">
        <v>14</v>
      </c>
      <c r="F413" t="s">
        <v>15</v>
      </c>
      <c r="G413" t="s">
        <v>1082</v>
      </c>
      <c r="H413" t="s">
        <v>1083</v>
      </c>
      <c r="K413" t="s">
        <v>610</v>
      </c>
      <c r="L413" t="s">
        <v>73</v>
      </c>
      <c r="M413" t="s">
        <v>21</v>
      </c>
      <c r="N413" s="4">
        <v>11062</v>
      </c>
      <c r="O413" s="4">
        <v>78</v>
      </c>
      <c r="P413" s="4">
        <v>6539</v>
      </c>
      <c r="Q413" s="4">
        <v>9391</v>
      </c>
      <c r="R413" s="4">
        <v>2</v>
      </c>
      <c r="S413" s="3">
        <v>1500.09932</v>
      </c>
      <c r="T413" s="3">
        <f t="shared" si="38"/>
        <v>750.04966000000002</v>
      </c>
      <c r="U413" s="5">
        <f t="shared" si="42"/>
        <v>2.564102564102564E-2</v>
      </c>
      <c r="V413" s="5">
        <f t="shared" si="39"/>
        <v>7.0511661544024589E-3</v>
      </c>
      <c r="W413" s="3">
        <f t="shared" si="40"/>
        <v>19.232042564102564</v>
      </c>
      <c r="X413" s="3">
        <f t="shared" si="41"/>
        <v>135.60832760802748</v>
      </c>
      <c r="Y413" s="7">
        <f t="shared" si="43"/>
        <v>0.6963049728463423</v>
      </c>
    </row>
    <row r="414" spans="1:25" x14ac:dyDescent="0.25">
      <c r="A414" t="s">
        <v>346</v>
      </c>
      <c r="B414" t="s">
        <v>698</v>
      </c>
      <c r="C414" t="s">
        <v>704</v>
      </c>
      <c r="E414" t="s">
        <v>19</v>
      </c>
      <c r="F414" t="s">
        <v>44</v>
      </c>
      <c r="G414" t="s">
        <v>1079</v>
      </c>
      <c r="H414" t="s">
        <v>1080</v>
      </c>
      <c r="K414" t="s">
        <v>705</v>
      </c>
      <c r="L414" t="s">
        <v>64</v>
      </c>
      <c r="M414" t="s">
        <v>21</v>
      </c>
      <c r="N414" s="4">
        <v>16288</v>
      </c>
      <c r="O414" s="4">
        <v>56</v>
      </c>
      <c r="P414" s="4">
        <v>5304</v>
      </c>
      <c r="Q414" s="4">
        <v>10731</v>
      </c>
      <c r="R414" s="4">
        <v>3</v>
      </c>
      <c r="S414" s="3">
        <v>2030.142709</v>
      </c>
      <c r="T414" s="3">
        <f t="shared" si="38"/>
        <v>676.71423633333336</v>
      </c>
      <c r="U414" s="5">
        <f t="shared" si="42"/>
        <v>5.3571428571428568E-2</v>
      </c>
      <c r="V414" s="5">
        <f t="shared" si="39"/>
        <v>3.43811394891945E-3</v>
      </c>
      <c r="W414" s="3">
        <f t="shared" si="40"/>
        <v>36.252548374999996</v>
      </c>
      <c r="X414" s="3">
        <f t="shared" si="41"/>
        <v>124.64039225196463</v>
      </c>
      <c r="Y414" s="7">
        <f t="shared" si="43"/>
        <v>0.49426894045289349</v>
      </c>
    </row>
    <row r="415" spans="1:25" x14ac:dyDescent="0.25">
      <c r="A415" t="s">
        <v>346</v>
      </c>
      <c r="B415" t="s">
        <v>706</v>
      </c>
      <c r="C415" t="s">
        <v>707</v>
      </c>
      <c r="D415" t="s">
        <v>700</v>
      </c>
      <c r="E415" t="s">
        <v>19</v>
      </c>
      <c r="F415" t="s">
        <v>33</v>
      </c>
      <c r="G415" t="s">
        <v>1070</v>
      </c>
      <c r="H415" t="s">
        <v>1071</v>
      </c>
      <c r="K415" t="s">
        <v>598</v>
      </c>
      <c r="L415" t="s">
        <v>17</v>
      </c>
      <c r="M415" t="s">
        <v>21</v>
      </c>
      <c r="N415" s="4">
        <v>16239</v>
      </c>
      <c r="O415" s="4">
        <v>78</v>
      </c>
      <c r="P415" s="4">
        <v>9375</v>
      </c>
      <c r="Q415" s="4">
        <v>15562</v>
      </c>
      <c r="R415" s="4">
        <v>5</v>
      </c>
      <c r="S415" s="3">
        <v>2387.686295</v>
      </c>
      <c r="T415" s="3">
        <f t="shared" si="38"/>
        <v>477.53725900000001</v>
      </c>
      <c r="U415" s="5">
        <f t="shared" si="42"/>
        <v>6.4102564102564097E-2</v>
      </c>
      <c r="V415" s="5">
        <f t="shared" si="39"/>
        <v>4.8032514317384077E-3</v>
      </c>
      <c r="W415" s="3">
        <f t="shared" si="40"/>
        <v>30.611362756410255</v>
      </c>
      <c r="X415" s="3">
        <f t="shared" si="41"/>
        <v>147.03407198719131</v>
      </c>
      <c r="Y415" s="7">
        <f t="shared" si="43"/>
        <v>0.60242899370260894</v>
      </c>
    </row>
    <row r="416" spans="1:25" x14ac:dyDescent="0.25">
      <c r="A416" t="s">
        <v>346</v>
      </c>
      <c r="B416" t="s">
        <v>605</v>
      </c>
      <c r="E416" t="s">
        <v>14</v>
      </c>
      <c r="F416" t="s">
        <v>26</v>
      </c>
      <c r="G416" t="s">
        <v>1066</v>
      </c>
      <c r="H416" t="s">
        <v>1067</v>
      </c>
      <c r="K416" t="s">
        <v>98</v>
      </c>
      <c r="L416" t="s">
        <v>115</v>
      </c>
      <c r="M416" t="s">
        <v>21</v>
      </c>
      <c r="N416" s="4">
        <v>45402</v>
      </c>
      <c r="O416" s="4">
        <v>122</v>
      </c>
      <c r="P416" s="4">
        <v>17284</v>
      </c>
      <c r="Q416" s="4">
        <v>27542</v>
      </c>
      <c r="R416" s="4">
        <v>5</v>
      </c>
      <c r="S416" s="3">
        <v>2163.2653460000001</v>
      </c>
      <c r="T416" s="3">
        <f t="shared" si="38"/>
        <v>432.6530692</v>
      </c>
      <c r="U416" s="5">
        <f t="shared" si="42"/>
        <v>4.0983606557377046E-2</v>
      </c>
      <c r="V416" s="5">
        <f t="shared" si="39"/>
        <v>2.6871062948768776E-3</v>
      </c>
      <c r="W416" s="3">
        <f t="shared" si="40"/>
        <v>17.731683163934427</v>
      </c>
      <c r="X416" s="3">
        <f t="shared" si="41"/>
        <v>47.646917448570555</v>
      </c>
      <c r="Y416" s="7">
        <f t="shared" si="43"/>
        <v>0.62755064991649123</v>
      </c>
    </row>
    <row r="417" spans="1:25" x14ac:dyDescent="0.25">
      <c r="A417" t="s">
        <v>346</v>
      </c>
      <c r="B417" t="s">
        <v>35</v>
      </c>
      <c r="C417" t="s">
        <v>708</v>
      </c>
      <c r="E417" t="s">
        <v>19</v>
      </c>
      <c r="F417" t="s">
        <v>15</v>
      </c>
      <c r="G417" t="s">
        <v>1072</v>
      </c>
      <c r="H417" t="s">
        <v>1065</v>
      </c>
      <c r="K417" t="s">
        <v>709</v>
      </c>
      <c r="L417" t="s">
        <v>25</v>
      </c>
      <c r="M417" t="s">
        <v>21</v>
      </c>
      <c r="N417" s="4">
        <v>13466</v>
      </c>
      <c r="O417" s="4">
        <v>150</v>
      </c>
      <c r="P417" s="4">
        <v>8684</v>
      </c>
      <c r="Q417" s="4">
        <v>11766</v>
      </c>
      <c r="R417" s="4">
        <v>1</v>
      </c>
      <c r="S417" s="3">
        <v>1527.1762739999999</v>
      </c>
      <c r="T417" s="3">
        <f t="shared" si="38"/>
        <v>1527.1762739999999</v>
      </c>
      <c r="U417" s="5">
        <f t="shared" si="42"/>
        <v>6.6666666666666671E-3</v>
      </c>
      <c r="V417" s="5">
        <f t="shared" si="39"/>
        <v>1.1139165305213129E-2</v>
      </c>
      <c r="W417" s="3">
        <f t="shared" si="40"/>
        <v>10.181175159999999</v>
      </c>
      <c r="X417" s="3">
        <f t="shared" si="41"/>
        <v>113.40979310856973</v>
      </c>
      <c r="Y417" s="7">
        <f t="shared" si="43"/>
        <v>0.73805881353051161</v>
      </c>
    </row>
    <row r="418" spans="1:25" x14ac:dyDescent="0.25">
      <c r="A418" t="s">
        <v>346</v>
      </c>
      <c r="B418" t="s">
        <v>699</v>
      </c>
      <c r="C418" t="s">
        <v>700</v>
      </c>
      <c r="D418" t="s">
        <v>1130</v>
      </c>
      <c r="E418" t="s">
        <v>19</v>
      </c>
      <c r="F418" t="s">
        <v>44</v>
      </c>
      <c r="G418" t="s">
        <v>1062</v>
      </c>
      <c r="H418" t="s">
        <v>1063</v>
      </c>
      <c r="K418" t="s">
        <v>557</v>
      </c>
      <c r="L418" t="s">
        <v>89</v>
      </c>
      <c r="M418" t="s">
        <v>21</v>
      </c>
      <c r="N418" s="4">
        <v>73544</v>
      </c>
      <c r="O418" s="4">
        <v>223</v>
      </c>
      <c r="P418" s="4">
        <v>40405</v>
      </c>
      <c r="Q418" s="4">
        <v>67406</v>
      </c>
      <c r="R418" s="4">
        <v>1</v>
      </c>
      <c r="S418" s="3">
        <v>1465.8722660000001</v>
      </c>
      <c r="T418" s="3">
        <f t="shared" si="38"/>
        <v>1465.8722660000001</v>
      </c>
      <c r="U418" s="5">
        <f t="shared" si="42"/>
        <v>4.4843049327354259E-3</v>
      </c>
      <c r="V418" s="5">
        <f t="shared" si="39"/>
        <v>3.0321984118350919E-3</v>
      </c>
      <c r="W418" s="3">
        <f t="shared" si="40"/>
        <v>6.5734182331838564</v>
      </c>
      <c r="X418" s="3">
        <f t="shared" si="41"/>
        <v>19.931908326987926</v>
      </c>
      <c r="Y418" s="7">
        <f t="shared" si="43"/>
        <v>0.59942735068094832</v>
      </c>
    </row>
    <row r="419" spans="1:25" x14ac:dyDescent="0.25">
      <c r="A419" t="s">
        <v>346</v>
      </c>
      <c r="B419" t="s">
        <v>699</v>
      </c>
      <c r="C419" t="s">
        <v>700</v>
      </c>
      <c r="D419" t="s">
        <v>710</v>
      </c>
      <c r="E419" t="s">
        <v>19</v>
      </c>
      <c r="F419" t="s">
        <v>15</v>
      </c>
      <c r="G419" t="s">
        <v>1070</v>
      </c>
      <c r="H419" t="s">
        <v>1071</v>
      </c>
      <c r="K419" t="s">
        <v>117</v>
      </c>
      <c r="L419" t="s">
        <v>64</v>
      </c>
      <c r="M419" t="s">
        <v>21</v>
      </c>
      <c r="N419" s="4">
        <v>37227</v>
      </c>
      <c r="O419" s="4">
        <v>130</v>
      </c>
      <c r="P419" s="4">
        <v>13542</v>
      </c>
      <c r="Q419" s="4">
        <v>32456</v>
      </c>
      <c r="R419" s="4">
        <v>4</v>
      </c>
      <c r="S419" s="3">
        <v>1901.094691</v>
      </c>
      <c r="T419" s="3">
        <f t="shared" si="38"/>
        <v>475.27367275</v>
      </c>
      <c r="U419" s="5">
        <f t="shared" si="42"/>
        <v>3.0769230769230771E-2</v>
      </c>
      <c r="V419" s="5">
        <f t="shared" si="39"/>
        <v>3.4920890751336396E-3</v>
      </c>
      <c r="W419" s="3">
        <f t="shared" si="40"/>
        <v>14.623805315384615</v>
      </c>
      <c r="X419" s="3">
        <f t="shared" si="41"/>
        <v>51.067630778735861</v>
      </c>
      <c r="Y419" s="7">
        <f t="shared" si="43"/>
        <v>0.41724180428888341</v>
      </c>
    </row>
    <row r="420" spans="1:25" x14ac:dyDescent="0.25">
      <c r="A420" t="s">
        <v>346</v>
      </c>
      <c r="B420" t="s">
        <v>699</v>
      </c>
      <c r="C420" t="s">
        <v>700</v>
      </c>
      <c r="D420" t="s">
        <v>1131</v>
      </c>
      <c r="E420" t="s">
        <v>14</v>
      </c>
      <c r="F420" t="s">
        <v>44</v>
      </c>
      <c r="G420" t="s">
        <v>1064</v>
      </c>
      <c r="H420" t="s">
        <v>1065</v>
      </c>
      <c r="K420" t="s">
        <v>153</v>
      </c>
      <c r="L420" t="s">
        <v>25</v>
      </c>
      <c r="M420" t="s">
        <v>18</v>
      </c>
      <c r="N420" s="4">
        <v>17228</v>
      </c>
      <c r="O420" s="4">
        <v>30</v>
      </c>
      <c r="P420" s="4">
        <v>11116</v>
      </c>
      <c r="Q420" s="4">
        <v>16044</v>
      </c>
      <c r="R420" s="4">
        <v>3</v>
      </c>
      <c r="S420" s="3">
        <v>1547.513459</v>
      </c>
      <c r="T420" s="3">
        <f t="shared" si="38"/>
        <v>515.83781966666663</v>
      </c>
      <c r="U420" s="5">
        <f t="shared" si="42"/>
        <v>0.1</v>
      </c>
      <c r="V420" s="5">
        <f t="shared" si="39"/>
        <v>1.7413512885999535E-3</v>
      </c>
      <c r="W420" s="3">
        <f t="shared" si="40"/>
        <v>51.58378196666667</v>
      </c>
      <c r="X420" s="3">
        <f t="shared" si="41"/>
        <v>89.825485198514045</v>
      </c>
      <c r="Y420" s="7">
        <f t="shared" si="43"/>
        <v>0.6928446771378709</v>
      </c>
    </row>
    <row r="421" spans="1:25" x14ac:dyDescent="0.25">
      <c r="A421" t="s">
        <v>346</v>
      </c>
      <c r="B421" t="s">
        <v>699</v>
      </c>
      <c r="C421" t="s">
        <v>700</v>
      </c>
      <c r="D421" t="s">
        <v>1132</v>
      </c>
      <c r="E421" t="s">
        <v>19</v>
      </c>
      <c r="F421" t="s">
        <v>33</v>
      </c>
      <c r="G421" t="s">
        <v>1085</v>
      </c>
      <c r="H421" t="s">
        <v>1065</v>
      </c>
      <c r="K421" t="s">
        <v>413</v>
      </c>
      <c r="L421" t="s">
        <v>25</v>
      </c>
      <c r="M421" t="s">
        <v>21</v>
      </c>
      <c r="N421" s="4">
        <v>10992</v>
      </c>
      <c r="O421" s="4">
        <v>97</v>
      </c>
      <c r="P421" s="4">
        <v>6677</v>
      </c>
      <c r="Q421" s="4">
        <v>10132</v>
      </c>
      <c r="R421" s="4">
        <v>3</v>
      </c>
      <c r="S421" s="3">
        <v>1675.987427</v>
      </c>
      <c r="T421" s="3">
        <f t="shared" si="38"/>
        <v>558.66247566666664</v>
      </c>
      <c r="U421" s="5">
        <f t="shared" si="42"/>
        <v>3.0927835051546393E-2</v>
      </c>
      <c r="V421" s="5">
        <f t="shared" si="39"/>
        <v>8.8245997088791852E-3</v>
      </c>
      <c r="W421" s="3">
        <f t="shared" si="40"/>
        <v>17.278220896907218</v>
      </c>
      <c r="X421" s="3">
        <f t="shared" si="41"/>
        <v>152.47338309679768</v>
      </c>
      <c r="Y421" s="7">
        <f t="shared" si="43"/>
        <v>0.65900118436636401</v>
      </c>
    </row>
    <row r="422" spans="1:25" x14ac:dyDescent="0.25">
      <c r="A422" t="s">
        <v>346</v>
      </c>
      <c r="B422" t="s">
        <v>706</v>
      </c>
      <c r="C422" t="s">
        <v>711</v>
      </c>
      <c r="E422" t="s">
        <v>14</v>
      </c>
      <c r="F422" t="s">
        <v>44</v>
      </c>
      <c r="G422" t="s">
        <v>1070</v>
      </c>
      <c r="H422" t="s">
        <v>1071</v>
      </c>
      <c r="K422" t="s">
        <v>712</v>
      </c>
      <c r="L422" t="s">
        <v>17</v>
      </c>
      <c r="M422" t="s">
        <v>21</v>
      </c>
      <c r="N422" s="4">
        <v>42451</v>
      </c>
      <c r="O422" s="4">
        <v>122</v>
      </c>
      <c r="P422" s="4">
        <v>29142</v>
      </c>
      <c r="Q422" s="4">
        <v>41093</v>
      </c>
      <c r="R422" s="4">
        <v>7</v>
      </c>
      <c r="S422" s="3">
        <v>1530.553686</v>
      </c>
      <c r="T422" s="3">
        <f t="shared" si="38"/>
        <v>218.65052657142857</v>
      </c>
      <c r="U422" s="5">
        <f t="shared" si="42"/>
        <v>5.737704918032787E-2</v>
      </c>
      <c r="V422" s="5">
        <f t="shared" si="39"/>
        <v>2.8739016748722057E-3</v>
      </c>
      <c r="W422" s="3">
        <f t="shared" si="40"/>
        <v>12.545522016393443</v>
      </c>
      <c r="X422" s="3">
        <f t="shared" si="41"/>
        <v>36.054596735059242</v>
      </c>
      <c r="Y422" s="7">
        <f t="shared" si="43"/>
        <v>0.70917187842211571</v>
      </c>
    </row>
    <row r="423" spans="1:25" x14ac:dyDescent="0.25">
      <c r="A423" t="s">
        <v>346</v>
      </c>
      <c r="B423" t="s">
        <v>699</v>
      </c>
      <c r="C423" t="s">
        <v>700</v>
      </c>
      <c r="D423" t="s">
        <v>701</v>
      </c>
      <c r="E423" t="s">
        <v>14</v>
      </c>
      <c r="F423" t="s">
        <v>15</v>
      </c>
      <c r="G423" t="s">
        <v>1133</v>
      </c>
      <c r="H423" t="s">
        <v>1065</v>
      </c>
      <c r="K423" t="s">
        <v>713</v>
      </c>
      <c r="L423" t="s">
        <v>17</v>
      </c>
      <c r="M423" t="s">
        <v>21</v>
      </c>
      <c r="N423" s="4">
        <v>10883</v>
      </c>
      <c r="O423" s="4">
        <v>46</v>
      </c>
      <c r="P423" s="4">
        <v>1652</v>
      </c>
      <c r="Q423" s="4">
        <v>8869</v>
      </c>
      <c r="R423" s="4">
        <v>16</v>
      </c>
      <c r="S423" s="3">
        <v>1942.482395</v>
      </c>
      <c r="T423" s="3">
        <f t="shared" si="38"/>
        <v>121.4051496875</v>
      </c>
      <c r="U423" s="5">
        <f t="shared" si="42"/>
        <v>0.34782608695652173</v>
      </c>
      <c r="V423" s="5">
        <f t="shared" si="39"/>
        <v>4.2267757052283379E-3</v>
      </c>
      <c r="W423" s="3">
        <f t="shared" si="40"/>
        <v>42.227878152173915</v>
      </c>
      <c r="X423" s="3">
        <f t="shared" si="41"/>
        <v>178.48776945695121</v>
      </c>
      <c r="Y423" s="7">
        <f t="shared" si="43"/>
        <v>0.18626677190213101</v>
      </c>
    </row>
    <row r="424" spans="1:25" x14ac:dyDescent="0.25">
      <c r="A424" t="s">
        <v>346</v>
      </c>
      <c r="B424" t="s">
        <v>706</v>
      </c>
      <c r="C424" t="s">
        <v>707</v>
      </c>
      <c r="E424" t="s">
        <v>19</v>
      </c>
      <c r="F424" t="s">
        <v>15</v>
      </c>
      <c r="G424" t="s">
        <v>1079</v>
      </c>
      <c r="H424" t="s">
        <v>1080</v>
      </c>
      <c r="K424" t="s">
        <v>714</v>
      </c>
      <c r="L424" t="s">
        <v>73</v>
      </c>
      <c r="M424" t="s">
        <v>21</v>
      </c>
      <c r="N424" s="4">
        <v>13713</v>
      </c>
      <c r="O424" s="4">
        <v>151</v>
      </c>
      <c r="P424" s="4">
        <v>8339</v>
      </c>
      <c r="Q424" s="4">
        <v>13051</v>
      </c>
      <c r="R424" s="4">
        <v>5</v>
      </c>
      <c r="S424" s="3">
        <v>1490.0061969999999</v>
      </c>
      <c r="T424" s="3">
        <f t="shared" si="38"/>
        <v>298.00123939999997</v>
      </c>
      <c r="U424" s="5">
        <f t="shared" si="42"/>
        <v>3.3112582781456956E-2</v>
      </c>
      <c r="V424" s="5">
        <f t="shared" si="39"/>
        <v>1.1011448990009481E-2</v>
      </c>
      <c r="W424" s="3">
        <f t="shared" si="40"/>
        <v>9.8675907086092707</v>
      </c>
      <c r="X424" s="3">
        <f t="shared" si="41"/>
        <v>108.65647174214249</v>
      </c>
      <c r="Y424" s="7">
        <f t="shared" si="43"/>
        <v>0.63895486935866985</v>
      </c>
    </row>
    <row r="425" spans="1:25" x14ac:dyDescent="0.25">
      <c r="A425" t="s">
        <v>346</v>
      </c>
      <c r="B425" t="s">
        <v>699</v>
      </c>
      <c r="C425" t="s">
        <v>700</v>
      </c>
      <c r="D425" t="s">
        <v>1134</v>
      </c>
      <c r="E425" t="s">
        <v>14</v>
      </c>
      <c r="F425" t="s">
        <v>33</v>
      </c>
      <c r="G425" t="s">
        <v>1073</v>
      </c>
      <c r="H425" t="s">
        <v>1074</v>
      </c>
      <c r="K425" t="s">
        <v>715</v>
      </c>
      <c r="L425" t="s">
        <v>25</v>
      </c>
      <c r="M425" t="s">
        <v>21</v>
      </c>
      <c r="N425" s="4">
        <v>7402</v>
      </c>
      <c r="O425" s="4">
        <v>9</v>
      </c>
      <c r="P425" s="4">
        <v>3860</v>
      </c>
      <c r="Q425" s="4">
        <v>6406</v>
      </c>
      <c r="R425" s="4">
        <v>1</v>
      </c>
      <c r="S425" s="3">
        <v>1560.449936</v>
      </c>
      <c r="T425" s="3">
        <f t="shared" si="38"/>
        <v>1560.449936</v>
      </c>
      <c r="U425" s="5">
        <f t="shared" si="42"/>
        <v>0.1111111111111111</v>
      </c>
      <c r="V425" s="5">
        <f t="shared" si="39"/>
        <v>1.215887597946501E-3</v>
      </c>
      <c r="W425" s="3">
        <f t="shared" si="40"/>
        <v>173.38332622222222</v>
      </c>
      <c r="X425" s="3">
        <f t="shared" si="41"/>
        <v>210.81463604431235</v>
      </c>
      <c r="Y425" s="7">
        <f t="shared" si="43"/>
        <v>0.60256009990633785</v>
      </c>
    </row>
    <row r="426" spans="1:25" x14ac:dyDescent="0.25">
      <c r="A426" t="s">
        <v>346</v>
      </c>
      <c r="B426" t="s">
        <v>699</v>
      </c>
      <c r="C426" t="s">
        <v>700</v>
      </c>
      <c r="E426" t="s">
        <v>14</v>
      </c>
      <c r="F426" t="s">
        <v>44</v>
      </c>
      <c r="G426" t="s">
        <v>1070</v>
      </c>
      <c r="H426" t="s">
        <v>1071</v>
      </c>
      <c r="K426" t="s">
        <v>716</v>
      </c>
      <c r="L426" t="s">
        <v>17</v>
      </c>
      <c r="M426" t="s">
        <v>21</v>
      </c>
      <c r="N426" s="4">
        <v>14581</v>
      </c>
      <c r="O426" s="4">
        <v>85</v>
      </c>
      <c r="P426" s="4">
        <v>6970</v>
      </c>
      <c r="Q426" s="4">
        <v>8882</v>
      </c>
      <c r="R426" s="4">
        <v>4</v>
      </c>
      <c r="S426" s="3">
        <v>2636.2021239999999</v>
      </c>
      <c r="T426" s="3">
        <f t="shared" si="38"/>
        <v>659.05053099999998</v>
      </c>
      <c r="U426" s="5">
        <f t="shared" si="42"/>
        <v>4.7058823529411764E-2</v>
      </c>
      <c r="V426" s="5">
        <f t="shared" si="39"/>
        <v>5.8295041492353065E-3</v>
      </c>
      <c r="W426" s="3">
        <f t="shared" si="40"/>
        <v>31.014142635294117</v>
      </c>
      <c r="X426" s="3">
        <f t="shared" si="41"/>
        <v>180.79707317742267</v>
      </c>
      <c r="Y426" s="7">
        <f t="shared" si="43"/>
        <v>0.7847331682053591</v>
      </c>
    </row>
    <row r="427" spans="1:25" x14ac:dyDescent="0.25">
      <c r="A427" t="s">
        <v>346</v>
      </c>
      <c r="B427" t="s">
        <v>699</v>
      </c>
      <c r="C427" t="s">
        <v>700</v>
      </c>
      <c r="D427" t="s">
        <v>1135</v>
      </c>
      <c r="E427" t="s">
        <v>19</v>
      </c>
      <c r="F427" t="s">
        <v>15</v>
      </c>
      <c r="G427" t="s">
        <v>1088</v>
      </c>
      <c r="H427" t="s">
        <v>1065</v>
      </c>
      <c r="I427" t="s">
        <v>1089</v>
      </c>
      <c r="J427" t="s">
        <v>1090</v>
      </c>
      <c r="K427" t="s">
        <v>24</v>
      </c>
      <c r="L427" t="s">
        <v>17</v>
      </c>
      <c r="M427" t="s">
        <v>21</v>
      </c>
      <c r="N427" s="4">
        <v>47931</v>
      </c>
      <c r="O427" s="4">
        <v>170</v>
      </c>
      <c r="P427" s="4">
        <v>15989</v>
      </c>
      <c r="Q427" s="4">
        <v>38916</v>
      </c>
      <c r="R427" s="4">
        <v>4</v>
      </c>
      <c r="S427" s="3">
        <v>1487.228625</v>
      </c>
      <c r="T427" s="3">
        <f t="shared" si="38"/>
        <v>371.80715624999999</v>
      </c>
      <c r="U427" s="5">
        <f t="shared" si="42"/>
        <v>2.3529411764705882E-2</v>
      </c>
      <c r="V427" s="5">
        <f t="shared" si="39"/>
        <v>3.5467651415576557E-3</v>
      </c>
      <c r="W427" s="3">
        <f t="shared" si="40"/>
        <v>8.7484036764705877</v>
      </c>
      <c r="X427" s="3">
        <f t="shared" si="41"/>
        <v>31.028533203980722</v>
      </c>
      <c r="Y427" s="7">
        <f t="shared" si="43"/>
        <v>0.4108592866687224</v>
      </c>
    </row>
    <row r="428" spans="1:25" x14ac:dyDescent="0.25">
      <c r="A428" t="s">
        <v>346</v>
      </c>
      <c r="B428" t="s">
        <v>699</v>
      </c>
      <c r="C428" t="s">
        <v>700</v>
      </c>
      <c r="D428" t="s">
        <v>717</v>
      </c>
      <c r="E428" t="s">
        <v>19</v>
      </c>
      <c r="F428" t="s">
        <v>44</v>
      </c>
      <c r="G428" t="s">
        <v>1062</v>
      </c>
      <c r="H428" t="s">
        <v>1063</v>
      </c>
      <c r="K428" t="s">
        <v>200</v>
      </c>
      <c r="L428" t="s">
        <v>92</v>
      </c>
      <c r="M428" t="s">
        <v>21</v>
      </c>
      <c r="N428" s="4">
        <v>13592</v>
      </c>
      <c r="O428" s="4">
        <v>85</v>
      </c>
      <c r="P428" s="4">
        <v>7747</v>
      </c>
      <c r="Q428" s="4">
        <v>10690</v>
      </c>
      <c r="R428" s="4">
        <v>1</v>
      </c>
      <c r="S428" s="3">
        <v>1555.1120780000001</v>
      </c>
      <c r="T428" s="3">
        <f t="shared" si="38"/>
        <v>1555.1120780000001</v>
      </c>
      <c r="U428" s="5">
        <f t="shared" si="42"/>
        <v>1.1764705882352941E-2</v>
      </c>
      <c r="V428" s="5">
        <f t="shared" si="39"/>
        <v>6.2536786344908769E-3</v>
      </c>
      <c r="W428" s="3">
        <f t="shared" si="40"/>
        <v>18.295436211764706</v>
      </c>
      <c r="X428" s="3">
        <f t="shared" si="41"/>
        <v>114.41377854620366</v>
      </c>
      <c r="Y428" s="7">
        <f t="shared" si="43"/>
        <v>0.7246959775491113</v>
      </c>
    </row>
    <row r="429" spans="1:25" x14ac:dyDescent="0.25">
      <c r="A429" t="s">
        <v>346</v>
      </c>
      <c r="B429" t="s">
        <v>718</v>
      </c>
      <c r="C429" t="s">
        <v>719</v>
      </c>
      <c r="E429" t="s">
        <v>14</v>
      </c>
      <c r="F429" t="s">
        <v>33</v>
      </c>
      <c r="G429" t="s">
        <v>1066</v>
      </c>
      <c r="H429" t="s">
        <v>1067</v>
      </c>
      <c r="K429" t="s">
        <v>720</v>
      </c>
      <c r="L429" t="s">
        <v>25</v>
      </c>
      <c r="M429" t="s">
        <v>21</v>
      </c>
      <c r="N429" s="4">
        <v>14693</v>
      </c>
      <c r="O429" s="4">
        <v>70</v>
      </c>
      <c r="P429" s="4">
        <v>6597</v>
      </c>
      <c r="Q429" s="4">
        <v>13508</v>
      </c>
      <c r="R429" s="4">
        <v>4</v>
      </c>
      <c r="S429" s="3">
        <v>2047.3489239999999</v>
      </c>
      <c r="T429" s="3">
        <f t="shared" si="38"/>
        <v>511.83723099999997</v>
      </c>
      <c r="U429" s="5">
        <f t="shared" si="42"/>
        <v>5.7142857142857141E-2</v>
      </c>
      <c r="V429" s="5">
        <f t="shared" si="39"/>
        <v>4.7641734159123393E-3</v>
      </c>
      <c r="W429" s="3">
        <f t="shared" si="40"/>
        <v>29.247841771428568</v>
      </c>
      <c r="X429" s="3">
        <f t="shared" si="41"/>
        <v>139.34179024025045</v>
      </c>
      <c r="Y429" s="7">
        <f t="shared" si="43"/>
        <v>0.48837725792123188</v>
      </c>
    </row>
    <row r="430" spans="1:25" x14ac:dyDescent="0.25">
      <c r="A430" t="s">
        <v>346</v>
      </c>
      <c r="B430" t="s">
        <v>718</v>
      </c>
      <c r="E430" t="s">
        <v>14</v>
      </c>
      <c r="F430" t="s">
        <v>15</v>
      </c>
      <c r="G430" t="s">
        <v>1079</v>
      </c>
      <c r="H430" t="s">
        <v>1080</v>
      </c>
      <c r="K430" t="s">
        <v>576</v>
      </c>
      <c r="L430" t="s">
        <v>17</v>
      </c>
      <c r="M430" t="s">
        <v>21</v>
      </c>
      <c r="N430" s="4">
        <v>9130</v>
      </c>
      <c r="O430" s="4">
        <v>33</v>
      </c>
      <c r="P430" s="4">
        <v>3721</v>
      </c>
      <c r="Q430" s="4">
        <v>5564</v>
      </c>
      <c r="R430" s="4">
        <v>1</v>
      </c>
      <c r="S430" s="3">
        <v>1655.7928569999999</v>
      </c>
      <c r="T430" s="3">
        <f t="shared" si="38"/>
        <v>1655.7928569999999</v>
      </c>
      <c r="U430" s="5">
        <f t="shared" si="42"/>
        <v>3.0303030303030304E-2</v>
      </c>
      <c r="V430" s="5">
        <f t="shared" si="39"/>
        <v>3.6144578313253013E-3</v>
      </c>
      <c r="W430" s="3">
        <f t="shared" si="40"/>
        <v>50.17554112121212</v>
      </c>
      <c r="X430" s="3">
        <f t="shared" si="41"/>
        <v>181.35737754654983</v>
      </c>
      <c r="Y430" s="7">
        <f t="shared" si="43"/>
        <v>0.66876347951114301</v>
      </c>
    </row>
    <row r="431" spans="1:25" x14ac:dyDescent="0.25">
      <c r="A431" t="s">
        <v>346</v>
      </c>
      <c r="B431" t="s">
        <v>718</v>
      </c>
      <c r="C431" t="s">
        <v>719</v>
      </c>
      <c r="D431" t="s">
        <v>1136</v>
      </c>
      <c r="E431" t="s">
        <v>14</v>
      </c>
      <c r="F431" t="s">
        <v>33</v>
      </c>
      <c r="G431" t="s">
        <v>1064</v>
      </c>
      <c r="H431" t="s">
        <v>1065</v>
      </c>
      <c r="K431" t="s">
        <v>721</v>
      </c>
      <c r="L431" t="s">
        <v>73</v>
      </c>
      <c r="M431" t="s">
        <v>29</v>
      </c>
      <c r="N431" s="4">
        <v>16325</v>
      </c>
      <c r="O431" s="4">
        <v>78</v>
      </c>
      <c r="P431" s="4">
        <v>9558</v>
      </c>
      <c r="Q431" s="4">
        <v>15426</v>
      </c>
      <c r="R431" s="4">
        <v>21</v>
      </c>
      <c r="S431" s="3">
        <v>1814.098581</v>
      </c>
      <c r="T431" s="3">
        <f t="shared" si="38"/>
        <v>86.385646714285713</v>
      </c>
      <c r="U431" s="5">
        <f t="shared" si="42"/>
        <v>0.26923076923076922</v>
      </c>
      <c r="V431" s="5">
        <f t="shared" si="39"/>
        <v>4.7779479326186831E-3</v>
      </c>
      <c r="W431" s="3">
        <f t="shared" si="40"/>
        <v>23.257674115384614</v>
      </c>
      <c r="X431" s="3">
        <f t="shared" si="41"/>
        <v>111.12395595712097</v>
      </c>
      <c r="Y431" s="7">
        <f t="shared" si="43"/>
        <v>0.61960326721120185</v>
      </c>
    </row>
    <row r="432" spans="1:25" x14ac:dyDescent="0.25">
      <c r="A432" t="s">
        <v>346</v>
      </c>
      <c r="B432" t="s">
        <v>722</v>
      </c>
      <c r="C432" t="s">
        <v>723</v>
      </c>
      <c r="E432" t="s">
        <v>14</v>
      </c>
      <c r="F432" t="s">
        <v>33</v>
      </c>
      <c r="G432" t="s">
        <v>1086</v>
      </c>
      <c r="H432" t="s">
        <v>1063</v>
      </c>
      <c r="K432" t="s">
        <v>724</v>
      </c>
      <c r="L432" t="s">
        <v>79</v>
      </c>
      <c r="M432" t="s">
        <v>29</v>
      </c>
      <c r="N432" s="4">
        <v>37076</v>
      </c>
      <c r="O432" s="4">
        <v>113</v>
      </c>
      <c r="P432" s="4">
        <v>9246</v>
      </c>
      <c r="Q432" s="4">
        <v>22565</v>
      </c>
      <c r="R432" s="4">
        <v>12</v>
      </c>
      <c r="S432" s="3">
        <v>1487.9960779999999</v>
      </c>
      <c r="T432" s="3">
        <f t="shared" si="38"/>
        <v>123.99967316666665</v>
      </c>
      <c r="U432" s="5">
        <f t="shared" si="42"/>
        <v>0.10619469026548672</v>
      </c>
      <c r="V432" s="5">
        <f t="shared" si="39"/>
        <v>3.0477937210055023E-3</v>
      </c>
      <c r="W432" s="3">
        <f t="shared" si="40"/>
        <v>13.168106884955751</v>
      </c>
      <c r="X432" s="3">
        <f t="shared" si="41"/>
        <v>40.133673481497461</v>
      </c>
      <c r="Y432" s="7">
        <f t="shared" si="43"/>
        <v>0.40974961223133172</v>
      </c>
    </row>
    <row r="433" spans="1:25" x14ac:dyDescent="0.25">
      <c r="A433" t="s">
        <v>346</v>
      </c>
      <c r="B433" t="s">
        <v>706</v>
      </c>
      <c r="C433" t="s">
        <v>707</v>
      </c>
      <c r="D433" t="s">
        <v>1137</v>
      </c>
      <c r="E433" t="s">
        <v>14</v>
      </c>
      <c r="F433" t="s">
        <v>33</v>
      </c>
      <c r="G433" t="s">
        <v>1064</v>
      </c>
      <c r="H433" t="s">
        <v>1065</v>
      </c>
      <c r="K433" t="s">
        <v>117</v>
      </c>
      <c r="L433" t="s">
        <v>17</v>
      </c>
      <c r="M433" t="s">
        <v>18</v>
      </c>
      <c r="N433" s="4">
        <v>17049</v>
      </c>
      <c r="O433" s="4">
        <v>84</v>
      </c>
      <c r="P433" s="4">
        <v>191</v>
      </c>
      <c r="Q433" s="4">
        <v>15564</v>
      </c>
      <c r="R433" s="4">
        <v>15</v>
      </c>
      <c r="S433" s="3">
        <v>2144.489587</v>
      </c>
      <c r="T433" s="3">
        <f t="shared" si="38"/>
        <v>142.96597246666667</v>
      </c>
      <c r="U433" s="5">
        <f t="shared" si="42"/>
        <v>0.17857142857142858</v>
      </c>
      <c r="V433" s="5">
        <f t="shared" si="39"/>
        <v>4.9269751891606543E-3</v>
      </c>
      <c r="W433" s="3">
        <f t="shared" si="40"/>
        <v>25.529637940476192</v>
      </c>
      <c r="X433" s="3">
        <f t="shared" si="41"/>
        <v>125.7838927209807</v>
      </c>
      <c r="Y433" s="7">
        <f t="shared" si="43"/>
        <v>1.2271909534823953E-2</v>
      </c>
    </row>
    <row r="434" spans="1:25" x14ac:dyDescent="0.25">
      <c r="A434" t="s">
        <v>346</v>
      </c>
      <c r="E434" t="s">
        <v>14</v>
      </c>
      <c r="F434" t="s">
        <v>15</v>
      </c>
      <c r="G434" t="s">
        <v>1070</v>
      </c>
      <c r="H434" t="s">
        <v>1071</v>
      </c>
      <c r="K434" t="s">
        <v>117</v>
      </c>
      <c r="L434" t="s">
        <v>17</v>
      </c>
      <c r="M434" t="s">
        <v>21</v>
      </c>
      <c r="N434" s="4">
        <v>421110</v>
      </c>
      <c r="O434" s="4">
        <v>984</v>
      </c>
      <c r="P434" s="4">
        <v>212140</v>
      </c>
      <c r="Q434" s="4">
        <v>389474</v>
      </c>
      <c r="R434" s="4">
        <v>4</v>
      </c>
      <c r="S434" s="3">
        <v>1635.920216</v>
      </c>
      <c r="T434" s="3">
        <f t="shared" si="38"/>
        <v>408.980054</v>
      </c>
      <c r="U434" s="5">
        <f t="shared" si="42"/>
        <v>4.0650406504065045E-3</v>
      </c>
      <c r="V434" s="5">
        <f t="shared" si="39"/>
        <v>2.3366816271283039E-3</v>
      </c>
      <c r="W434" s="3">
        <f t="shared" si="40"/>
        <v>1.6625205447154472</v>
      </c>
      <c r="X434" s="3">
        <f t="shared" si="41"/>
        <v>3.884781211559925</v>
      </c>
      <c r="Y434" s="7">
        <f t="shared" si="43"/>
        <v>0.54468334214864145</v>
      </c>
    </row>
    <row r="435" spans="1:25" x14ac:dyDescent="0.25">
      <c r="A435" t="s">
        <v>346</v>
      </c>
      <c r="E435" t="s">
        <v>19</v>
      </c>
      <c r="F435" t="s">
        <v>26</v>
      </c>
      <c r="G435" t="s">
        <v>1066</v>
      </c>
      <c r="H435" t="s">
        <v>1067</v>
      </c>
      <c r="K435" t="s">
        <v>91</v>
      </c>
      <c r="L435" t="s">
        <v>17</v>
      </c>
      <c r="M435" t="s">
        <v>21</v>
      </c>
      <c r="N435" s="4">
        <v>654902</v>
      </c>
      <c r="O435" s="4">
        <v>1874</v>
      </c>
      <c r="P435" s="4">
        <v>40733</v>
      </c>
      <c r="Q435" s="4">
        <v>477114</v>
      </c>
      <c r="R435" s="4">
        <v>14</v>
      </c>
      <c r="S435" s="3">
        <v>3178.6103149999999</v>
      </c>
      <c r="T435" s="3">
        <f t="shared" si="38"/>
        <v>227.04359392857143</v>
      </c>
      <c r="U435" s="5">
        <f t="shared" si="42"/>
        <v>7.470651013874066E-3</v>
      </c>
      <c r="V435" s="5">
        <f t="shared" si="39"/>
        <v>2.8614968346409083E-3</v>
      </c>
      <c r="W435" s="3">
        <f t="shared" si="40"/>
        <v>1.6961634551760938</v>
      </c>
      <c r="X435" s="3">
        <f t="shared" si="41"/>
        <v>4.8535663580199788</v>
      </c>
      <c r="Y435" s="7">
        <f t="shared" si="43"/>
        <v>8.537372619541661E-2</v>
      </c>
    </row>
    <row r="436" spans="1:25" x14ac:dyDescent="0.25">
      <c r="A436" t="s">
        <v>346</v>
      </c>
      <c r="B436" t="s">
        <v>722</v>
      </c>
      <c r="C436" t="s">
        <v>700</v>
      </c>
      <c r="D436" t="s">
        <v>726</v>
      </c>
      <c r="E436" t="s">
        <v>19</v>
      </c>
      <c r="F436" t="s">
        <v>15</v>
      </c>
      <c r="G436" t="s">
        <v>1088</v>
      </c>
      <c r="H436" t="s">
        <v>1065</v>
      </c>
      <c r="I436" t="s">
        <v>1089</v>
      </c>
      <c r="J436" t="s">
        <v>1090</v>
      </c>
      <c r="K436" t="s">
        <v>727</v>
      </c>
      <c r="L436" t="s">
        <v>73</v>
      </c>
      <c r="M436" t="s">
        <v>21</v>
      </c>
      <c r="N436" s="4">
        <v>9078</v>
      </c>
      <c r="O436" s="4">
        <v>21</v>
      </c>
      <c r="P436" s="4">
        <v>4051</v>
      </c>
      <c r="Q436" s="4">
        <v>6215</v>
      </c>
      <c r="R436" s="4">
        <v>1</v>
      </c>
      <c r="S436" s="3">
        <v>1700.795736</v>
      </c>
      <c r="T436" s="3">
        <f t="shared" si="38"/>
        <v>1700.795736</v>
      </c>
      <c r="U436" s="5">
        <f t="shared" si="42"/>
        <v>4.7619047619047616E-2</v>
      </c>
      <c r="V436" s="5">
        <f t="shared" si="39"/>
        <v>2.313284864507601E-3</v>
      </c>
      <c r="W436" s="3">
        <f t="shared" si="40"/>
        <v>80.990273142857149</v>
      </c>
      <c r="X436" s="3">
        <f t="shared" si="41"/>
        <v>187.35357303370787</v>
      </c>
      <c r="Y436" s="7">
        <f t="shared" si="43"/>
        <v>0.65181013676588895</v>
      </c>
    </row>
    <row r="437" spans="1:25" x14ac:dyDescent="0.25">
      <c r="A437" t="s">
        <v>346</v>
      </c>
      <c r="B437" t="s">
        <v>728</v>
      </c>
      <c r="E437" t="s">
        <v>14</v>
      </c>
      <c r="F437" t="s">
        <v>44</v>
      </c>
      <c r="G437" t="s">
        <v>1066</v>
      </c>
      <c r="H437" t="s">
        <v>1067</v>
      </c>
      <c r="K437" t="s">
        <v>729</v>
      </c>
      <c r="L437" t="s">
        <v>17</v>
      </c>
      <c r="M437" t="s">
        <v>21</v>
      </c>
      <c r="N437" s="4">
        <v>10942</v>
      </c>
      <c r="O437" s="4">
        <v>66</v>
      </c>
      <c r="P437" s="4">
        <v>4578</v>
      </c>
      <c r="Q437" s="4">
        <v>9155</v>
      </c>
      <c r="R437" s="4">
        <v>3</v>
      </c>
      <c r="S437" s="3">
        <v>1595.752624</v>
      </c>
      <c r="T437" s="3">
        <f t="shared" si="38"/>
        <v>531.91754133333336</v>
      </c>
      <c r="U437" s="5">
        <f t="shared" si="42"/>
        <v>4.5454545454545456E-2</v>
      </c>
      <c r="V437" s="5">
        <f t="shared" si="39"/>
        <v>6.0318040577590935E-3</v>
      </c>
      <c r="W437" s="3">
        <f t="shared" si="40"/>
        <v>24.178070060606061</v>
      </c>
      <c r="X437" s="3">
        <f t="shared" si="41"/>
        <v>145.83738110034727</v>
      </c>
      <c r="Y437" s="7">
        <f t="shared" si="43"/>
        <v>0.50005461496450032</v>
      </c>
    </row>
    <row r="438" spans="1:25" x14ac:dyDescent="0.25">
      <c r="A438" t="s">
        <v>346</v>
      </c>
      <c r="B438" t="s">
        <v>730</v>
      </c>
      <c r="C438" t="s">
        <v>731</v>
      </c>
      <c r="D438" t="s">
        <v>1138</v>
      </c>
      <c r="E438" t="s">
        <v>14</v>
      </c>
      <c r="F438" t="s">
        <v>44</v>
      </c>
      <c r="G438" t="s">
        <v>1070</v>
      </c>
      <c r="H438" t="s">
        <v>1071</v>
      </c>
      <c r="K438" t="s">
        <v>648</v>
      </c>
      <c r="L438" t="s">
        <v>25</v>
      </c>
      <c r="M438" t="s">
        <v>29</v>
      </c>
      <c r="N438" s="4">
        <v>69757</v>
      </c>
      <c r="O438" s="4">
        <v>199</v>
      </c>
      <c r="P438" s="4">
        <v>41258</v>
      </c>
      <c r="Q438" s="4">
        <v>65374</v>
      </c>
      <c r="R438" s="4">
        <v>20</v>
      </c>
      <c r="S438" s="3">
        <v>1510.6153200000001</v>
      </c>
      <c r="T438" s="3">
        <f t="shared" si="38"/>
        <v>75.530766</v>
      </c>
      <c r="U438" s="5">
        <f t="shared" si="42"/>
        <v>0.10050251256281408</v>
      </c>
      <c r="V438" s="5">
        <f t="shared" si="39"/>
        <v>2.8527602964577032E-3</v>
      </c>
      <c r="W438" s="3">
        <f t="shared" si="40"/>
        <v>7.59103175879397</v>
      </c>
      <c r="X438" s="3">
        <f t="shared" si="41"/>
        <v>21.655394010636925</v>
      </c>
      <c r="Y438" s="7">
        <f t="shared" si="43"/>
        <v>0.63110716798727318</v>
      </c>
    </row>
    <row r="439" spans="1:25" x14ac:dyDescent="0.25">
      <c r="A439" t="s">
        <v>346</v>
      </c>
      <c r="B439" t="s">
        <v>730</v>
      </c>
      <c r="E439" t="s">
        <v>14</v>
      </c>
      <c r="F439" t="s">
        <v>33</v>
      </c>
      <c r="G439" t="s">
        <v>1070</v>
      </c>
      <c r="H439" t="s">
        <v>1071</v>
      </c>
      <c r="K439" t="s">
        <v>313</v>
      </c>
      <c r="L439" t="s">
        <v>17</v>
      </c>
      <c r="M439" t="s">
        <v>21</v>
      </c>
      <c r="N439" s="4">
        <v>756687</v>
      </c>
      <c r="O439" s="4">
        <v>1984</v>
      </c>
      <c r="P439" s="4">
        <v>442979</v>
      </c>
      <c r="Q439" s="4">
        <v>611813</v>
      </c>
      <c r="R439" s="4">
        <v>14</v>
      </c>
      <c r="S439" s="3">
        <v>2452.9975039999999</v>
      </c>
      <c r="T439" s="3">
        <f t="shared" si="38"/>
        <v>175.21410742857142</v>
      </c>
      <c r="U439" s="5">
        <f t="shared" si="42"/>
        <v>7.0564516129032256E-3</v>
      </c>
      <c r="V439" s="5">
        <f t="shared" si="39"/>
        <v>2.6219559738703056E-3</v>
      </c>
      <c r="W439" s="3">
        <f t="shared" si="40"/>
        <v>1.2363898709677419</v>
      </c>
      <c r="X439" s="3">
        <f t="shared" si="41"/>
        <v>3.241759808216607</v>
      </c>
      <c r="Y439" s="7">
        <f t="shared" si="43"/>
        <v>0.72404313082592231</v>
      </c>
    </row>
    <row r="440" spans="1:25" x14ac:dyDescent="0.25">
      <c r="A440" t="s">
        <v>346</v>
      </c>
      <c r="B440" t="s">
        <v>732</v>
      </c>
      <c r="E440" t="s">
        <v>14</v>
      </c>
      <c r="F440" t="s">
        <v>26</v>
      </c>
      <c r="G440" t="s">
        <v>1104</v>
      </c>
      <c r="H440" t="s">
        <v>1080</v>
      </c>
      <c r="K440" t="s">
        <v>733</v>
      </c>
      <c r="L440" t="s">
        <v>89</v>
      </c>
      <c r="M440" t="s">
        <v>29</v>
      </c>
      <c r="N440" s="4">
        <v>70506</v>
      </c>
      <c r="O440" s="4">
        <v>270</v>
      </c>
      <c r="P440" s="4">
        <v>26779</v>
      </c>
      <c r="Q440" s="4">
        <v>48902</v>
      </c>
      <c r="R440" s="4">
        <v>3</v>
      </c>
      <c r="S440" s="3">
        <v>1912.9668819999999</v>
      </c>
      <c r="T440" s="3">
        <f t="shared" si="38"/>
        <v>637.65562733333331</v>
      </c>
      <c r="U440" s="5">
        <f t="shared" si="42"/>
        <v>1.1111111111111112E-2</v>
      </c>
      <c r="V440" s="5">
        <f t="shared" si="39"/>
        <v>3.8294613224406433E-3</v>
      </c>
      <c r="W440" s="3">
        <f t="shared" si="40"/>
        <v>7.0850625259259257</v>
      </c>
      <c r="X440" s="3">
        <f t="shared" si="41"/>
        <v>27.131972910106942</v>
      </c>
      <c r="Y440" s="7">
        <f t="shared" si="43"/>
        <v>0.54760541491145553</v>
      </c>
    </row>
    <row r="441" spans="1:25" x14ac:dyDescent="0.25">
      <c r="A441" t="s">
        <v>346</v>
      </c>
      <c r="B441" t="s">
        <v>699</v>
      </c>
      <c r="C441" t="s">
        <v>700</v>
      </c>
      <c r="D441" t="s">
        <v>734</v>
      </c>
      <c r="E441" t="s">
        <v>14</v>
      </c>
      <c r="F441" t="s">
        <v>15</v>
      </c>
      <c r="G441" t="s">
        <v>1073</v>
      </c>
      <c r="H441" t="s">
        <v>1074</v>
      </c>
      <c r="K441" t="s">
        <v>215</v>
      </c>
      <c r="L441" t="s">
        <v>17</v>
      </c>
      <c r="M441" t="s">
        <v>29</v>
      </c>
      <c r="N441" s="4">
        <v>21531</v>
      </c>
      <c r="O441" s="4">
        <v>55</v>
      </c>
      <c r="P441" s="4">
        <v>15593</v>
      </c>
      <c r="Q441" s="4">
        <v>18617</v>
      </c>
      <c r="R441" s="4">
        <v>6</v>
      </c>
      <c r="S441" s="3">
        <v>1470.9719250000001</v>
      </c>
      <c r="T441" s="3">
        <f t="shared" si="38"/>
        <v>245.16198750000001</v>
      </c>
      <c r="U441" s="5">
        <f t="shared" si="42"/>
        <v>0.10909090909090909</v>
      </c>
      <c r="V441" s="5">
        <f t="shared" si="39"/>
        <v>2.5544563652408155E-3</v>
      </c>
      <c r="W441" s="3">
        <f t="shared" si="40"/>
        <v>26.74494409090909</v>
      </c>
      <c r="X441" s="3">
        <f t="shared" si="41"/>
        <v>68.318792671032469</v>
      </c>
      <c r="Y441" s="7">
        <f t="shared" si="43"/>
        <v>0.83756781436321637</v>
      </c>
    </row>
    <row r="442" spans="1:25" x14ac:dyDescent="0.25">
      <c r="A442" t="s">
        <v>735</v>
      </c>
      <c r="B442" t="s">
        <v>736</v>
      </c>
      <c r="C442" t="s">
        <v>737</v>
      </c>
      <c r="E442" t="s">
        <v>14</v>
      </c>
      <c r="F442" t="s">
        <v>26</v>
      </c>
      <c r="G442" t="s">
        <v>1078</v>
      </c>
      <c r="H442" t="s">
        <v>1065</v>
      </c>
      <c r="K442" t="s">
        <v>91</v>
      </c>
      <c r="L442" t="s">
        <v>89</v>
      </c>
      <c r="M442" t="s">
        <v>21</v>
      </c>
      <c r="N442" s="4">
        <v>40519</v>
      </c>
      <c r="O442" s="4">
        <v>111</v>
      </c>
      <c r="P442" s="4">
        <v>6105</v>
      </c>
      <c r="Q442" s="4">
        <v>26283</v>
      </c>
      <c r="R442" s="4">
        <v>10</v>
      </c>
      <c r="S442" s="3">
        <v>1582.410977</v>
      </c>
      <c r="T442" s="3">
        <f t="shared" si="38"/>
        <v>158.24109770000001</v>
      </c>
      <c r="U442" s="5">
        <f t="shared" si="42"/>
        <v>9.0090090090090086E-2</v>
      </c>
      <c r="V442" s="5">
        <f t="shared" si="39"/>
        <v>2.7394555640563685E-3</v>
      </c>
      <c r="W442" s="3">
        <f t="shared" si="40"/>
        <v>14.255954747747747</v>
      </c>
      <c r="X442" s="3">
        <f t="shared" si="41"/>
        <v>39.053554554653367</v>
      </c>
      <c r="Y442" s="7">
        <f t="shared" si="43"/>
        <v>0.23227942015751626</v>
      </c>
    </row>
    <row r="443" spans="1:25" x14ac:dyDescent="0.25">
      <c r="A443" t="s">
        <v>738</v>
      </c>
      <c r="B443" t="s">
        <v>739</v>
      </c>
      <c r="E443" t="s">
        <v>14</v>
      </c>
      <c r="F443" t="s">
        <v>15</v>
      </c>
      <c r="G443" t="s">
        <v>1066</v>
      </c>
      <c r="H443" t="s">
        <v>1067</v>
      </c>
      <c r="K443" t="s">
        <v>740</v>
      </c>
      <c r="L443" t="s">
        <v>25</v>
      </c>
      <c r="M443" t="s">
        <v>18</v>
      </c>
      <c r="N443" s="4">
        <v>12770</v>
      </c>
      <c r="O443" s="4">
        <v>84</v>
      </c>
      <c r="P443" s="4">
        <v>6224</v>
      </c>
      <c r="Q443" s="4">
        <v>11110</v>
      </c>
      <c r="R443" s="4">
        <v>21</v>
      </c>
      <c r="S443" s="3">
        <v>2087.5098269999999</v>
      </c>
      <c r="T443" s="3">
        <f t="shared" si="38"/>
        <v>99.405229857142857</v>
      </c>
      <c r="U443" s="5">
        <f t="shared" si="42"/>
        <v>0.25</v>
      </c>
      <c r="V443" s="5">
        <f t="shared" si="39"/>
        <v>6.5779169929522322E-3</v>
      </c>
      <c r="W443" s="3">
        <f t="shared" si="40"/>
        <v>24.851307464285714</v>
      </c>
      <c r="X443" s="3">
        <f t="shared" si="41"/>
        <v>163.46983766640562</v>
      </c>
      <c r="Y443" s="7">
        <f t="shared" si="43"/>
        <v>0.56021602160216022</v>
      </c>
    </row>
    <row r="444" spans="1:25" x14ac:dyDescent="0.25">
      <c r="A444" t="s">
        <v>738</v>
      </c>
      <c r="B444" t="s">
        <v>155</v>
      </c>
      <c r="C444" t="s">
        <v>741</v>
      </c>
      <c r="E444" t="s">
        <v>14</v>
      </c>
      <c r="F444" t="s">
        <v>44</v>
      </c>
      <c r="G444" t="s">
        <v>1064</v>
      </c>
      <c r="H444" t="s">
        <v>1065</v>
      </c>
      <c r="K444" t="s">
        <v>742</v>
      </c>
      <c r="L444" t="s">
        <v>25</v>
      </c>
      <c r="M444" t="s">
        <v>21</v>
      </c>
      <c r="N444" s="4">
        <v>15277</v>
      </c>
      <c r="O444" s="4">
        <v>69</v>
      </c>
      <c r="P444" s="4">
        <v>3089</v>
      </c>
      <c r="Q444" s="4">
        <v>13644</v>
      </c>
      <c r="R444" s="4">
        <v>4</v>
      </c>
      <c r="S444" s="3">
        <v>1904.5643459999999</v>
      </c>
      <c r="T444" s="3">
        <f t="shared" si="38"/>
        <v>476.14108649999997</v>
      </c>
      <c r="U444" s="5">
        <f t="shared" si="42"/>
        <v>5.7971014492753624E-2</v>
      </c>
      <c r="V444" s="5">
        <f t="shared" si="39"/>
        <v>4.516593572036395E-3</v>
      </c>
      <c r="W444" s="3">
        <f t="shared" si="40"/>
        <v>27.602381826086955</v>
      </c>
      <c r="X444" s="3">
        <f t="shared" si="41"/>
        <v>124.66874032859853</v>
      </c>
      <c r="Y444" s="7">
        <f t="shared" si="43"/>
        <v>0.22639988273233655</v>
      </c>
    </row>
    <row r="445" spans="1:25" x14ac:dyDescent="0.25">
      <c r="A445" t="s">
        <v>738</v>
      </c>
      <c r="B445" t="s">
        <v>743</v>
      </c>
      <c r="C445" t="s">
        <v>744</v>
      </c>
      <c r="E445" t="s">
        <v>19</v>
      </c>
      <c r="F445" t="s">
        <v>15</v>
      </c>
      <c r="G445" t="s">
        <v>1078</v>
      </c>
      <c r="H445" t="s">
        <v>1065</v>
      </c>
      <c r="K445" t="s">
        <v>337</v>
      </c>
      <c r="L445" t="s">
        <v>68</v>
      </c>
      <c r="M445" t="s">
        <v>21</v>
      </c>
      <c r="N445" s="4">
        <v>12692</v>
      </c>
      <c r="O445" s="4">
        <v>105</v>
      </c>
      <c r="P445" s="4">
        <v>9048</v>
      </c>
      <c r="Q445" s="4">
        <v>12326</v>
      </c>
      <c r="R445" s="4">
        <v>14</v>
      </c>
      <c r="S445" s="3">
        <v>1541.7195979999999</v>
      </c>
      <c r="T445" s="3">
        <f t="shared" si="38"/>
        <v>110.12282842857142</v>
      </c>
      <c r="U445" s="5">
        <f t="shared" si="42"/>
        <v>0.13333333333333333</v>
      </c>
      <c r="V445" s="5">
        <f t="shared" si="39"/>
        <v>8.2729278285534197E-3</v>
      </c>
      <c r="W445" s="3">
        <f t="shared" si="40"/>
        <v>14.683043790476189</v>
      </c>
      <c r="X445" s="3">
        <f t="shared" si="41"/>
        <v>121.47176158209895</v>
      </c>
      <c r="Y445" s="7">
        <f t="shared" si="43"/>
        <v>0.73405808859321764</v>
      </c>
    </row>
    <row r="446" spans="1:25" x14ac:dyDescent="0.25">
      <c r="A446" t="s">
        <v>745</v>
      </c>
      <c r="B446" t="s">
        <v>746</v>
      </c>
      <c r="E446" t="s">
        <v>19</v>
      </c>
      <c r="F446" t="s">
        <v>26</v>
      </c>
      <c r="G446" t="s">
        <v>1066</v>
      </c>
      <c r="H446" t="s">
        <v>1067</v>
      </c>
      <c r="K446" t="s">
        <v>747</v>
      </c>
      <c r="L446" t="s">
        <v>89</v>
      </c>
      <c r="M446" t="s">
        <v>21</v>
      </c>
      <c r="N446" s="4">
        <v>37176</v>
      </c>
      <c r="O446" s="4">
        <v>100</v>
      </c>
      <c r="P446" s="4">
        <v>31829</v>
      </c>
      <c r="Q446" s="4">
        <v>35639</v>
      </c>
      <c r="R446" s="4">
        <v>21</v>
      </c>
      <c r="S446" s="3">
        <v>6753.5952420000003</v>
      </c>
      <c r="T446" s="3">
        <f t="shared" si="38"/>
        <v>321.59977342857144</v>
      </c>
      <c r="U446" s="5">
        <f t="shared" si="42"/>
        <v>0.21</v>
      </c>
      <c r="V446" s="5">
        <f t="shared" si="39"/>
        <v>2.6899074671831291E-3</v>
      </c>
      <c r="W446" s="3">
        <f t="shared" si="40"/>
        <v>67.535952420000001</v>
      </c>
      <c r="X446" s="3">
        <f t="shared" si="41"/>
        <v>181.66546271788249</v>
      </c>
      <c r="Y446" s="7">
        <f t="shared" si="43"/>
        <v>0.89309464350851597</v>
      </c>
    </row>
    <row r="447" spans="1:25" x14ac:dyDescent="0.25">
      <c r="A447" t="s">
        <v>745</v>
      </c>
      <c r="B447" t="s">
        <v>627</v>
      </c>
      <c r="E447" t="s">
        <v>19</v>
      </c>
      <c r="F447" t="s">
        <v>33</v>
      </c>
      <c r="G447" t="s">
        <v>1087</v>
      </c>
      <c r="H447" t="s">
        <v>1074</v>
      </c>
      <c r="K447" t="s">
        <v>85</v>
      </c>
      <c r="L447" t="s">
        <v>115</v>
      </c>
      <c r="M447" t="s">
        <v>21</v>
      </c>
      <c r="N447" s="4">
        <v>44889</v>
      </c>
      <c r="O447" s="4">
        <v>125</v>
      </c>
      <c r="P447" s="4">
        <v>17477</v>
      </c>
      <c r="Q447" s="4">
        <v>38621</v>
      </c>
      <c r="R447" s="4">
        <v>25</v>
      </c>
      <c r="S447" s="3">
        <v>6644.954146</v>
      </c>
      <c r="T447" s="3">
        <f t="shared" si="38"/>
        <v>265.79816584000002</v>
      </c>
      <c r="U447" s="5">
        <f t="shared" si="42"/>
        <v>0.2</v>
      </c>
      <c r="V447" s="5">
        <f t="shared" si="39"/>
        <v>2.7846465726569982E-3</v>
      </c>
      <c r="W447" s="3">
        <f t="shared" si="40"/>
        <v>53.159633167999999</v>
      </c>
      <c r="X447" s="3">
        <f t="shared" si="41"/>
        <v>148.03079030497449</v>
      </c>
      <c r="Y447" s="7">
        <f t="shared" si="43"/>
        <v>0.45252582791745422</v>
      </c>
    </row>
    <row r="448" spans="1:25" x14ac:dyDescent="0.25">
      <c r="A448" t="s">
        <v>745</v>
      </c>
      <c r="B448" t="s">
        <v>748</v>
      </c>
      <c r="E448" t="s">
        <v>19</v>
      </c>
      <c r="F448" t="s">
        <v>33</v>
      </c>
      <c r="G448" t="s">
        <v>1066</v>
      </c>
      <c r="H448" t="s">
        <v>1067</v>
      </c>
      <c r="K448" t="s">
        <v>281</v>
      </c>
      <c r="L448" t="s">
        <v>17</v>
      </c>
      <c r="M448" t="s">
        <v>21</v>
      </c>
      <c r="N448" s="4">
        <v>55445</v>
      </c>
      <c r="O448" s="4">
        <v>155</v>
      </c>
      <c r="P448" s="4">
        <v>4565</v>
      </c>
      <c r="Q448" s="4">
        <v>53407</v>
      </c>
      <c r="R448" s="4">
        <v>36</v>
      </c>
      <c r="S448" s="3">
        <v>7948.4807520000004</v>
      </c>
      <c r="T448" s="3">
        <f t="shared" si="38"/>
        <v>220.791132</v>
      </c>
      <c r="U448" s="5">
        <f t="shared" si="42"/>
        <v>0.23225806451612904</v>
      </c>
      <c r="V448" s="5">
        <f t="shared" si="39"/>
        <v>2.7955631707097125E-3</v>
      </c>
      <c r="W448" s="3">
        <f t="shared" si="40"/>
        <v>51.280520980645164</v>
      </c>
      <c r="X448" s="3">
        <f t="shared" si="41"/>
        <v>143.35793582829831</v>
      </c>
      <c r="Y448" s="7">
        <f t="shared" si="43"/>
        <v>8.5475686707734935E-2</v>
      </c>
    </row>
    <row r="449" spans="1:25" x14ac:dyDescent="0.25">
      <c r="A449" t="s">
        <v>745</v>
      </c>
      <c r="B449" t="s">
        <v>749</v>
      </c>
      <c r="E449" t="s">
        <v>23</v>
      </c>
      <c r="F449" t="s">
        <v>26</v>
      </c>
      <c r="G449" t="s">
        <v>1078</v>
      </c>
      <c r="H449" t="s">
        <v>1065</v>
      </c>
      <c r="K449" t="s">
        <v>750</v>
      </c>
      <c r="L449" t="s">
        <v>25</v>
      </c>
      <c r="M449" t="s">
        <v>21</v>
      </c>
      <c r="N449" s="4">
        <v>115412</v>
      </c>
      <c r="O449" s="4">
        <v>490</v>
      </c>
      <c r="P449" s="4">
        <v>71564</v>
      </c>
      <c r="Q449" s="4">
        <v>81785</v>
      </c>
      <c r="R449" s="4">
        <v>21</v>
      </c>
      <c r="S449" s="3">
        <v>6861.5363799999996</v>
      </c>
      <c r="T449" s="3">
        <f t="shared" si="38"/>
        <v>326.73982761904762</v>
      </c>
      <c r="U449" s="5">
        <f t="shared" si="42"/>
        <v>4.2857142857142858E-2</v>
      </c>
      <c r="V449" s="5">
        <f t="shared" si="39"/>
        <v>4.2456590302568193E-3</v>
      </c>
      <c r="W449" s="3">
        <f t="shared" si="40"/>
        <v>14.003135469387754</v>
      </c>
      <c r="X449" s="3">
        <f t="shared" si="41"/>
        <v>59.45253855751568</v>
      </c>
      <c r="Y449" s="7">
        <f t="shared" si="43"/>
        <v>0.8750259827596748</v>
      </c>
    </row>
    <row r="450" spans="1:25" x14ac:dyDescent="0.25">
      <c r="A450" t="s">
        <v>745</v>
      </c>
      <c r="B450" t="s">
        <v>751</v>
      </c>
      <c r="E450" t="s">
        <v>19</v>
      </c>
      <c r="F450" t="s">
        <v>15</v>
      </c>
      <c r="G450" t="s">
        <v>1075</v>
      </c>
      <c r="H450" t="s">
        <v>1074</v>
      </c>
      <c r="K450" t="s">
        <v>75</v>
      </c>
      <c r="L450" t="s">
        <v>73</v>
      </c>
      <c r="M450" t="s">
        <v>21</v>
      </c>
      <c r="N450" s="4">
        <v>44505</v>
      </c>
      <c r="O450" s="4">
        <v>125</v>
      </c>
      <c r="P450" s="4">
        <v>18993</v>
      </c>
      <c r="Q450" s="4">
        <v>39522</v>
      </c>
      <c r="R450" s="4">
        <v>16</v>
      </c>
      <c r="S450" s="3">
        <v>6766.4753680000003</v>
      </c>
      <c r="T450" s="3">
        <f t="shared" ref="T450:T513" si="44">S450/R450</f>
        <v>422.90471050000002</v>
      </c>
      <c r="U450" s="5">
        <f t="shared" si="42"/>
        <v>0.128</v>
      </c>
      <c r="V450" s="5">
        <f t="shared" ref="V450:V513" si="45">O450/N450</f>
        <v>2.8086731827884509E-3</v>
      </c>
      <c r="W450" s="3">
        <f t="shared" ref="W450:W513" si="46">S450/O450</f>
        <v>54.131802944</v>
      </c>
      <c r="X450" s="3">
        <f t="shared" ref="X450:X513" si="47">(S450/N450)*1000</f>
        <v>152.03854326480172</v>
      </c>
      <c r="Y450" s="7">
        <f t="shared" si="43"/>
        <v>0.48056778503112191</v>
      </c>
    </row>
    <row r="451" spans="1:25" x14ac:dyDescent="0.25">
      <c r="A451" t="s">
        <v>745</v>
      </c>
      <c r="B451" t="s">
        <v>752</v>
      </c>
      <c r="E451" t="s">
        <v>14</v>
      </c>
      <c r="F451" t="s">
        <v>44</v>
      </c>
      <c r="G451" t="s">
        <v>1066</v>
      </c>
      <c r="H451" t="s">
        <v>1067</v>
      </c>
      <c r="K451" t="s">
        <v>49</v>
      </c>
      <c r="L451" t="s">
        <v>17</v>
      </c>
      <c r="M451" t="s">
        <v>21</v>
      </c>
      <c r="N451" s="4">
        <v>9404</v>
      </c>
      <c r="O451" s="4">
        <v>30</v>
      </c>
      <c r="P451" s="4">
        <v>4781</v>
      </c>
      <c r="Q451" s="4">
        <v>7943</v>
      </c>
      <c r="R451" s="4">
        <v>4</v>
      </c>
      <c r="S451" s="3">
        <v>1345.3689999999999</v>
      </c>
      <c r="T451" s="3">
        <f t="shared" si="44"/>
        <v>336.34224999999998</v>
      </c>
      <c r="U451" s="5">
        <f t="shared" ref="U451:U514" si="48">R451/O451</f>
        <v>0.13333333333333333</v>
      </c>
      <c r="V451" s="5">
        <f t="shared" si="45"/>
        <v>3.1901318587834963E-3</v>
      </c>
      <c r="W451" s="3">
        <f t="shared" si="46"/>
        <v>44.845633333333332</v>
      </c>
      <c r="X451" s="3">
        <f t="shared" si="47"/>
        <v>143.06348362398978</v>
      </c>
      <c r="Y451" s="7">
        <f t="shared" ref="Y451:Y514" si="49">P451/Q451</f>
        <v>0.60191363464685887</v>
      </c>
    </row>
    <row r="452" spans="1:25" x14ac:dyDescent="0.25">
      <c r="A452" t="s">
        <v>745</v>
      </c>
      <c r="B452" t="s">
        <v>753</v>
      </c>
      <c r="E452" t="s">
        <v>19</v>
      </c>
      <c r="F452" t="s">
        <v>15</v>
      </c>
      <c r="G452" t="s">
        <v>1070</v>
      </c>
      <c r="H452" t="s">
        <v>1071</v>
      </c>
      <c r="K452" t="s">
        <v>215</v>
      </c>
      <c r="L452" t="s">
        <v>17</v>
      </c>
      <c r="M452" t="s">
        <v>21</v>
      </c>
      <c r="N452" s="4">
        <v>26715</v>
      </c>
      <c r="O452" s="4">
        <v>100</v>
      </c>
      <c r="P452" s="4">
        <v>12287</v>
      </c>
      <c r="Q452" s="4">
        <v>25003</v>
      </c>
      <c r="R452" s="4">
        <v>6</v>
      </c>
      <c r="S452" s="3">
        <v>4623.0896720000001</v>
      </c>
      <c r="T452" s="3">
        <f t="shared" si="44"/>
        <v>770.51494533333334</v>
      </c>
      <c r="U452" s="5">
        <f t="shared" si="48"/>
        <v>0.06</v>
      </c>
      <c r="V452" s="5">
        <f t="shared" si="45"/>
        <v>3.7432154220475387E-3</v>
      </c>
      <c r="W452" s="3">
        <f t="shared" si="46"/>
        <v>46.230896720000004</v>
      </c>
      <c r="X452" s="3">
        <f t="shared" si="47"/>
        <v>173.05220557739099</v>
      </c>
      <c r="Y452" s="7">
        <f t="shared" si="49"/>
        <v>0.49142102947646282</v>
      </c>
    </row>
    <row r="453" spans="1:25" x14ac:dyDescent="0.25">
      <c r="A453" t="s">
        <v>754</v>
      </c>
      <c r="B453" t="s">
        <v>50</v>
      </c>
      <c r="C453" t="s">
        <v>755</v>
      </c>
      <c r="E453" t="s">
        <v>14</v>
      </c>
      <c r="F453" t="s">
        <v>44</v>
      </c>
      <c r="G453" t="s">
        <v>1087</v>
      </c>
      <c r="H453" t="s">
        <v>1074</v>
      </c>
      <c r="K453" t="s">
        <v>661</v>
      </c>
      <c r="L453" t="s">
        <v>68</v>
      </c>
      <c r="M453" t="s">
        <v>29</v>
      </c>
      <c r="N453" s="4">
        <v>16628</v>
      </c>
      <c r="O453" s="4">
        <v>70</v>
      </c>
      <c r="P453" s="4">
        <v>7974</v>
      </c>
      <c r="Q453" s="4">
        <v>15969</v>
      </c>
      <c r="R453" s="4">
        <v>13</v>
      </c>
      <c r="S453" s="3">
        <v>1665.9658509999999</v>
      </c>
      <c r="T453" s="3">
        <f t="shared" si="44"/>
        <v>128.15121930769232</v>
      </c>
      <c r="U453" s="5">
        <f t="shared" si="48"/>
        <v>0.18571428571428572</v>
      </c>
      <c r="V453" s="5">
        <f t="shared" si="45"/>
        <v>4.2097666586480634E-3</v>
      </c>
      <c r="W453" s="3">
        <f t="shared" si="46"/>
        <v>23.799512157142857</v>
      </c>
      <c r="X453" s="3">
        <f t="shared" si="47"/>
        <v>100.19039277122926</v>
      </c>
      <c r="Y453" s="7">
        <f t="shared" si="49"/>
        <v>0.49934247604734172</v>
      </c>
    </row>
    <row r="454" spans="1:25" x14ac:dyDescent="0.25">
      <c r="A454" t="s">
        <v>754</v>
      </c>
      <c r="B454" t="s">
        <v>50</v>
      </c>
      <c r="C454" t="s">
        <v>756</v>
      </c>
      <c r="D454" t="s">
        <v>702</v>
      </c>
      <c r="E454" t="s">
        <v>14</v>
      </c>
      <c r="F454" t="s">
        <v>26</v>
      </c>
      <c r="G454" t="s">
        <v>1121</v>
      </c>
      <c r="H454" t="s">
        <v>1122</v>
      </c>
      <c r="K454" t="s">
        <v>757</v>
      </c>
      <c r="L454" t="s">
        <v>28</v>
      </c>
      <c r="M454" t="s">
        <v>18</v>
      </c>
      <c r="N454" s="4">
        <v>94340</v>
      </c>
      <c r="O454" s="4">
        <v>250</v>
      </c>
      <c r="P454" s="4">
        <v>16955</v>
      </c>
      <c r="Q454" s="4">
        <v>76971</v>
      </c>
      <c r="R454" s="4">
        <v>13</v>
      </c>
      <c r="S454" s="3">
        <v>1517.244377</v>
      </c>
      <c r="T454" s="3">
        <f t="shared" si="44"/>
        <v>116.71110592307693</v>
      </c>
      <c r="U454" s="5">
        <f t="shared" si="48"/>
        <v>5.1999999999999998E-2</v>
      </c>
      <c r="V454" s="5">
        <f t="shared" si="45"/>
        <v>2.6499894000424E-3</v>
      </c>
      <c r="W454" s="3">
        <f t="shared" si="46"/>
        <v>6.0689775079999997</v>
      </c>
      <c r="X454" s="3">
        <f t="shared" si="47"/>
        <v>16.082726065295741</v>
      </c>
      <c r="Y454" s="7">
        <f t="shared" si="49"/>
        <v>0.22027776695118942</v>
      </c>
    </row>
    <row r="455" spans="1:25" x14ac:dyDescent="0.25">
      <c r="A455" t="s">
        <v>754</v>
      </c>
      <c r="B455" t="s">
        <v>50</v>
      </c>
      <c r="C455" t="s">
        <v>758</v>
      </c>
      <c r="D455" t="s">
        <v>759</v>
      </c>
      <c r="E455" t="s">
        <v>14</v>
      </c>
      <c r="F455" t="s">
        <v>33</v>
      </c>
      <c r="G455" t="s">
        <v>1086</v>
      </c>
      <c r="H455" t="s">
        <v>1063</v>
      </c>
      <c r="K455" t="s">
        <v>27</v>
      </c>
      <c r="L455" t="s">
        <v>17</v>
      </c>
      <c r="M455" t="s">
        <v>29</v>
      </c>
      <c r="N455" s="4">
        <v>76439</v>
      </c>
      <c r="O455" s="4">
        <v>100</v>
      </c>
      <c r="P455" s="4">
        <v>58269</v>
      </c>
      <c r="Q455" s="4">
        <v>66924</v>
      </c>
      <c r="R455" s="4">
        <v>8</v>
      </c>
      <c r="S455" s="3">
        <v>1524.8102240000001</v>
      </c>
      <c r="T455" s="3">
        <f t="shared" si="44"/>
        <v>190.60127800000001</v>
      </c>
      <c r="U455" s="5">
        <f t="shared" si="48"/>
        <v>0.08</v>
      </c>
      <c r="V455" s="5">
        <f t="shared" si="45"/>
        <v>1.3082327084341762E-3</v>
      </c>
      <c r="W455" s="3">
        <f t="shared" si="46"/>
        <v>15.248102240000001</v>
      </c>
      <c r="X455" s="3">
        <f t="shared" si="47"/>
        <v>19.948066091916431</v>
      </c>
      <c r="Y455" s="7">
        <f t="shared" si="49"/>
        <v>0.87067419759727449</v>
      </c>
    </row>
    <row r="456" spans="1:25" x14ac:dyDescent="0.25">
      <c r="A456" t="s">
        <v>754</v>
      </c>
      <c r="B456" t="s">
        <v>50</v>
      </c>
      <c r="C456" t="s">
        <v>760</v>
      </c>
      <c r="E456" t="s">
        <v>14</v>
      </c>
      <c r="F456" t="s">
        <v>15</v>
      </c>
      <c r="G456" t="s">
        <v>1066</v>
      </c>
      <c r="H456" t="s">
        <v>1067</v>
      </c>
      <c r="K456" t="s">
        <v>761</v>
      </c>
      <c r="L456" t="s">
        <v>73</v>
      </c>
      <c r="M456" t="s">
        <v>21</v>
      </c>
      <c r="N456" s="4">
        <v>75161</v>
      </c>
      <c r="O456" s="4">
        <v>280</v>
      </c>
      <c r="P456" s="4">
        <v>40385</v>
      </c>
      <c r="Q456" s="4">
        <v>70325</v>
      </c>
      <c r="R456" s="4">
        <v>3</v>
      </c>
      <c r="S456" s="3">
        <v>1506.461108</v>
      </c>
      <c r="T456" s="3">
        <f t="shared" si="44"/>
        <v>502.15370266666667</v>
      </c>
      <c r="U456" s="5">
        <f t="shared" si="48"/>
        <v>1.0714285714285714E-2</v>
      </c>
      <c r="V456" s="5">
        <f t="shared" si="45"/>
        <v>3.7253362781229627E-3</v>
      </c>
      <c r="W456" s="3">
        <f t="shared" si="46"/>
        <v>5.3802182428571426</v>
      </c>
      <c r="X456" s="3">
        <f t="shared" si="47"/>
        <v>20.043122204334693</v>
      </c>
      <c r="Y456" s="7">
        <f t="shared" si="49"/>
        <v>0.57426235335940279</v>
      </c>
    </row>
    <row r="457" spans="1:25" x14ac:dyDescent="0.25">
      <c r="A457" t="s">
        <v>754</v>
      </c>
      <c r="B457" t="s">
        <v>50</v>
      </c>
      <c r="C457" t="s">
        <v>350</v>
      </c>
      <c r="D457" t="s">
        <v>1139</v>
      </c>
      <c r="E457" t="s">
        <v>19</v>
      </c>
      <c r="F457" t="s">
        <v>26</v>
      </c>
      <c r="G457" t="s">
        <v>1062</v>
      </c>
      <c r="H457" t="s">
        <v>1063</v>
      </c>
      <c r="K457" t="s">
        <v>81</v>
      </c>
      <c r="L457" t="s">
        <v>73</v>
      </c>
      <c r="M457" t="s">
        <v>21</v>
      </c>
      <c r="N457" s="4">
        <v>19826</v>
      </c>
      <c r="O457" s="4">
        <v>39</v>
      </c>
      <c r="P457" s="4">
        <v>6511</v>
      </c>
      <c r="Q457" s="4">
        <v>15752</v>
      </c>
      <c r="R457" s="4">
        <v>10</v>
      </c>
      <c r="S457" s="3">
        <v>1447.873298</v>
      </c>
      <c r="T457" s="3">
        <f t="shared" si="44"/>
        <v>144.78732980000001</v>
      </c>
      <c r="U457" s="5">
        <f t="shared" si="48"/>
        <v>0.25641025641025639</v>
      </c>
      <c r="V457" s="5">
        <f t="shared" si="45"/>
        <v>1.9671138908503986E-3</v>
      </c>
      <c r="W457" s="3">
        <f t="shared" si="46"/>
        <v>37.124956358974359</v>
      </c>
      <c r="X457" s="3">
        <f t="shared" si="47"/>
        <v>73.029017350953296</v>
      </c>
      <c r="Y457" s="7">
        <f t="shared" si="49"/>
        <v>0.4133443372270188</v>
      </c>
    </row>
    <row r="458" spans="1:25" x14ac:dyDescent="0.25">
      <c r="A458" t="s">
        <v>754</v>
      </c>
      <c r="B458" t="s">
        <v>762</v>
      </c>
      <c r="E458" t="s">
        <v>19</v>
      </c>
      <c r="F458" t="s">
        <v>26</v>
      </c>
      <c r="G458" t="s">
        <v>1070</v>
      </c>
      <c r="H458" t="s">
        <v>1071</v>
      </c>
      <c r="K458" t="s">
        <v>278</v>
      </c>
      <c r="L458" t="s">
        <v>17</v>
      </c>
      <c r="M458" t="s">
        <v>21</v>
      </c>
      <c r="N458" s="4">
        <v>19212</v>
      </c>
      <c r="O458" s="4">
        <v>54</v>
      </c>
      <c r="P458" s="4">
        <v>6872</v>
      </c>
      <c r="Q458" s="4">
        <v>14248</v>
      </c>
      <c r="R458" s="4">
        <v>10</v>
      </c>
      <c r="S458" s="3">
        <v>2133.0771129999998</v>
      </c>
      <c r="T458" s="3">
        <f t="shared" si="44"/>
        <v>213.30771129999999</v>
      </c>
      <c r="U458" s="5">
        <f t="shared" si="48"/>
        <v>0.18518518518518517</v>
      </c>
      <c r="V458" s="5">
        <f t="shared" si="45"/>
        <v>2.8107432854465957E-3</v>
      </c>
      <c r="W458" s="3">
        <f t="shared" si="46"/>
        <v>39.501428018518517</v>
      </c>
      <c r="X458" s="3">
        <f t="shared" si="47"/>
        <v>111.02837356860294</v>
      </c>
      <c r="Y458" s="7">
        <f t="shared" si="49"/>
        <v>0.48231330713082537</v>
      </c>
    </row>
    <row r="459" spans="1:25" x14ac:dyDescent="0.25">
      <c r="A459" t="s">
        <v>754</v>
      </c>
      <c r="B459" t="s">
        <v>50</v>
      </c>
      <c r="C459" t="s">
        <v>758</v>
      </c>
      <c r="E459" t="s">
        <v>14</v>
      </c>
      <c r="F459" t="s">
        <v>33</v>
      </c>
      <c r="G459" t="s">
        <v>1078</v>
      </c>
      <c r="H459" t="s">
        <v>1065</v>
      </c>
      <c r="K459" t="s">
        <v>763</v>
      </c>
      <c r="L459" t="s">
        <v>17</v>
      </c>
      <c r="M459" t="s">
        <v>29</v>
      </c>
      <c r="N459" s="4">
        <v>22501</v>
      </c>
      <c r="O459" s="4">
        <v>120</v>
      </c>
      <c r="P459" s="4">
        <v>13003</v>
      </c>
      <c r="Q459" s="4">
        <v>21286</v>
      </c>
      <c r="R459" s="4">
        <v>9</v>
      </c>
      <c r="S459" s="3">
        <v>1522.517949</v>
      </c>
      <c r="T459" s="3">
        <f t="shared" si="44"/>
        <v>169.16866100000001</v>
      </c>
      <c r="U459" s="5">
        <f t="shared" si="48"/>
        <v>7.4999999999999997E-2</v>
      </c>
      <c r="V459" s="5">
        <f t="shared" si="45"/>
        <v>5.3330963068308071E-3</v>
      </c>
      <c r="W459" s="3">
        <f t="shared" si="46"/>
        <v>12.687649575</v>
      </c>
      <c r="X459" s="3">
        <f t="shared" si="47"/>
        <v>67.664457090795963</v>
      </c>
      <c r="Y459" s="7">
        <f t="shared" si="49"/>
        <v>0.61087099502020104</v>
      </c>
    </row>
    <row r="460" spans="1:25" x14ac:dyDescent="0.25">
      <c r="A460" t="s">
        <v>754</v>
      </c>
      <c r="B460" t="s">
        <v>545</v>
      </c>
      <c r="C460" t="s">
        <v>764</v>
      </c>
      <c r="E460" t="s">
        <v>19</v>
      </c>
      <c r="F460" t="s">
        <v>44</v>
      </c>
      <c r="G460" t="s">
        <v>1070</v>
      </c>
      <c r="H460" t="s">
        <v>1071</v>
      </c>
      <c r="K460" t="s">
        <v>24</v>
      </c>
      <c r="L460" t="s">
        <v>17</v>
      </c>
      <c r="M460" t="s">
        <v>21</v>
      </c>
      <c r="N460" s="4">
        <v>80456</v>
      </c>
      <c r="O460" s="4">
        <v>204</v>
      </c>
      <c r="P460" s="4">
        <v>46039</v>
      </c>
      <c r="Q460" s="4">
        <v>65383</v>
      </c>
      <c r="R460" s="4">
        <v>3</v>
      </c>
      <c r="S460" s="3">
        <v>2039.848792</v>
      </c>
      <c r="T460" s="3">
        <f t="shared" si="44"/>
        <v>679.94959733333337</v>
      </c>
      <c r="U460" s="5">
        <f t="shared" si="48"/>
        <v>1.4705882352941176E-2</v>
      </c>
      <c r="V460" s="5">
        <f t="shared" si="45"/>
        <v>2.5355473799343739E-3</v>
      </c>
      <c r="W460" s="3">
        <f t="shared" si="46"/>
        <v>9.9992587843137262</v>
      </c>
      <c r="X460" s="3">
        <f t="shared" si="47"/>
        <v>25.353594411852441</v>
      </c>
      <c r="Y460" s="7">
        <f t="shared" si="49"/>
        <v>0.70414327883394767</v>
      </c>
    </row>
    <row r="461" spans="1:25" x14ac:dyDescent="0.25">
      <c r="A461" t="s">
        <v>754</v>
      </c>
      <c r="B461" t="s">
        <v>50</v>
      </c>
      <c r="C461" t="s">
        <v>420</v>
      </c>
      <c r="E461" t="s">
        <v>19</v>
      </c>
      <c r="F461" t="s">
        <v>15</v>
      </c>
      <c r="G461" t="s">
        <v>1104</v>
      </c>
      <c r="H461" t="s">
        <v>1080</v>
      </c>
      <c r="K461" t="s">
        <v>31</v>
      </c>
      <c r="L461" t="s">
        <v>89</v>
      </c>
      <c r="M461" t="s">
        <v>21</v>
      </c>
      <c r="N461" s="4">
        <v>19344</v>
      </c>
      <c r="O461" s="4">
        <v>68</v>
      </c>
      <c r="P461" s="4">
        <v>2353</v>
      </c>
      <c r="Q461" s="4">
        <v>18261</v>
      </c>
      <c r="R461" s="4">
        <v>10</v>
      </c>
      <c r="S461" s="3">
        <v>1500.722291</v>
      </c>
      <c r="T461" s="3">
        <f t="shared" si="44"/>
        <v>150.07222910000002</v>
      </c>
      <c r="U461" s="5">
        <f t="shared" si="48"/>
        <v>0.14705882352941177</v>
      </c>
      <c r="V461" s="5">
        <f t="shared" si="45"/>
        <v>3.5153019023986768E-3</v>
      </c>
      <c r="W461" s="3">
        <f t="shared" si="46"/>
        <v>22.069445455882352</v>
      </c>
      <c r="X461" s="3">
        <f t="shared" si="47"/>
        <v>77.580763595947062</v>
      </c>
      <c r="Y461" s="7">
        <f t="shared" si="49"/>
        <v>0.12885384152017962</v>
      </c>
    </row>
    <row r="462" spans="1:25" x14ac:dyDescent="0.25">
      <c r="A462" t="s">
        <v>754</v>
      </c>
      <c r="B462" t="s">
        <v>50</v>
      </c>
      <c r="C462" t="s">
        <v>172</v>
      </c>
      <c r="E462" t="s">
        <v>14</v>
      </c>
      <c r="F462" t="s">
        <v>15</v>
      </c>
      <c r="G462" t="s">
        <v>1070</v>
      </c>
      <c r="H462" t="s">
        <v>1071</v>
      </c>
      <c r="K462" t="s">
        <v>24</v>
      </c>
      <c r="L462" t="s">
        <v>25</v>
      </c>
      <c r="M462" t="s">
        <v>18</v>
      </c>
      <c r="N462" s="4">
        <v>96031</v>
      </c>
      <c r="O462" s="4">
        <v>311</v>
      </c>
      <c r="P462" s="4">
        <v>57187</v>
      </c>
      <c r="Q462" s="4">
        <v>78396</v>
      </c>
      <c r="R462" s="4">
        <v>21</v>
      </c>
      <c r="S462" s="3">
        <v>1508.9076700000001</v>
      </c>
      <c r="T462" s="3">
        <f t="shared" si="44"/>
        <v>71.852746190476196</v>
      </c>
      <c r="U462" s="5">
        <f t="shared" si="48"/>
        <v>6.7524115755627015E-2</v>
      </c>
      <c r="V462" s="5">
        <f t="shared" si="45"/>
        <v>3.2385375555810101E-3</v>
      </c>
      <c r="W462" s="3">
        <f t="shared" si="46"/>
        <v>4.8517931511254018</v>
      </c>
      <c r="X462" s="3">
        <f t="shared" si="47"/>
        <v>15.712714331830346</v>
      </c>
      <c r="Y462" s="7">
        <f t="shared" si="49"/>
        <v>0.7294632379203021</v>
      </c>
    </row>
    <row r="463" spans="1:25" x14ac:dyDescent="0.25">
      <c r="A463" t="s">
        <v>754</v>
      </c>
      <c r="E463" t="s">
        <v>14</v>
      </c>
      <c r="F463" t="s">
        <v>33</v>
      </c>
      <c r="G463" t="s">
        <v>1086</v>
      </c>
      <c r="H463" t="s">
        <v>1063</v>
      </c>
      <c r="K463" t="s">
        <v>765</v>
      </c>
      <c r="L463" t="s">
        <v>17</v>
      </c>
      <c r="M463" t="s">
        <v>21</v>
      </c>
      <c r="N463" s="4">
        <v>7472</v>
      </c>
      <c r="O463" s="4">
        <v>10</v>
      </c>
      <c r="P463" s="4">
        <v>1191</v>
      </c>
      <c r="Q463" s="4">
        <v>5883</v>
      </c>
      <c r="R463" s="4">
        <v>1</v>
      </c>
      <c r="S463" s="3">
        <v>2183.952037</v>
      </c>
      <c r="T463" s="3">
        <f t="shared" si="44"/>
        <v>2183.952037</v>
      </c>
      <c r="U463" s="5">
        <f t="shared" si="48"/>
        <v>0.1</v>
      </c>
      <c r="V463" s="5">
        <f t="shared" si="45"/>
        <v>1.3383297644539614E-3</v>
      </c>
      <c r="W463" s="3">
        <f t="shared" si="46"/>
        <v>218.3952037</v>
      </c>
      <c r="X463" s="3">
        <f t="shared" si="47"/>
        <v>292.28480152569591</v>
      </c>
      <c r="Y463" s="7">
        <f t="shared" si="49"/>
        <v>0.20244773074961755</v>
      </c>
    </row>
    <row r="464" spans="1:25" x14ac:dyDescent="0.25">
      <c r="A464" t="s">
        <v>754</v>
      </c>
      <c r="B464" t="s">
        <v>50</v>
      </c>
      <c r="C464" t="s">
        <v>350</v>
      </c>
      <c r="D464" t="s">
        <v>149</v>
      </c>
      <c r="E464" t="s">
        <v>19</v>
      </c>
      <c r="F464" t="s">
        <v>44</v>
      </c>
      <c r="G464" t="s">
        <v>1070</v>
      </c>
      <c r="H464" t="s">
        <v>1071</v>
      </c>
      <c r="K464" t="s">
        <v>234</v>
      </c>
      <c r="L464" t="s">
        <v>272</v>
      </c>
      <c r="M464" t="s">
        <v>21</v>
      </c>
      <c r="N464" s="4">
        <v>16791</v>
      </c>
      <c r="O464" s="4">
        <v>40</v>
      </c>
      <c r="P464" s="4">
        <v>11402</v>
      </c>
      <c r="Q464" s="4">
        <v>14231</v>
      </c>
      <c r="R464" s="4">
        <v>3</v>
      </c>
      <c r="S464" s="3">
        <v>1522.5122719999999</v>
      </c>
      <c r="T464" s="3">
        <f t="shared" si="44"/>
        <v>507.50409066666663</v>
      </c>
      <c r="U464" s="5">
        <f t="shared" si="48"/>
        <v>7.4999999999999997E-2</v>
      </c>
      <c r="V464" s="5">
        <f t="shared" si="45"/>
        <v>2.3822285748317552E-3</v>
      </c>
      <c r="W464" s="3">
        <f t="shared" si="46"/>
        <v>38.062806799999997</v>
      </c>
      <c r="X464" s="3">
        <f t="shared" si="47"/>
        <v>90.674305997260433</v>
      </c>
      <c r="Y464" s="7">
        <f t="shared" si="49"/>
        <v>0.80120862904925871</v>
      </c>
    </row>
    <row r="465" spans="1:25" x14ac:dyDescent="0.25">
      <c r="A465" t="s">
        <v>754</v>
      </c>
      <c r="B465" t="s">
        <v>545</v>
      </c>
      <c r="C465" t="s">
        <v>745</v>
      </c>
      <c r="D465" t="s">
        <v>591</v>
      </c>
      <c r="E465" t="s">
        <v>14</v>
      </c>
      <c r="F465" t="s">
        <v>44</v>
      </c>
      <c r="G465" t="s">
        <v>1088</v>
      </c>
      <c r="H465" t="s">
        <v>1065</v>
      </c>
      <c r="I465" t="s">
        <v>1089</v>
      </c>
      <c r="J465" t="s">
        <v>1090</v>
      </c>
      <c r="K465" t="s">
        <v>91</v>
      </c>
      <c r="L465" t="s">
        <v>68</v>
      </c>
      <c r="M465" t="s">
        <v>21</v>
      </c>
      <c r="N465" s="4">
        <v>197192</v>
      </c>
      <c r="O465" s="4">
        <v>519</v>
      </c>
      <c r="P465" s="4">
        <v>80623</v>
      </c>
      <c r="Q465" s="4">
        <v>181763</v>
      </c>
      <c r="R465" s="4">
        <v>5</v>
      </c>
      <c r="S465" s="3">
        <v>1584.731757</v>
      </c>
      <c r="T465" s="3">
        <f t="shared" si="44"/>
        <v>316.94635140000003</v>
      </c>
      <c r="U465" s="5">
        <f t="shared" si="48"/>
        <v>9.6339113680154135E-3</v>
      </c>
      <c r="V465" s="5">
        <f t="shared" si="45"/>
        <v>2.6319526147105358E-3</v>
      </c>
      <c r="W465" s="3">
        <f t="shared" si="46"/>
        <v>3.0534330578034683</v>
      </c>
      <c r="X465" s="3">
        <f t="shared" si="47"/>
        <v>8.0364911203294245</v>
      </c>
      <c r="Y465" s="7">
        <f t="shared" si="49"/>
        <v>0.44356112080016286</v>
      </c>
    </row>
    <row r="466" spans="1:25" x14ac:dyDescent="0.25">
      <c r="A466" t="s">
        <v>754</v>
      </c>
      <c r="B466" t="s">
        <v>50</v>
      </c>
      <c r="C466" t="s">
        <v>141</v>
      </c>
      <c r="D466" t="s">
        <v>766</v>
      </c>
      <c r="E466" t="s">
        <v>19</v>
      </c>
      <c r="F466" t="s">
        <v>15</v>
      </c>
      <c r="G466" t="s">
        <v>1079</v>
      </c>
      <c r="H466" t="s">
        <v>1080</v>
      </c>
      <c r="K466" t="s">
        <v>45</v>
      </c>
      <c r="L466" t="s">
        <v>25</v>
      </c>
      <c r="M466" t="s">
        <v>21</v>
      </c>
      <c r="N466" s="4">
        <v>37269</v>
      </c>
      <c r="O466" s="4">
        <v>106</v>
      </c>
      <c r="P466" s="4">
        <v>11667</v>
      </c>
      <c r="Q466" s="4">
        <v>33260</v>
      </c>
      <c r="R466" s="4">
        <v>6</v>
      </c>
      <c r="S466" s="3">
        <v>1453.075462</v>
      </c>
      <c r="T466" s="3">
        <f t="shared" si="44"/>
        <v>242.17924366666668</v>
      </c>
      <c r="U466" s="5">
        <f t="shared" si="48"/>
        <v>5.6603773584905662E-2</v>
      </c>
      <c r="V466" s="5">
        <f t="shared" si="45"/>
        <v>2.8441868577101614E-3</v>
      </c>
      <c r="W466" s="3">
        <f t="shared" si="46"/>
        <v>13.708259075471698</v>
      </c>
      <c r="X466" s="3">
        <f t="shared" si="47"/>
        <v>38.988850304542645</v>
      </c>
      <c r="Y466" s="7">
        <f t="shared" si="49"/>
        <v>0.35078171978352374</v>
      </c>
    </row>
    <row r="467" spans="1:25" x14ac:dyDescent="0.25">
      <c r="A467" t="s">
        <v>754</v>
      </c>
      <c r="B467" t="s">
        <v>545</v>
      </c>
      <c r="C467" t="s">
        <v>537</v>
      </c>
      <c r="E467" t="s">
        <v>19</v>
      </c>
      <c r="F467" t="s">
        <v>44</v>
      </c>
      <c r="G467" t="s">
        <v>1062</v>
      </c>
      <c r="H467" t="s">
        <v>1063</v>
      </c>
      <c r="K467" t="s">
        <v>767</v>
      </c>
      <c r="L467" t="s">
        <v>25</v>
      </c>
      <c r="M467" t="s">
        <v>21</v>
      </c>
      <c r="N467" s="4">
        <v>13779</v>
      </c>
      <c r="O467" s="4">
        <v>96</v>
      </c>
      <c r="P467" s="4">
        <v>3482</v>
      </c>
      <c r="Q467" s="4">
        <v>12487</v>
      </c>
      <c r="R467" s="4">
        <v>4</v>
      </c>
      <c r="S467" s="3">
        <v>1530.041892</v>
      </c>
      <c r="T467" s="3">
        <f t="shared" si="44"/>
        <v>382.51047299999999</v>
      </c>
      <c r="U467" s="5">
        <f t="shared" si="48"/>
        <v>4.1666666666666664E-2</v>
      </c>
      <c r="V467" s="5">
        <f t="shared" si="45"/>
        <v>6.9671238841715654E-3</v>
      </c>
      <c r="W467" s="3">
        <f t="shared" si="46"/>
        <v>15.937936375</v>
      </c>
      <c r="X467" s="3">
        <f t="shared" si="47"/>
        <v>111.04157718266927</v>
      </c>
      <c r="Y467" s="7">
        <f t="shared" si="49"/>
        <v>0.27885000400416432</v>
      </c>
    </row>
    <row r="468" spans="1:25" x14ac:dyDescent="0.25">
      <c r="A468" t="s">
        <v>754</v>
      </c>
      <c r="B468" t="s">
        <v>545</v>
      </c>
      <c r="C468" t="s">
        <v>768</v>
      </c>
      <c r="D468" t="s">
        <v>35</v>
      </c>
      <c r="E468" t="s">
        <v>14</v>
      </c>
      <c r="F468" t="s">
        <v>15</v>
      </c>
      <c r="G468" t="s">
        <v>1079</v>
      </c>
      <c r="H468" t="s">
        <v>1080</v>
      </c>
      <c r="K468" t="s">
        <v>85</v>
      </c>
      <c r="L468" t="s">
        <v>25</v>
      </c>
      <c r="M468" t="s">
        <v>21</v>
      </c>
      <c r="N468" s="4">
        <v>30714</v>
      </c>
      <c r="O468" s="4">
        <v>111</v>
      </c>
      <c r="P468" s="4">
        <v>12531</v>
      </c>
      <c r="Q468" s="4">
        <v>28461</v>
      </c>
      <c r="R468" s="4">
        <v>9</v>
      </c>
      <c r="S468" s="3">
        <v>1503.4843109999999</v>
      </c>
      <c r="T468" s="3">
        <f t="shared" si="44"/>
        <v>167.05381233333333</v>
      </c>
      <c r="U468" s="5">
        <f t="shared" si="48"/>
        <v>8.1081081081081086E-2</v>
      </c>
      <c r="V468" s="5">
        <f t="shared" si="45"/>
        <v>3.6139871068568081E-3</v>
      </c>
      <c r="W468" s="3">
        <f t="shared" si="46"/>
        <v>13.544903702702703</v>
      </c>
      <c r="X468" s="3">
        <f t="shared" si="47"/>
        <v>48.951107345184603</v>
      </c>
      <c r="Y468" s="7">
        <f t="shared" si="49"/>
        <v>0.44028670812691051</v>
      </c>
    </row>
    <row r="469" spans="1:25" x14ac:dyDescent="0.25">
      <c r="A469" t="s">
        <v>754</v>
      </c>
      <c r="B469" t="s">
        <v>545</v>
      </c>
      <c r="C469" t="s">
        <v>769</v>
      </c>
      <c r="E469" t="s">
        <v>14</v>
      </c>
      <c r="F469" t="s">
        <v>26</v>
      </c>
      <c r="G469" t="s">
        <v>1088</v>
      </c>
      <c r="H469" t="s">
        <v>1065</v>
      </c>
      <c r="I469" t="s">
        <v>1089</v>
      </c>
      <c r="J469" t="s">
        <v>1090</v>
      </c>
      <c r="K469" t="s">
        <v>45</v>
      </c>
      <c r="L469" t="s">
        <v>17</v>
      </c>
      <c r="M469" t="s">
        <v>21</v>
      </c>
      <c r="N469" s="4">
        <v>189462</v>
      </c>
      <c r="O469" s="4">
        <v>478</v>
      </c>
      <c r="P469" s="4">
        <v>53431</v>
      </c>
      <c r="Q469" s="4">
        <v>163634</v>
      </c>
      <c r="R469" s="4">
        <v>5</v>
      </c>
      <c r="S469" s="3">
        <v>1625.17488</v>
      </c>
      <c r="T469" s="3">
        <f t="shared" si="44"/>
        <v>325.03497600000003</v>
      </c>
      <c r="U469" s="5">
        <f t="shared" si="48"/>
        <v>1.0460251046025104E-2</v>
      </c>
      <c r="V469" s="5">
        <f t="shared" si="45"/>
        <v>2.522933358668229E-3</v>
      </c>
      <c r="W469" s="3">
        <f t="shared" si="46"/>
        <v>3.3999474476987448</v>
      </c>
      <c r="X469" s="3">
        <f t="shared" si="47"/>
        <v>8.5778408335180671</v>
      </c>
      <c r="Y469" s="7">
        <f t="shared" si="49"/>
        <v>0.32652749428602856</v>
      </c>
    </row>
    <row r="470" spans="1:25" x14ac:dyDescent="0.25">
      <c r="A470" t="s">
        <v>754</v>
      </c>
      <c r="B470" t="s">
        <v>545</v>
      </c>
      <c r="C470" t="s">
        <v>111</v>
      </c>
      <c r="E470" t="s">
        <v>23</v>
      </c>
      <c r="F470" t="s">
        <v>15</v>
      </c>
      <c r="G470" t="s">
        <v>1092</v>
      </c>
      <c r="H470" t="s">
        <v>1065</v>
      </c>
      <c r="K470" t="s">
        <v>557</v>
      </c>
      <c r="L470" t="s">
        <v>17</v>
      </c>
      <c r="M470" t="s">
        <v>21</v>
      </c>
      <c r="N470" s="4">
        <v>63415</v>
      </c>
      <c r="O470" s="4">
        <v>185</v>
      </c>
      <c r="P470" s="4">
        <v>28161</v>
      </c>
      <c r="Q470" s="4">
        <v>59169</v>
      </c>
      <c r="R470" s="4">
        <v>9</v>
      </c>
      <c r="S470" s="3">
        <v>1924.162675</v>
      </c>
      <c r="T470" s="3">
        <f t="shared" si="44"/>
        <v>213.79585277777778</v>
      </c>
      <c r="U470" s="5">
        <f t="shared" si="48"/>
        <v>4.8648648648648651E-2</v>
      </c>
      <c r="V470" s="5">
        <f t="shared" si="45"/>
        <v>2.9172908617834895E-3</v>
      </c>
      <c r="W470" s="3">
        <f t="shared" si="46"/>
        <v>10.400879324324325</v>
      </c>
      <c r="X470" s="3">
        <f t="shared" si="47"/>
        <v>30.34239020736419</v>
      </c>
      <c r="Y470" s="7">
        <f t="shared" si="49"/>
        <v>0.47594179384474977</v>
      </c>
    </row>
    <row r="471" spans="1:25" x14ac:dyDescent="0.25">
      <c r="A471" t="s">
        <v>754</v>
      </c>
      <c r="B471" t="s">
        <v>545</v>
      </c>
      <c r="C471" t="s">
        <v>770</v>
      </c>
      <c r="D471" t="s">
        <v>771</v>
      </c>
      <c r="E471" t="s">
        <v>14</v>
      </c>
      <c r="F471" t="s">
        <v>33</v>
      </c>
      <c r="G471" t="s">
        <v>1062</v>
      </c>
      <c r="H471" t="s">
        <v>1063</v>
      </c>
      <c r="K471" t="s">
        <v>215</v>
      </c>
      <c r="L471" t="s">
        <v>17</v>
      </c>
      <c r="M471" t="s">
        <v>29</v>
      </c>
      <c r="N471" s="4">
        <v>16808</v>
      </c>
      <c r="O471" s="4">
        <v>43</v>
      </c>
      <c r="P471" s="4">
        <v>9211</v>
      </c>
      <c r="Q471" s="4">
        <v>13372</v>
      </c>
      <c r="R471" s="4">
        <v>3</v>
      </c>
      <c r="S471" s="3">
        <v>1574.7912799999999</v>
      </c>
      <c r="T471" s="3">
        <f t="shared" si="44"/>
        <v>524.93042666666668</v>
      </c>
      <c r="U471" s="5">
        <f t="shared" si="48"/>
        <v>6.9767441860465115E-2</v>
      </c>
      <c r="V471" s="5">
        <f t="shared" si="45"/>
        <v>2.5583055687767729E-3</v>
      </c>
      <c r="W471" s="3">
        <f t="shared" si="46"/>
        <v>36.623053023255814</v>
      </c>
      <c r="X471" s="3">
        <f t="shared" si="47"/>
        <v>93.692960495002382</v>
      </c>
      <c r="Y471" s="7">
        <f t="shared" si="49"/>
        <v>0.68882740053843849</v>
      </c>
    </row>
    <row r="472" spans="1:25" x14ac:dyDescent="0.25">
      <c r="A472" t="s">
        <v>754</v>
      </c>
      <c r="B472" t="s">
        <v>545</v>
      </c>
      <c r="C472" t="s">
        <v>768</v>
      </c>
      <c r="D472" t="s">
        <v>772</v>
      </c>
      <c r="E472" t="s">
        <v>14</v>
      </c>
      <c r="F472" t="s">
        <v>26</v>
      </c>
      <c r="G472" t="s">
        <v>1093</v>
      </c>
      <c r="H472" t="s">
        <v>1090</v>
      </c>
      <c r="K472" t="s">
        <v>249</v>
      </c>
      <c r="L472" t="s">
        <v>17</v>
      </c>
      <c r="M472" t="s">
        <v>29</v>
      </c>
      <c r="N472" s="4">
        <v>22800</v>
      </c>
      <c r="O472" s="4">
        <v>79</v>
      </c>
      <c r="P472" s="4">
        <v>8298</v>
      </c>
      <c r="Q472" s="4">
        <v>21161</v>
      </c>
      <c r="R472" s="4">
        <v>24</v>
      </c>
      <c r="S472" s="3">
        <v>1620.1655000000001</v>
      </c>
      <c r="T472" s="3">
        <f t="shared" si="44"/>
        <v>67.506895833333331</v>
      </c>
      <c r="U472" s="5">
        <f t="shared" si="48"/>
        <v>0.30379746835443039</v>
      </c>
      <c r="V472" s="5">
        <f t="shared" si="45"/>
        <v>3.4649122807017545E-3</v>
      </c>
      <c r="W472" s="3">
        <f t="shared" si="46"/>
        <v>20.508424050632911</v>
      </c>
      <c r="X472" s="3">
        <f t="shared" si="47"/>
        <v>71.059890350877183</v>
      </c>
      <c r="Y472" s="7">
        <f t="shared" si="49"/>
        <v>0.39213647748216057</v>
      </c>
    </row>
    <row r="473" spans="1:25" x14ac:dyDescent="0.25">
      <c r="A473" t="s">
        <v>754</v>
      </c>
      <c r="B473" t="s">
        <v>545</v>
      </c>
      <c r="C473" t="s">
        <v>768</v>
      </c>
      <c r="D473" t="s">
        <v>773</v>
      </c>
      <c r="E473" t="s">
        <v>23</v>
      </c>
      <c r="F473" t="s">
        <v>44</v>
      </c>
      <c r="G473" t="s">
        <v>1084</v>
      </c>
      <c r="H473" t="s">
        <v>1065</v>
      </c>
      <c r="K473" t="s">
        <v>160</v>
      </c>
      <c r="L473" t="s">
        <v>25</v>
      </c>
      <c r="M473" t="s">
        <v>21</v>
      </c>
      <c r="N473" s="4">
        <v>37717</v>
      </c>
      <c r="O473" s="4">
        <v>69</v>
      </c>
      <c r="P473" s="4">
        <v>26541</v>
      </c>
      <c r="Q473" s="4">
        <v>35126</v>
      </c>
      <c r="R473" s="4">
        <v>5</v>
      </c>
      <c r="S473" s="3">
        <v>1725.2713630000001</v>
      </c>
      <c r="T473" s="3">
        <f t="shared" si="44"/>
        <v>345.05427259999999</v>
      </c>
      <c r="U473" s="5">
        <f t="shared" si="48"/>
        <v>7.2463768115942032E-2</v>
      </c>
      <c r="V473" s="5">
        <f t="shared" si="45"/>
        <v>1.8294137921891986E-3</v>
      </c>
      <c r="W473" s="3">
        <f t="shared" si="46"/>
        <v>25.003932797101449</v>
      </c>
      <c r="X473" s="3">
        <f t="shared" si="47"/>
        <v>45.742539517989243</v>
      </c>
      <c r="Y473" s="7">
        <f t="shared" si="49"/>
        <v>0.75559414678585668</v>
      </c>
    </row>
    <row r="474" spans="1:25" x14ac:dyDescent="0.25">
      <c r="A474" t="s">
        <v>754</v>
      </c>
      <c r="B474" t="s">
        <v>545</v>
      </c>
      <c r="C474" t="s">
        <v>774</v>
      </c>
      <c r="E474" t="s">
        <v>14</v>
      </c>
      <c r="F474" t="s">
        <v>44</v>
      </c>
      <c r="G474" t="s">
        <v>1070</v>
      </c>
      <c r="H474" t="s">
        <v>1071</v>
      </c>
      <c r="K474" t="s">
        <v>750</v>
      </c>
      <c r="L474" t="s">
        <v>17</v>
      </c>
      <c r="M474" t="s">
        <v>21</v>
      </c>
      <c r="N474" s="4">
        <v>11375</v>
      </c>
      <c r="O474" s="4">
        <v>87</v>
      </c>
      <c r="P474" s="4">
        <v>7171</v>
      </c>
      <c r="Q474" s="4">
        <v>8151</v>
      </c>
      <c r="R474" s="4">
        <v>4</v>
      </c>
      <c r="S474" s="3">
        <v>1763.7840610000001</v>
      </c>
      <c r="T474" s="3">
        <f t="shared" si="44"/>
        <v>440.94601525000002</v>
      </c>
      <c r="U474" s="5">
        <f t="shared" si="48"/>
        <v>4.5977011494252873E-2</v>
      </c>
      <c r="V474" s="5">
        <f t="shared" si="45"/>
        <v>7.6483516483516487E-3</v>
      </c>
      <c r="W474" s="3">
        <f t="shared" si="46"/>
        <v>20.273380011494254</v>
      </c>
      <c r="X474" s="3">
        <f t="shared" si="47"/>
        <v>155.05793942857144</v>
      </c>
      <c r="Y474" s="7">
        <f t="shared" si="49"/>
        <v>0.879769353453564</v>
      </c>
    </row>
    <row r="475" spans="1:25" x14ac:dyDescent="0.25">
      <c r="A475" t="s">
        <v>754</v>
      </c>
      <c r="B475" t="s">
        <v>545</v>
      </c>
      <c r="C475" t="s">
        <v>775</v>
      </c>
      <c r="E475" t="s">
        <v>14</v>
      </c>
      <c r="F475" t="s">
        <v>26</v>
      </c>
      <c r="G475" t="s">
        <v>1140</v>
      </c>
      <c r="H475" t="s">
        <v>1095</v>
      </c>
      <c r="K475" t="s">
        <v>369</v>
      </c>
      <c r="L475" t="s">
        <v>17</v>
      </c>
      <c r="M475" t="s">
        <v>29</v>
      </c>
      <c r="N475" s="4">
        <v>38070</v>
      </c>
      <c r="O475" s="4">
        <v>146</v>
      </c>
      <c r="P475" s="4">
        <v>15253</v>
      </c>
      <c r="Q475" s="4">
        <v>35453</v>
      </c>
      <c r="R475" s="4">
        <v>8</v>
      </c>
      <c r="S475" s="3">
        <v>1653.510777</v>
      </c>
      <c r="T475" s="3">
        <f t="shared" si="44"/>
        <v>206.688847125</v>
      </c>
      <c r="U475" s="5">
        <f t="shared" si="48"/>
        <v>5.4794520547945202E-2</v>
      </c>
      <c r="V475" s="5">
        <f t="shared" si="45"/>
        <v>3.8350407144733386E-3</v>
      </c>
      <c r="W475" s="3">
        <f t="shared" si="46"/>
        <v>11.325416280821917</v>
      </c>
      <c r="X475" s="3">
        <f t="shared" si="47"/>
        <v>43.43343254531127</v>
      </c>
      <c r="Y475" s="7">
        <f t="shared" si="49"/>
        <v>0.43023157419682395</v>
      </c>
    </row>
    <row r="476" spans="1:25" x14ac:dyDescent="0.25">
      <c r="A476" t="s">
        <v>754</v>
      </c>
      <c r="B476" t="s">
        <v>545</v>
      </c>
      <c r="C476" t="s">
        <v>420</v>
      </c>
      <c r="E476" t="s">
        <v>19</v>
      </c>
      <c r="F476" t="s">
        <v>33</v>
      </c>
      <c r="G476" t="s">
        <v>1078</v>
      </c>
      <c r="H476" t="s">
        <v>1065</v>
      </c>
      <c r="K476" t="s">
        <v>763</v>
      </c>
      <c r="L476" t="s">
        <v>25</v>
      </c>
      <c r="M476" t="s">
        <v>21</v>
      </c>
      <c r="N476" s="4">
        <v>20165</v>
      </c>
      <c r="O476" s="4">
        <v>60</v>
      </c>
      <c r="P476" s="4">
        <v>6601</v>
      </c>
      <c r="Q476" s="4">
        <v>18909</v>
      </c>
      <c r="R476" s="4">
        <v>10</v>
      </c>
      <c r="S476" s="3">
        <v>1743.0786869999999</v>
      </c>
      <c r="T476" s="3">
        <f t="shared" si="44"/>
        <v>174.3078687</v>
      </c>
      <c r="U476" s="5">
        <f t="shared" si="48"/>
        <v>0.16666666666666666</v>
      </c>
      <c r="V476" s="5">
        <f t="shared" si="45"/>
        <v>2.9754525167369206E-3</v>
      </c>
      <c r="W476" s="3">
        <f t="shared" si="46"/>
        <v>29.05131145</v>
      </c>
      <c r="X476" s="3">
        <f t="shared" si="47"/>
        <v>86.440797768410619</v>
      </c>
      <c r="Y476" s="7">
        <f t="shared" si="49"/>
        <v>0.34909302448569463</v>
      </c>
    </row>
    <row r="477" spans="1:25" x14ac:dyDescent="0.25">
      <c r="A477" t="s">
        <v>754</v>
      </c>
      <c r="B477" t="s">
        <v>545</v>
      </c>
      <c r="C477" t="s">
        <v>111</v>
      </c>
      <c r="D477" t="s">
        <v>776</v>
      </c>
      <c r="E477" t="s">
        <v>19</v>
      </c>
      <c r="F477" t="s">
        <v>26</v>
      </c>
      <c r="G477" t="s">
        <v>1092</v>
      </c>
      <c r="H477" t="s">
        <v>1065</v>
      </c>
      <c r="K477" t="s">
        <v>339</v>
      </c>
      <c r="L477" t="s">
        <v>17</v>
      </c>
      <c r="M477" t="s">
        <v>21</v>
      </c>
      <c r="N477" s="4">
        <v>97346</v>
      </c>
      <c r="O477" s="4">
        <v>790</v>
      </c>
      <c r="P477" s="4">
        <v>44118</v>
      </c>
      <c r="Q477" s="4">
        <v>91080</v>
      </c>
      <c r="R477" s="4">
        <v>19</v>
      </c>
      <c r="S477" s="3">
        <v>1657.5648699999999</v>
      </c>
      <c r="T477" s="3">
        <f t="shared" si="44"/>
        <v>87.240256315789466</v>
      </c>
      <c r="U477" s="5">
        <f t="shared" si="48"/>
        <v>2.4050632911392405E-2</v>
      </c>
      <c r="V477" s="5">
        <f t="shared" si="45"/>
        <v>8.115382244776365E-3</v>
      </c>
      <c r="W477" s="3">
        <f t="shared" si="46"/>
        <v>2.0981833797468354</v>
      </c>
      <c r="X477" s="3">
        <f t="shared" si="47"/>
        <v>17.027560146282333</v>
      </c>
      <c r="Y477" s="7">
        <f t="shared" si="49"/>
        <v>0.48438735177865611</v>
      </c>
    </row>
    <row r="478" spans="1:25" x14ac:dyDescent="0.25">
      <c r="A478" t="s">
        <v>754</v>
      </c>
      <c r="B478" t="s">
        <v>545</v>
      </c>
      <c r="C478" t="s">
        <v>172</v>
      </c>
      <c r="E478" t="s">
        <v>14</v>
      </c>
      <c r="F478" t="s">
        <v>15</v>
      </c>
      <c r="G478" t="s">
        <v>1066</v>
      </c>
      <c r="H478" t="s">
        <v>1067</v>
      </c>
      <c r="K478" t="s">
        <v>191</v>
      </c>
      <c r="L478" t="s">
        <v>25</v>
      </c>
      <c r="M478" t="s">
        <v>21</v>
      </c>
      <c r="N478" s="4">
        <v>7540</v>
      </c>
      <c r="O478" s="4">
        <v>10</v>
      </c>
      <c r="P478" s="4">
        <v>1475</v>
      </c>
      <c r="Q478" s="4">
        <v>2054</v>
      </c>
      <c r="R478" s="4">
        <v>1</v>
      </c>
      <c r="S478" s="3">
        <v>1713.978863</v>
      </c>
      <c r="T478" s="3">
        <f t="shared" si="44"/>
        <v>1713.978863</v>
      </c>
      <c r="U478" s="5">
        <f t="shared" si="48"/>
        <v>0.1</v>
      </c>
      <c r="V478" s="5">
        <f t="shared" si="45"/>
        <v>1.3262599469496021E-3</v>
      </c>
      <c r="W478" s="3">
        <f t="shared" si="46"/>
        <v>171.39788630000001</v>
      </c>
      <c r="X478" s="3">
        <f t="shared" si="47"/>
        <v>227.31815159151193</v>
      </c>
      <c r="Y478" s="7">
        <f t="shared" si="49"/>
        <v>0.7181110029211295</v>
      </c>
    </row>
    <row r="479" spans="1:25" x14ac:dyDescent="0.25">
      <c r="A479" t="s">
        <v>754</v>
      </c>
      <c r="B479" t="s">
        <v>545</v>
      </c>
      <c r="C479" t="s">
        <v>745</v>
      </c>
      <c r="D479" t="s">
        <v>601</v>
      </c>
      <c r="E479" t="s">
        <v>23</v>
      </c>
      <c r="F479" t="s">
        <v>44</v>
      </c>
      <c r="G479" t="s">
        <v>1062</v>
      </c>
      <c r="H479" t="s">
        <v>1063</v>
      </c>
      <c r="K479" t="s">
        <v>777</v>
      </c>
      <c r="L479" t="s">
        <v>17</v>
      </c>
      <c r="M479" t="s">
        <v>21</v>
      </c>
      <c r="N479" s="4">
        <v>20537</v>
      </c>
      <c r="O479" s="4">
        <v>84</v>
      </c>
      <c r="P479" s="4">
        <v>15587</v>
      </c>
      <c r="Q479" s="4">
        <v>19288</v>
      </c>
      <c r="R479" s="4">
        <v>10</v>
      </c>
      <c r="S479" s="3">
        <v>1609.880674</v>
      </c>
      <c r="T479" s="3">
        <f t="shared" si="44"/>
        <v>160.98806740000001</v>
      </c>
      <c r="U479" s="5">
        <f t="shared" si="48"/>
        <v>0.11904761904761904</v>
      </c>
      <c r="V479" s="5">
        <f t="shared" si="45"/>
        <v>4.0901787018551884E-3</v>
      </c>
      <c r="W479" s="3">
        <f t="shared" si="46"/>
        <v>19.16524611904762</v>
      </c>
      <c r="X479" s="3">
        <f t="shared" si="47"/>
        <v>78.389281491941361</v>
      </c>
      <c r="Y479" s="7">
        <f t="shared" si="49"/>
        <v>0.80811903774367477</v>
      </c>
    </row>
    <row r="480" spans="1:25" x14ac:dyDescent="0.25">
      <c r="A480" t="s">
        <v>754</v>
      </c>
      <c r="B480" t="s">
        <v>545</v>
      </c>
      <c r="C480" t="s">
        <v>778</v>
      </c>
      <c r="E480" t="s">
        <v>23</v>
      </c>
      <c r="F480" t="s">
        <v>26</v>
      </c>
      <c r="G480" t="s">
        <v>1104</v>
      </c>
      <c r="H480" t="s">
        <v>1080</v>
      </c>
      <c r="K480" t="s">
        <v>714</v>
      </c>
      <c r="L480" t="s">
        <v>89</v>
      </c>
      <c r="M480" t="s">
        <v>21</v>
      </c>
      <c r="N480" s="4">
        <v>23410</v>
      </c>
      <c r="O480" s="4">
        <v>66</v>
      </c>
      <c r="P480" s="4">
        <v>13626</v>
      </c>
      <c r="Q480" s="4">
        <v>22109</v>
      </c>
      <c r="R480" s="4">
        <v>6</v>
      </c>
      <c r="S480" s="3">
        <v>1930.180523</v>
      </c>
      <c r="T480" s="3">
        <f t="shared" si="44"/>
        <v>321.69675383333333</v>
      </c>
      <c r="U480" s="5">
        <f t="shared" si="48"/>
        <v>9.0909090909090912E-2</v>
      </c>
      <c r="V480" s="5">
        <f t="shared" si="45"/>
        <v>2.8193079880392993E-3</v>
      </c>
      <c r="W480" s="3">
        <f t="shared" si="46"/>
        <v>29.245159439393941</v>
      </c>
      <c r="X480" s="3">
        <f t="shared" si="47"/>
        <v>82.451111618966252</v>
      </c>
      <c r="Y480" s="7">
        <f t="shared" si="49"/>
        <v>0.61631009995929265</v>
      </c>
    </row>
    <row r="481" spans="1:25" x14ac:dyDescent="0.25">
      <c r="A481" t="s">
        <v>754</v>
      </c>
      <c r="B481" t="s">
        <v>545</v>
      </c>
      <c r="C481" t="s">
        <v>745</v>
      </c>
      <c r="D481" t="s">
        <v>627</v>
      </c>
      <c r="E481" t="s">
        <v>23</v>
      </c>
      <c r="F481" t="s">
        <v>44</v>
      </c>
      <c r="G481" t="s">
        <v>1084</v>
      </c>
      <c r="H481" t="s">
        <v>1065</v>
      </c>
      <c r="K481" t="s">
        <v>100</v>
      </c>
      <c r="L481" t="s">
        <v>25</v>
      </c>
      <c r="M481" t="s">
        <v>21</v>
      </c>
      <c r="N481" s="4">
        <v>69722</v>
      </c>
      <c r="O481" s="4">
        <v>194</v>
      </c>
      <c r="P481" s="4">
        <v>40640</v>
      </c>
      <c r="Q481" s="4">
        <v>64819</v>
      </c>
      <c r="R481" s="4">
        <v>10</v>
      </c>
      <c r="S481" s="3">
        <v>1667.6558950000001</v>
      </c>
      <c r="T481" s="3">
        <f t="shared" si="44"/>
        <v>166.7655895</v>
      </c>
      <c r="U481" s="5">
        <f t="shared" si="48"/>
        <v>5.1546391752577317E-2</v>
      </c>
      <c r="V481" s="5">
        <f t="shared" si="45"/>
        <v>2.7824789879808383E-3</v>
      </c>
      <c r="W481" s="3">
        <f t="shared" si="46"/>
        <v>8.5961644072164951</v>
      </c>
      <c r="X481" s="3">
        <f t="shared" si="47"/>
        <v>23.918646840308654</v>
      </c>
      <c r="Y481" s="7">
        <f t="shared" si="49"/>
        <v>0.62697665807864977</v>
      </c>
    </row>
    <row r="482" spans="1:25" x14ac:dyDescent="0.25">
      <c r="A482" t="s">
        <v>754</v>
      </c>
      <c r="B482" t="s">
        <v>545</v>
      </c>
      <c r="C482" t="s">
        <v>779</v>
      </c>
      <c r="E482" t="s">
        <v>19</v>
      </c>
      <c r="F482" t="s">
        <v>15</v>
      </c>
      <c r="G482" t="s">
        <v>1104</v>
      </c>
      <c r="H482" t="s">
        <v>1080</v>
      </c>
      <c r="K482" t="s">
        <v>215</v>
      </c>
      <c r="L482" t="s">
        <v>17</v>
      </c>
      <c r="M482" t="s">
        <v>21</v>
      </c>
      <c r="N482" s="4">
        <v>77313</v>
      </c>
      <c r="O482" s="4">
        <v>191</v>
      </c>
      <c r="P482" s="4">
        <v>40366</v>
      </c>
      <c r="Q482" s="4">
        <v>71128</v>
      </c>
      <c r="R482" s="4">
        <v>3</v>
      </c>
      <c r="S482" s="3">
        <v>1790.3901980000001</v>
      </c>
      <c r="T482" s="3">
        <f t="shared" si="44"/>
        <v>596.79673266666668</v>
      </c>
      <c r="U482" s="5">
        <f t="shared" si="48"/>
        <v>1.5706806282722512E-2</v>
      </c>
      <c r="V482" s="5">
        <f t="shared" si="45"/>
        <v>2.4704771513199592E-3</v>
      </c>
      <c r="W482" s="3">
        <f t="shared" si="46"/>
        <v>9.373770670157068</v>
      </c>
      <c r="X482" s="3">
        <f t="shared" si="47"/>
        <v>23.15768626233622</v>
      </c>
      <c r="Y482" s="7">
        <f t="shared" si="49"/>
        <v>0.56751209087841636</v>
      </c>
    </row>
    <row r="483" spans="1:25" x14ac:dyDescent="0.25">
      <c r="A483" t="s">
        <v>754</v>
      </c>
      <c r="B483" t="s">
        <v>545</v>
      </c>
      <c r="C483" t="s">
        <v>664</v>
      </c>
      <c r="E483" t="s">
        <v>19</v>
      </c>
      <c r="F483" t="s">
        <v>15</v>
      </c>
      <c r="G483" t="s">
        <v>1070</v>
      </c>
      <c r="H483" t="s">
        <v>1071</v>
      </c>
      <c r="K483" t="s">
        <v>422</v>
      </c>
      <c r="L483" t="s">
        <v>17</v>
      </c>
      <c r="M483" t="s">
        <v>21</v>
      </c>
      <c r="N483" s="4">
        <v>80408</v>
      </c>
      <c r="O483" s="4">
        <v>199</v>
      </c>
      <c r="P483" s="4">
        <v>13127</v>
      </c>
      <c r="Q483" s="4">
        <v>67027</v>
      </c>
      <c r="R483" s="4">
        <v>9</v>
      </c>
      <c r="S483" s="3">
        <v>1788.1116179999999</v>
      </c>
      <c r="T483" s="3">
        <f t="shared" si="44"/>
        <v>198.67906866666667</v>
      </c>
      <c r="U483" s="5">
        <f t="shared" si="48"/>
        <v>4.5226130653266333E-2</v>
      </c>
      <c r="V483" s="5">
        <f t="shared" si="45"/>
        <v>2.4748781215799421E-3</v>
      </c>
      <c r="W483" s="3">
        <f t="shared" si="46"/>
        <v>8.9854855175879393</v>
      </c>
      <c r="X483" s="3">
        <f t="shared" si="47"/>
        <v>22.237981519251814</v>
      </c>
      <c r="Y483" s="7">
        <f t="shared" si="49"/>
        <v>0.19584644993808464</v>
      </c>
    </row>
    <row r="484" spans="1:25" x14ac:dyDescent="0.25">
      <c r="A484" t="s">
        <v>754</v>
      </c>
      <c r="B484" t="s">
        <v>545</v>
      </c>
      <c r="C484" t="s">
        <v>780</v>
      </c>
      <c r="E484" t="s">
        <v>14</v>
      </c>
      <c r="F484" t="s">
        <v>26</v>
      </c>
      <c r="G484" t="s">
        <v>1066</v>
      </c>
      <c r="H484" t="s">
        <v>1067</v>
      </c>
      <c r="K484" t="s">
        <v>629</v>
      </c>
      <c r="L484" t="s">
        <v>25</v>
      </c>
      <c r="M484" t="s">
        <v>21</v>
      </c>
      <c r="N484" s="4">
        <v>83537</v>
      </c>
      <c r="O484" s="4">
        <v>222</v>
      </c>
      <c r="P484" s="4">
        <v>67987</v>
      </c>
      <c r="Q484" s="4">
        <v>79409</v>
      </c>
      <c r="R484" s="4">
        <v>4</v>
      </c>
      <c r="S484" s="3">
        <v>1761.0793229999999</v>
      </c>
      <c r="T484" s="3">
        <f t="shared" si="44"/>
        <v>440.26983074999998</v>
      </c>
      <c r="U484" s="5">
        <f t="shared" si="48"/>
        <v>1.8018018018018018E-2</v>
      </c>
      <c r="V484" s="5">
        <f t="shared" si="45"/>
        <v>2.6575050576391301E-3</v>
      </c>
      <c r="W484" s="3">
        <f t="shared" si="46"/>
        <v>7.9327897432432426</v>
      </c>
      <c r="X484" s="3">
        <f t="shared" si="47"/>
        <v>21.081428863856733</v>
      </c>
      <c r="Y484" s="7">
        <f t="shared" si="49"/>
        <v>0.85616239972799058</v>
      </c>
    </row>
    <row r="485" spans="1:25" x14ac:dyDescent="0.25">
      <c r="A485" t="s">
        <v>754</v>
      </c>
      <c r="B485" t="s">
        <v>545</v>
      </c>
      <c r="C485" t="s">
        <v>781</v>
      </c>
      <c r="E485" t="s">
        <v>14</v>
      </c>
      <c r="F485" t="s">
        <v>33</v>
      </c>
      <c r="G485" t="s">
        <v>1086</v>
      </c>
      <c r="H485" t="s">
        <v>1063</v>
      </c>
      <c r="K485" t="s">
        <v>223</v>
      </c>
      <c r="L485" t="s">
        <v>89</v>
      </c>
      <c r="M485" t="s">
        <v>21</v>
      </c>
      <c r="N485" s="4">
        <v>13700</v>
      </c>
      <c r="O485" s="4">
        <v>63</v>
      </c>
      <c r="P485" s="4">
        <v>3609</v>
      </c>
      <c r="Q485" s="4">
        <v>12644</v>
      </c>
      <c r="R485" s="4">
        <v>4</v>
      </c>
      <c r="S485" s="3">
        <v>2032.700147</v>
      </c>
      <c r="T485" s="3">
        <f t="shared" si="44"/>
        <v>508.17503675</v>
      </c>
      <c r="U485" s="5">
        <f t="shared" si="48"/>
        <v>6.3492063492063489E-2</v>
      </c>
      <c r="V485" s="5">
        <f t="shared" si="45"/>
        <v>4.5985401459854016E-3</v>
      </c>
      <c r="W485" s="3">
        <f t="shared" si="46"/>
        <v>32.2650816984127</v>
      </c>
      <c r="X485" s="3">
        <f t="shared" si="47"/>
        <v>148.37227350364964</v>
      </c>
      <c r="Y485" s="7">
        <f t="shared" si="49"/>
        <v>0.2854318253717178</v>
      </c>
    </row>
    <row r="486" spans="1:25" x14ac:dyDescent="0.25">
      <c r="A486" t="s">
        <v>754</v>
      </c>
      <c r="B486" t="s">
        <v>545</v>
      </c>
      <c r="C486" t="s">
        <v>111</v>
      </c>
      <c r="D486" t="s">
        <v>782</v>
      </c>
      <c r="E486" t="s">
        <v>14</v>
      </c>
      <c r="F486" t="s">
        <v>44</v>
      </c>
      <c r="G486" t="s">
        <v>1087</v>
      </c>
      <c r="H486" t="s">
        <v>1074</v>
      </c>
      <c r="K486" t="s">
        <v>114</v>
      </c>
      <c r="L486" t="s">
        <v>783</v>
      </c>
      <c r="M486" t="s">
        <v>21</v>
      </c>
      <c r="N486" s="4">
        <v>7409</v>
      </c>
      <c r="O486" s="4">
        <v>10</v>
      </c>
      <c r="P486" s="4">
        <v>5009</v>
      </c>
      <c r="Q486" s="4">
        <v>7160</v>
      </c>
      <c r="R486" s="4">
        <v>12</v>
      </c>
      <c r="S486" s="3">
        <v>1472.110115</v>
      </c>
      <c r="T486" s="3">
        <f t="shared" si="44"/>
        <v>122.67584291666667</v>
      </c>
      <c r="U486" s="5">
        <f t="shared" si="48"/>
        <v>1.2</v>
      </c>
      <c r="V486" s="5">
        <f t="shared" si="45"/>
        <v>1.3497098123903361E-3</v>
      </c>
      <c r="W486" s="3">
        <f t="shared" si="46"/>
        <v>147.21101149999998</v>
      </c>
      <c r="X486" s="3">
        <f t="shared" si="47"/>
        <v>198.69214671345662</v>
      </c>
      <c r="Y486" s="7">
        <f t="shared" si="49"/>
        <v>0.6995810055865922</v>
      </c>
    </row>
    <row r="487" spans="1:25" x14ac:dyDescent="0.25">
      <c r="A487" t="s">
        <v>754</v>
      </c>
      <c r="B487" t="s">
        <v>545</v>
      </c>
      <c r="C487" t="s">
        <v>768</v>
      </c>
      <c r="D487" t="s">
        <v>618</v>
      </c>
      <c r="E487" t="s">
        <v>14</v>
      </c>
      <c r="F487" t="s">
        <v>15</v>
      </c>
      <c r="G487" t="s">
        <v>1062</v>
      </c>
      <c r="H487" t="s">
        <v>1063</v>
      </c>
      <c r="K487" t="s">
        <v>45</v>
      </c>
      <c r="L487" t="s">
        <v>25</v>
      </c>
      <c r="M487" t="s">
        <v>21</v>
      </c>
      <c r="N487" s="4">
        <v>77703</v>
      </c>
      <c r="O487" s="4">
        <v>204</v>
      </c>
      <c r="P487" s="4">
        <v>33478</v>
      </c>
      <c r="Q487" s="4">
        <v>72874</v>
      </c>
      <c r="R487" s="4">
        <v>3</v>
      </c>
      <c r="S487" s="3">
        <v>1566.9124059999999</v>
      </c>
      <c r="T487" s="3">
        <f t="shared" si="44"/>
        <v>522.30413533333331</v>
      </c>
      <c r="U487" s="5">
        <f t="shared" si="48"/>
        <v>1.4705882352941176E-2</v>
      </c>
      <c r="V487" s="5">
        <f t="shared" si="45"/>
        <v>2.6253812594108335E-3</v>
      </c>
      <c r="W487" s="3">
        <f t="shared" si="46"/>
        <v>7.6809431666666663</v>
      </c>
      <c r="X487" s="3">
        <f t="shared" si="47"/>
        <v>20.165404244366368</v>
      </c>
      <c r="Y487" s="7">
        <f t="shared" si="49"/>
        <v>0.45939566923731373</v>
      </c>
    </row>
    <row r="488" spans="1:25" x14ac:dyDescent="0.25">
      <c r="A488" t="s">
        <v>754</v>
      </c>
      <c r="B488" t="s">
        <v>545</v>
      </c>
      <c r="C488" t="s">
        <v>116</v>
      </c>
      <c r="E488" t="s">
        <v>19</v>
      </c>
      <c r="F488" t="s">
        <v>33</v>
      </c>
      <c r="G488" t="s">
        <v>1084</v>
      </c>
      <c r="H488" t="s">
        <v>1065</v>
      </c>
      <c r="K488" t="s">
        <v>784</v>
      </c>
      <c r="L488" t="s">
        <v>17</v>
      </c>
      <c r="M488" t="s">
        <v>21</v>
      </c>
      <c r="N488" s="4">
        <v>20572</v>
      </c>
      <c r="O488" s="4">
        <v>90</v>
      </c>
      <c r="P488" s="4">
        <v>2226</v>
      </c>
      <c r="Q488" s="4">
        <v>16510</v>
      </c>
      <c r="R488" s="4">
        <v>10</v>
      </c>
      <c r="S488" s="3">
        <v>1529.307229</v>
      </c>
      <c r="T488" s="3">
        <f t="shared" si="44"/>
        <v>152.93072290000001</v>
      </c>
      <c r="U488" s="5">
        <f t="shared" si="48"/>
        <v>0.1111111111111111</v>
      </c>
      <c r="V488" s="5">
        <f t="shared" si="45"/>
        <v>4.3748784755979001E-3</v>
      </c>
      <c r="W488" s="3">
        <f t="shared" si="46"/>
        <v>16.992302544444446</v>
      </c>
      <c r="X488" s="3">
        <f t="shared" si="47"/>
        <v>74.339258652537438</v>
      </c>
      <c r="Y488" s="7">
        <f t="shared" si="49"/>
        <v>0.13482737734706238</v>
      </c>
    </row>
    <row r="489" spans="1:25" x14ac:dyDescent="0.25">
      <c r="A489" t="s">
        <v>754</v>
      </c>
      <c r="B489" t="s">
        <v>545</v>
      </c>
      <c r="C489" t="s">
        <v>778</v>
      </c>
      <c r="D489" t="s">
        <v>785</v>
      </c>
      <c r="E489" t="s">
        <v>19</v>
      </c>
      <c r="F489" t="s">
        <v>33</v>
      </c>
      <c r="G489" t="s">
        <v>1072</v>
      </c>
      <c r="H489" t="s">
        <v>1065</v>
      </c>
      <c r="K489" t="s">
        <v>786</v>
      </c>
      <c r="L489" t="s">
        <v>309</v>
      </c>
      <c r="M489" t="s">
        <v>21</v>
      </c>
      <c r="N489" s="4">
        <v>16956</v>
      </c>
      <c r="O489" s="4">
        <v>65</v>
      </c>
      <c r="P489" s="4">
        <v>7553</v>
      </c>
      <c r="Q489" s="4">
        <v>15201</v>
      </c>
      <c r="R489" s="4">
        <v>3</v>
      </c>
      <c r="S489" s="3">
        <v>1502.6801390000001</v>
      </c>
      <c r="T489" s="3">
        <f t="shared" si="44"/>
        <v>500.8933796666667</v>
      </c>
      <c r="U489" s="5">
        <f t="shared" si="48"/>
        <v>4.6153846153846156E-2</v>
      </c>
      <c r="V489" s="5">
        <f t="shared" si="45"/>
        <v>3.833451285680585E-3</v>
      </c>
      <c r="W489" s="3">
        <f t="shared" si="46"/>
        <v>23.118155984615385</v>
      </c>
      <c r="X489" s="3">
        <f t="shared" si="47"/>
        <v>88.622324781788166</v>
      </c>
      <c r="Y489" s="7">
        <f t="shared" si="49"/>
        <v>0.49687520557858034</v>
      </c>
    </row>
    <row r="490" spans="1:25" x14ac:dyDescent="0.25">
      <c r="A490" t="s">
        <v>754</v>
      </c>
      <c r="B490" t="s">
        <v>545</v>
      </c>
      <c r="C490" t="s">
        <v>787</v>
      </c>
      <c r="E490" t="s">
        <v>23</v>
      </c>
      <c r="F490" t="s">
        <v>15</v>
      </c>
      <c r="G490" t="s">
        <v>1085</v>
      </c>
      <c r="H490" t="s">
        <v>1065</v>
      </c>
      <c r="K490" t="s">
        <v>788</v>
      </c>
      <c r="L490" t="s">
        <v>89</v>
      </c>
      <c r="M490" t="s">
        <v>21</v>
      </c>
      <c r="N490" s="4">
        <v>7531</v>
      </c>
      <c r="O490" s="4">
        <v>10</v>
      </c>
      <c r="P490" s="4">
        <v>3059</v>
      </c>
      <c r="Q490" s="4">
        <v>6523</v>
      </c>
      <c r="R490" s="4">
        <v>1</v>
      </c>
      <c r="S490" s="3">
        <v>1937.0583879999999</v>
      </c>
      <c r="T490" s="3">
        <f t="shared" si="44"/>
        <v>1937.0583879999999</v>
      </c>
      <c r="U490" s="5">
        <f t="shared" si="48"/>
        <v>0.1</v>
      </c>
      <c r="V490" s="5">
        <f t="shared" si="45"/>
        <v>1.3278449077147789E-3</v>
      </c>
      <c r="W490" s="3">
        <f t="shared" si="46"/>
        <v>193.70583879999998</v>
      </c>
      <c r="X490" s="3">
        <f t="shared" si="47"/>
        <v>257.21131164519983</v>
      </c>
      <c r="Y490" s="7">
        <f t="shared" si="49"/>
        <v>0.46895600183964431</v>
      </c>
    </row>
    <row r="491" spans="1:25" x14ac:dyDescent="0.25">
      <c r="A491" t="s">
        <v>754</v>
      </c>
      <c r="B491" t="s">
        <v>545</v>
      </c>
      <c r="C491" t="s">
        <v>789</v>
      </c>
      <c r="D491" t="s">
        <v>790</v>
      </c>
      <c r="E491" t="s">
        <v>14</v>
      </c>
      <c r="F491" t="s">
        <v>15</v>
      </c>
      <c r="G491" t="s">
        <v>1062</v>
      </c>
      <c r="H491" t="s">
        <v>1063</v>
      </c>
      <c r="K491" t="s">
        <v>791</v>
      </c>
      <c r="L491" t="s">
        <v>28</v>
      </c>
      <c r="M491" t="s">
        <v>29</v>
      </c>
      <c r="N491" s="4">
        <v>22934</v>
      </c>
      <c r="O491" s="4">
        <v>81</v>
      </c>
      <c r="P491" s="4">
        <v>18536</v>
      </c>
      <c r="Q491" s="4">
        <v>21019</v>
      </c>
      <c r="R491" s="4">
        <v>5</v>
      </c>
      <c r="S491" s="3">
        <v>1711.1063380000001</v>
      </c>
      <c r="T491" s="3">
        <f t="shared" si="44"/>
        <v>342.22126760000003</v>
      </c>
      <c r="U491" s="5">
        <f t="shared" si="48"/>
        <v>6.1728395061728392E-2</v>
      </c>
      <c r="V491" s="5">
        <f t="shared" si="45"/>
        <v>3.5318740734280982E-3</v>
      </c>
      <c r="W491" s="3">
        <f t="shared" si="46"/>
        <v>21.124769604938272</v>
      </c>
      <c r="X491" s="3">
        <f t="shared" si="47"/>
        <v>74.610026074823409</v>
      </c>
      <c r="Y491" s="7">
        <f t="shared" si="49"/>
        <v>0.88186878538465197</v>
      </c>
    </row>
    <row r="492" spans="1:25" x14ac:dyDescent="0.25">
      <c r="A492" t="s">
        <v>754</v>
      </c>
      <c r="B492" t="s">
        <v>50</v>
      </c>
      <c r="C492" t="s">
        <v>756</v>
      </c>
      <c r="E492" t="s">
        <v>14</v>
      </c>
      <c r="F492" t="s">
        <v>44</v>
      </c>
      <c r="G492" t="s">
        <v>1070</v>
      </c>
      <c r="H492" t="s">
        <v>1071</v>
      </c>
      <c r="K492" t="s">
        <v>747</v>
      </c>
      <c r="L492" t="s">
        <v>89</v>
      </c>
      <c r="M492" t="s">
        <v>21</v>
      </c>
      <c r="N492" s="4">
        <v>22004</v>
      </c>
      <c r="O492" s="4">
        <v>80</v>
      </c>
      <c r="P492" s="4">
        <v>18735</v>
      </c>
      <c r="Q492" s="4">
        <v>21127</v>
      </c>
      <c r="R492" s="4">
        <v>4</v>
      </c>
      <c r="S492" s="3">
        <v>1632.4727820000001</v>
      </c>
      <c r="T492" s="3">
        <f t="shared" si="44"/>
        <v>408.11819550000001</v>
      </c>
      <c r="U492" s="5">
        <f t="shared" si="48"/>
        <v>0.05</v>
      </c>
      <c r="V492" s="5">
        <f t="shared" si="45"/>
        <v>3.6357025995273585E-3</v>
      </c>
      <c r="W492" s="3">
        <f t="shared" si="46"/>
        <v>20.405909775000001</v>
      </c>
      <c r="X492" s="3">
        <f t="shared" si="47"/>
        <v>74.189819214688242</v>
      </c>
      <c r="Y492" s="7">
        <f t="shared" si="49"/>
        <v>0.88677994982723529</v>
      </c>
    </row>
    <row r="493" spans="1:25" x14ac:dyDescent="0.25">
      <c r="A493" t="s">
        <v>754</v>
      </c>
      <c r="B493" t="s">
        <v>545</v>
      </c>
      <c r="C493" t="s">
        <v>778</v>
      </c>
      <c r="D493" t="s">
        <v>155</v>
      </c>
      <c r="E493" t="s">
        <v>14</v>
      </c>
      <c r="F493" t="s">
        <v>33</v>
      </c>
      <c r="G493" t="s">
        <v>1064</v>
      </c>
      <c r="H493" t="s">
        <v>1065</v>
      </c>
      <c r="K493" t="s">
        <v>117</v>
      </c>
      <c r="L493" t="s">
        <v>25</v>
      </c>
      <c r="M493" t="s">
        <v>21</v>
      </c>
      <c r="N493" s="4">
        <v>85965</v>
      </c>
      <c r="O493" s="4">
        <v>233</v>
      </c>
      <c r="P493" s="4">
        <v>33865</v>
      </c>
      <c r="Q493" s="4">
        <v>78662</v>
      </c>
      <c r="R493" s="4">
        <v>3</v>
      </c>
      <c r="S493" s="3">
        <v>1555.5348120000001</v>
      </c>
      <c r="T493" s="3">
        <f t="shared" si="44"/>
        <v>518.51160400000003</v>
      </c>
      <c r="U493" s="5">
        <f t="shared" si="48"/>
        <v>1.2875536480686695E-2</v>
      </c>
      <c r="V493" s="5">
        <f t="shared" si="45"/>
        <v>2.7104053975455125E-3</v>
      </c>
      <c r="W493" s="3">
        <f t="shared" si="46"/>
        <v>6.6761150729613741</v>
      </c>
      <c r="X493" s="3">
        <f t="shared" si="47"/>
        <v>18.094978328389463</v>
      </c>
      <c r="Y493" s="7">
        <f t="shared" si="49"/>
        <v>0.43051282703211208</v>
      </c>
    </row>
    <row r="494" spans="1:25" x14ac:dyDescent="0.25">
      <c r="A494" t="s">
        <v>754</v>
      </c>
      <c r="B494" t="s">
        <v>545</v>
      </c>
      <c r="C494" t="s">
        <v>781</v>
      </c>
      <c r="D494" t="s">
        <v>792</v>
      </c>
      <c r="E494" t="s">
        <v>14</v>
      </c>
      <c r="F494" t="s">
        <v>15</v>
      </c>
      <c r="G494" t="s">
        <v>1096</v>
      </c>
      <c r="H494" t="s">
        <v>1097</v>
      </c>
      <c r="K494" t="s">
        <v>98</v>
      </c>
      <c r="L494" t="s">
        <v>17</v>
      </c>
      <c r="M494" t="s">
        <v>21</v>
      </c>
      <c r="N494" s="4">
        <v>77748</v>
      </c>
      <c r="O494" s="4">
        <v>227</v>
      </c>
      <c r="P494" s="4">
        <v>6170</v>
      </c>
      <c r="Q494" s="4">
        <v>53603</v>
      </c>
      <c r="R494" s="4">
        <v>3</v>
      </c>
      <c r="S494" s="3">
        <v>1498.3009</v>
      </c>
      <c r="T494" s="3">
        <f t="shared" si="44"/>
        <v>499.43363333333332</v>
      </c>
      <c r="U494" s="5">
        <f t="shared" si="48"/>
        <v>1.3215859030837005E-2</v>
      </c>
      <c r="V494" s="5">
        <f t="shared" si="45"/>
        <v>2.919689252456655E-3</v>
      </c>
      <c r="W494" s="3">
        <f t="shared" si="46"/>
        <v>6.6004444933920707</v>
      </c>
      <c r="X494" s="3">
        <f t="shared" si="47"/>
        <v>19.271246848793538</v>
      </c>
      <c r="Y494" s="7">
        <f t="shared" si="49"/>
        <v>0.11510549782661418</v>
      </c>
    </row>
    <row r="495" spans="1:25" x14ac:dyDescent="0.25">
      <c r="A495" t="s">
        <v>754</v>
      </c>
      <c r="B495" t="s">
        <v>545</v>
      </c>
      <c r="C495" t="s">
        <v>768</v>
      </c>
      <c r="E495" t="s">
        <v>19</v>
      </c>
      <c r="F495" t="s">
        <v>15</v>
      </c>
      <c r="G495" t="s">
        <v>1062</v>
      </c>
      <c r="H495" t="s">
        <v>1063</v>
      </c>
      <c r="K495" t="s">
        <v>793</v>
      </c>
      <c r="L495" t="s">
        <v>73</v>
      </c>
      <c r="M495" t="s">
        <v>21</v>
      </c>
      <c r="N495" s="4">
        <v>37617</v>
      </c>
      <c r="O495" s="4">
        <v>85</v>
      </c>
      <c r="P495" s="4">
        <v>5092</v>
      </c>
      <c r="Q495" s="4">
        <v>34373</v>
      </c>
      <c r="R495" s="4">
        <v>6</v>
      </c>
      <c r="S495" s="3">
        <v>1608.8829519999999</v>
      </c>
      <c r="T495" s="3">
        <f t="shared" si="44"/>
        <v>268.14715866666666</v>
      </c>
      <c r="U495" s="5">
        <f t="shared" si="48"/>
        <v>7.0588235294117646E-2</v>
      </c>
      <c r="V495" s="5">
        <f t="shared" si="45"/>
        <v>2.2596166626791077E-3</v>
      </c>
      <c r="W495" s="3">
        <f t="shared" si="46"/>
        <v>18.928034729411763</v>
      </c>
      <c r="X495" s="3">
        <f t="shared" si="47"/>
        <v>42.770102666347661</v>
      </c>
      <c r="Y495" s="7">
        <f t="shared" si="49"/>
        <v>0.1481395281179996</v>
      </c>
    </row>
    <row r="496" spans="1:25" x14ac:dyDescent="0.25">
      <c r="A496" t="s">
        <v>754</v>
      </c>
      <c r="B496" t="s">
        <v>50</v>
      </c>
      <c r="C496" t="s">
        <v>794</v>
      </c>
      <c r="E496" t="s">
        <v>19</v>
      </c>
      <c r="F496" t="s">
        <v>15</v>
      </c>
      <c r="G496" t="s">
        <v>1070</v>
      </c>
      <c r="H496" t="s">
        <v>1071</v>
      </c>
      <c r="K496" t="s">
        <v>160</v>
      </c>
      <c r="L496" t="s">
        <v>17</v>
      </c>
      <c r="M496" t="s">
        <v>21</v>
      </c>
      <c r="N496" s="4">
        <v>9222</v>
      </c>
      <c r="O496" s="4">
        <v>33</v>
      </c>
      <c r="P496" s="4">
        <v>5352</v>
      </c>
      <c r="Q496" s="4">
        <v>8141</v>
      </c>
      <c r="R496" s="4">
        <v>2</v>
      </c>
      <c r="S496" s="3">
        <v>1583.1643019999999</v>
      </c>
      <c r="T496" s="3">
        <f t="shared" si="44"/>
        <v>791.58215099999995</v>
      </c>
      <c r="U496" s="5">
        <f t="shared" si="48"/>
        <v>6.0606060606060608E-2</v>
      </c>
      <c r="V496" s="5">
        <f t="shared" si="45"/>
        <v>3.5783994795055302E-3</v>
      </c>
      <c r="W496" s="3">
        <f t="shared" si="46"/>
        <v>47.974675818181815</v>
      </c>
      <c r="X496" s="3">
        <f t="shared" si="47"/>
        <v>171.67255497722837</v>
      </c>
      <c r="Y496" s="7">
        <f t="shared" si="49"/>
        <v>0.65741309421446992</v>
      </c>
    </row>
    <row r="497" spans="1:25" x14ac:dyDescent="0.25">
      <c r="A497" t="s">
        <v>754</v>
      </c>
      <c r="B497" t="s">
        <v>545</v>
      </c>
      <c r="C497" t="s">
        <v>681</v>
      </c>
      <c r="E497" t="s">
        <v>23</v>
      </c>
      <c r="F497" t="s">
        <v>44</v>
      </c>
      <c r="G497" t="s">
        <v>1070</v>
      </c>
      <c r="H497" t="s">
        <v>1071</v>
      </c>
      <c r="K497" t="s">
        <v>98</v>
      </c>
      <c r="L497" t="s">
        <v>17</v>
      </c>
      <c r="M497" t="s">
        <v>21</v>
      </c>
      <c r="N497" s="4">
        <v>84306</v>
      </c>
      <c r="O497" s="4">
        <v>185</v>
      </c>
      <c r="P497" s="4">
        <v>45376</v>
      </c>
      <c r="Q497" s="4">
        <v>79935</v>
      </c>
      <c r="R497" s="4">
        <v>3</v>
      </c>
      <c r="S497" s="3">
        <v>1809.5909610000001</v>
      </c>
      <c r="T497" s="3">
        <f t="shared" si="44"/>
        <v>603.19698700000004</v>
      </c>
      <c r="U497" s="5">
        <f t="shared" si="48"/>
        <v>1.6216216216216217E-2</v>
      </c>
      <c r="V497" s="5">
        <f t="shared" si="45"/>
        <v>2.1943871136099447E-3</v>
      </c>
      <c r="W497" s="3">
        <f t="shared" si="46"/>
        <v>9.7815727621621633</v>
      </c>
      <c r="X497" s="3">
        <f t="shared" si="47"/>
        <v>21.464557220126682</v>
      </c>
      <c r="Y497" s="7">
        <f t="shared" si="49"/>
        <v>0.56766122474510539</v>
      </c>
    </row>
    <row r="498" spans="1:25" x14ac:dyDescent="0.25">
      <c r="A498" t="s">
        <v>754</v>
      </c>
      <c r="B498" t="s">
        <v>50</v>
      </c>
      <c r="C498" t="s">
        <v>755</v>
      </c>
      <c r="D498" t="s">
        <v>795</v>
      </c>
      <c r="E498" t="s">
        <v>14</v>
      </c>
      <c r="F498" t="s">
        <v>26</v>
      </c>
      <c r="G498" t="s">
        <v>1093</v>
      </c>
      <c r="H498" t="s">
        <v>1090</v>
      </c>
      <c r="K498" t="s">
        <v>576</v>
      </c>
      <c r="L498" t="s">
        <v>28</v>
      </c>
      <c r="M498" t="s">
        <v>29</v>
      </c>
      <c r="N498" s="4">
        <v>16669</v>
      </c>
      <c r="O498" s="4">
        <v>26</v>
      </c>
      <c r="P498" s="4">
        <v>10961</v>
      </c>
      <c r="Q498" s="4">
        <v>15451</v>
      </c>
      <c r="R498" s="4">
        <v>5</v>
      </c>
      <c r="S498" s="3">
        <v>1658.358536</v>
      </c>
      <c r="T498" s="3">
        <f t="shared" si="44"/>
        <v>331.67170720000001</v>
      </c>
      <c r="U498" s="5">
        <f t="shared" si="48"/>
        <v>0.19230769230769232</v>
      </c>
      <c r="V498" s="5">
        <f t="shared" si="45"/>
        <v>1.5597816305717199E-3</v>
      </c>
      <c r="W498" s="3">
        <f t="shared" si="46"/>
        <v>63.783020615384615</v>
      </c>
      <c r="X498" s="3">
        <f t="shared" si="47"/>
        <v>99.487583898254243</v>
      </c>
      <c r="Y498" s="7">
        <f t="shared" si="49"/>
        <v>0.70940392207624103</v>
      </c>
    </row>
    <row r="499" spans="1:25" x14ac:dyDescent="0.25">
      <c r="A499" t="s">
        <v>754</v>
      </c>
      <c r="B499" t="s">
        <v>545</v>
      </c>
      <c r="C499" t="s">
        <v>745</v>
      </c>
      <c r="E499" t="s">
        <v>19</v>
      </c>
      <c r="F499" t="s">
        <v>26</v>
      </c>
      <c r="G499" t="s">
        <v>1079</v>
      </c>
      <c r="H499" t="s">
        <v>1080</v>
      </c>
      <c r="K499" t="s">
        <v>167</v>
      </c>
      <c r="L499" t="s">
        <v>17</v>
      </c>
      <c r="M499" t="s">
        <v>21</v>
      </c>
      <c r="N499" s="4">
        <v>42833</v>
      </c>
      <c r="O499" s="4">
        <v>120</v>
      </c>
      <c r="P499" s="4">
        <v>37438</v>
      </c>
      <c r="Q499" s="4">
        <v>40447</v>
      </c>
      <c r="R499" s="4">
        <v>9</v>
      </c>
      <c r="S499" s="3">
        <v>2040.9348190000001</v>
      </c>
      <c r="T499" s="3">
        <f t="shared" si="44"/>
        <v>226.77053544444445</v>
      </c>
      <c r="U499" s="5">
        <f t="shared" si="48"/>
        <v>7.4999999999999997E-2</v>
      </c>
      <c r="V499" s="5">
        <f t="shared" si="45"/>
        <v>2.8015782223986181E-3</v>
      </c>
      <c r="W499" s="3">
        <f t="shared" si="46"/>
        <v>17.007790158333332</v>
      </c>
      <c r="X499" s="3">
        <f t="shared" si="47"/>
        <v>47.648654518712213</v>
      </c>
      <c r="Y499" s="7">
        <f t="shared" si="49"/>
        <v>0.92560634904937322</v>
      </c>
    </row>
    <row r="500" spans="1:25" x14ac:dyDescent="0.25">
      <c r="A500" t="s">
        <v>754</v>
      </c>
      <c r="B500" t="s">
        <v>545</v>
      </c>
      <c r="E500" t="s">
        <v>14</v>
      </c>
      <c r="F500" t="s">
        <v>33</v>
      </c>
      <c r="G500" t="s">
        <v>1066</v>
      </c>
      <c r="H500" t="s">
        <v>1067</v>
      </c>
      <c r="K500" t="s">
        <v>697</v>
      </c>
      <c r="L500" t="s">
        <v>28</v>
      </c>
      <c r="M500" t="s">
        <v>21</v>
      </c>
      <c r="N500" s="4">
        <v>11343</v>
      </c>
      <c r="O500" s="4">
        <v>69</v>
      </c>
      <c r="P500" s="4">
        <v>5900</v>
      </c>
      <c r="Q500" s="4">
        <v>10175</v>
      </c>
      <c r="R500" s="4">
        <v>3</v>
      </c>
      <c r="S500" s="3">
        <v>2178.1537750000002</v>
      </c>
      <c r="T500" s="3">
        <f t="shared" si="44"/>
        <v>726.05125833333341</v>
      </c>
      <c r="U500" s="5">
        <f t="shared" si="48"/>
        <v>4.3478260869565216E-2</v>
      </c>
      <c r="V500" s="5">
        <f t="shared" si="45"/>
        <v>6.0830468130124308E-3</v>
      </c>
      <c r="W500" s="3">
        <f t="shared" si="46"/>
        <v>31.567446014492756</v>
      </c>
      <c r="X500" s="3">
        <f t="shared" si="47"/>
        <v>192.02625187340212</v>
      </c>
      <c r="Y500" s="7">
        <f t="shared" si="49"/>
        <v>0.57985257985257987</v>
      </c>
    </row>
    <row r="501" spans="1:25" x14ac:dyDescent="0.25">
      <c r="A501" t="s">
        <v>754</v>
      </c>
      <c r="B501" t="s">
        <v>545</v>
      </c>
      <c r="C501" t="s">
        <v>770</v>
      </c>
      <c r="D501" t="s">
        <v>752</v>
      </c>
      <c r="E501" t="s">
        <v>14</v>
      </c>
      <c r="F501" t="s">
        <v>33</v>
      </c>
      <c r="G501" t="s">
        <v>1064</v>
      </c>
      <c r="H501" t="s">
        <v>1065</v>
      </c>
      <c r="K501" t="s">
        <v>428</v>
      </c>
      <c r="L501" t="s">
        <v>28</v>
      </c>
      <c r="M501" t="s">
        <v>21</v>
      </c>
      <c r="N501" s="4">
        <v>13823</v>
      </c>
      <c r="O501" s="4">
        <v>58</v>
      </c>
      <c r="P501" s="4">
        <v>10671</v>
      </c>
      <c r="Q501" s="4">
        <v>12937</v>
      </c>
      <c r="R501" s="4">
        <v>3</v>
      </c>
      <c r="S501" s="3">
        <v>1574.709734</v>
      </c>
      <c r="T501" s="3">
        <f t="shared" si="44"/>
        <v>524.90324466666664</v>
      </c>
      <c r="U501" s="5">
        <f t="shared" si="48"/>
        <v>5.1724137931034482E-2</v>
      </c>
      <c r="V501" s="5">
        <f t="shared" si="45"/>
        <v>4.1959053750994721E-3</v>
      </c>
      <c r="W501" s="3">
        <f t="shared" si="46"/>
        <v>27.150167827586209</v>
      </c>
      <c r="X501" s="3">
        <f t="shared" si="47"/>
        <v>113.91953512262172</v>
      </c>
      <c r="Y501" s="7">
        <f t="shared" si="49"/>
        <v>0.82484347221148646</v>
      </c>
    </row>
    <row r="502" spans="1:25" x14ac:dyDescent="0.25">
      <c r="A502" t="s">
        <v>754</v>
      </c>
      <c r="B502" t="s">
        <v>545</v>
      </c>
      <c r="C502" t="s">
        <v>768</v>
      </c>
      <c r="D502" t="s">
        <v>796</v>
      </c>
      <c r="E502" t="s">
        <v>14</v>
      </c>
      <c r="F502" t="s">
        <v>33</v>
      </c>
      <c r="G502" t="s">
        <v>1084</v>
      </c>
      <c r="H502" t="s">
        <v>1065</v>
      </c>
      <c r="K502" t="s">
        <v>100</v>
      </c>
      <c r="L502" t="s">
        <v>73</v>
      </c>
      <c r="M502" t="s">
        <v>29</v>
      </c>
      <c r="N502" s="4">
        <v>76724</v>
      </c>
      <c r="O502" s="4">
        <v>187</v>
      </c>
      <c r="P502" s="4">
        <v>43209</v>
      </c>
      <c r="Q502" s="4">
        <v>69530</v>
      </c>
      <c r="R502" s="4">
        <v>9</v>
      </c>
      <c r="S502" s="3">
        <v>1493.204528</v>
      </c>
      <c r="T502" s="3">
        <f t="shared" si="44"/>
        <v>165.91161422222223</v>
      </c>
      <c r="U502" s="5">
        <f t="shared" si="48"/>
        <v>4.8128342245989303E-2</v>
      </c>
      <c r="V502" s="5">
        <f t="shared" si="45"/>
        <v>2.4373077524633751E-3</v>
      </c>
      <c r="W502" s="3">
        <f t="shared" si="46"/>
        <v>7.9850509518716573</v>
      </c>
      <c r="X502" s="3">
        <f t="shared" si="47"/>
        <v>19.462026588811842</v>
      </c>
      <c r="Y502" s="7">
        <f t="shared" si="49"/>
        <v>0.621443981015389</v>
      </c>
    </row>
    <row r="503" spans="1:25" x14ac:dyDescent="0.25">
      <c r="A503" t="s">
        <v>754</v>
      </c>
      <c r="B503" t="s">
        <v>545</v>
      </c>
      <c r="C503" t="s">
        <v>778</v>
      </c>
      <c r="D503" t="s">
        <v>797</v>
      </c>
      <c r="E503" t="s">
        <v>14</v>
      </c>
      <c r="F503" t="s">
        <v>15</v>
      </c>
      <c r="G503" t="s">
        <v>1133</v>
      </c>
      <c r="H503" t="s">
        <v>1065</v>
      </c>
      <c r="K503" t="s">
        <v>798</v>
      </c>
      <c r="L503" t="s">
        <v>73</v>
      </c>
      <c r="M503" t="s">
        <v>21</v>
      </c>
      <c r="N503" s="4">
        <v>13833</v>
      </c>
      <c r="O503" s="4">
        <v>84</v>
      </c>
      <c r="P503" s="4">
        <v>7693</v>
      </c>
      <c r="Q503" s="4">
        <v>13237</v>
      </c>
      <c r="R503" s="4">
        <v>6</v>
      </c>
      <c r="S503" s="3">
        <v>1526.7870660000001</v>
      </c>
      <c r="T503" s="3">
        <f t="shared" si="44"/>
        <v>254.46451100000002</v>
      </c>
      <c r="U503" s="5">
        <f t="shared" si="48"/>
        <v>7.1428571428571425E-2</v>
      </c>
      <c r="V503" s="5">
        <f t="shared" si="45"/>
        <v>6.072435480373021E-3</v>
      </c>
      <c r="W503" s="3">
        <f t="shared" si="46"/>
        <v>18.176036500000002</v>
      </c>
      <c r="X503" s="3">
        <f t="shared" si="47"/>
        <v>110.37280893515506</v>
      </c>
      <c r="Y503" s="7">
        <f t="shared" si="49"/>
        <v>0.58117398202009518</v>
      </c>
    </row>
    <row r="504" spans="1:25" x14ac:dyDescent="0.25">
      <c r="A504" t="s">
        <v>799</v>
      </c>
      <c r="B504" t="s">
        <v>800</v>
      </c>
      <c r="E504" t="s">
        <v>19</v>
      </c>
      <c r="F504" t="s">
        <v>33</v>
      </c>
      <c r="G504" t="s">
        <v>1086</v>
      </c>
      <c r="H504" t="s">
        <v>1063</v>
      </c>
      <c r="K504" t="s">
        <v>45</v>
      </c>
      <c r="L504" t="s">
        <v>68</v>
      </c>
      <c r="M504" t="s">
        <v>21</v>
      </c>
      <c r="N504" s="4">
        <v>39794</v>
      </c>
      <c r="O504" s="4">
        <v>101</v>
      </c>
      <c r="P504" s="4">
        <v>17539</v>
      </c>
      <c r="Q504" s="4">
        <v>37664</v>
      </c>
      <c r="R504" s="4">
        <v>12</v>
      </c>
      <c r="S504" s="3">
        <v>5328.5245139999997</v>
      </c>
      <c r="T504" s="3">
        <f t="shared" si="44"/>
        <v>444.04370949999998</v>
      </c>
      <c r="U504" s="5">
        <f t="shared" si="48"/>
        <v>0.11881188118811881</v>
      </c>
      <c r="V504" s="5">
        <f t="shared" si="45"/>
        <v>2.5380710659898475E-3</v>
      </c>
      <c r="W504" s="3">
        <f t="shared" si="46"/>
        <v>52.75766845544554</v>
      </c>
      <c r="X504" s="3">
        <f t="shared" si="47"/>
        <v>133.9027118158516</v>
      </c>
      <c r="Y504" s="7">
        <f t="shared" si="49"/>
        <v>0.4656701359388275</v>
      </c>
    </row>
    <row r="505" spans="1:25" x14ac:dyDescent="0.25">
      <c r="A505" t="s">
        <v>799</v>
      </c>
      <c r="B505" t="s">
        <v>801</v>
      </c>
      <c r="E505" t="s">
        <v>19</v>
      </c>
      <c r="F505" t="s">
        <v>26</v>
      </c>
      <c r="G505" t="s">
        <v>1070</v>
      </c>
      <c r="H505" t="s">
        <v>1071</v>
      </c>
      <c r="K505" t="s">
        <v>802</v>
      </c>
      <c r="L505" t="s">
        <v>17</v>
      </c>
      <c r="M505" t="s">
        <v>21</v>
      </c>
      <c r="N505" s="4">
        <v>9463</v>
      </c>
      <c r="O505" s="4">
        <v>56</v>
      </c>
      <c r="P505" s="4">
        <v>1518</v>
      </c>
      <c r="Q505" s="4">
        <v>8191</v>
      </c>
      <c r="R505" s="4">
        <v>4</v>
      </c>
      <c r="S505" s="3">
        <v>6879.6017069999998</v>
      </c>
      <c r="T505" s="3">
        <f t="shared" si="44"/>
        <v>1719.90042675</v>
      </c>
      <c r="U505" s="5">
        <f t="shared" si="48"/>
        <v>7.1428571428571425E-2</v>
      </c>
      <c r="V505" s="5">
        <f t="shared" si="45"/>
        <v>5.9177850575927293E-3</v>
      </c>
      <c r="W505" s="3">
        <f t="shared" si="46"/>
        <v>122.85003048214286</v>
      </c>
      <c r="X505" s="3">
        <f t="shared" si="47"/>
        <v>727.00007471203628</v>
      </c>
      <c r="Y505" s="7">
        <f t="shared" si="49"/>
        <v>0.18532535709925527</v>
      </c>
    </row>
    <row r="506" spans="1:25" x14ac:dyDescent="0.25">
      <c r="A506" t="s">
        <v>799</v>
      </c>
      <c r="B506" t="s">
        <v>803</v>
      </c>
      <c r="E506" t="s">
        <v>19</v>
      </c>
      <c r="F506" t="s">
        <v>44</v>
      </c>
      <c r="G506" t="s">
        <v>1072</v>
      </c>
      <c r="H506" t="s">
        <v>1065</v>
      </c>
      <c r="K506" t="s">
        <v>353</v>
      </c>
      <c r="L506" t="s">
        <v>115</v>
      </c>
      <c r="M506" t="s">
        <v>21</v>
      </c>
      <c r="N506" s="4">
        <v>18136</v>
      </c>
      <c r="O506" s="4">
        <v>69</v>
      </c>
      <c r="P506" s="4">
        <v>10842</v>
      </c>
      <c r="Q506" s="4">
        <v>14953</v>
      </c>
      <c r="R506" s="4">
        <v>9</v>
      </c>
      <c r="S506" s="3">
        <v>6860.3595969999997</v>
      </c>
      <c r="T506" s="3">
        <f t="shared" si="44"/>
        <v>762.26217744444443</v>
      </c>
      <c r="U506" s="5">
        <f t="shared" si="48"/>
        <v>0.13043478260869565</v>
      </c>
      <c r="V506" s="5">
        <f t="shared" si="45"/>
        <v>3.8045875606528452E-3</v>
      </c>
      <c r="W506" s="3">
        <f t="shared" si="46"/>
        <v>99.425501405797093</v>
      </c>
      <c r="X506" s="3">
        <f t="shared" si="47"/>
        <v>378.27302586016759</v>
      </c>
      <c r="Y506" s="7">
        <f t="shared" si="49"/>
        <v>0.72507189192804122</v>
      </c>
    </row>
    <row r="507" spans="1:25" x14ac:dyDescent="0.25">
      <c r="A507" t="s">
        <v>799</v>
      </c>
      <c r="B507" t="s">
        <v>804</v>
      </c>
      <c r="E507" t="s">
        <v>19</v>
      </c>
      <c r="F507" t="s">
        <v>33</v>
      </c>
      <c r="G507" t="s">
        <v>1073</v>
      </c>
      <c r="H507" t="s">
        <v>1074</v>
      </c>
      <c r="K507" t="s">
        <v>91</v>
      </c>
      <c r="L507" t="s">
        <v>17</v>
      </c>
      <c r="M507" t="s">
        <v>21</v>
      </c>
      <c r="N507" s="4">
        <v>39844</v>
      </c>
      <c r="O507" s="4">
        <v>99</v>
      </c>
      <c r="P507" s="4">
        <v>11077</v>
      </c>
      <c r="Q507" s="4">
        <v>30190</v>
      </c>
      <c r="R507" s="4">
        <v>9</v>
      </c>
      <c r="S507" s="3">
        <v>6367.8699290000004</v>
      </c>
      <c r="T507" s="3">
        <f t="shared" si="44"/>
        <v>707.54110322222232</v>
      </c>
      <c r="U507" s="5">
        <f t="shared" si="48"/>
        <v>9.0909090909090912E-2</v>
      </c>
      <c r="V507" s="5">
        <f t="shared" si="45"/>
        <v>2.4846902921393434E-3</v>
      </c>
      <c r="W507" s="3">
        <f t="shared" si="46"/>
        <v>64.321918474747477</v>
      </c>
      <c r="X507" s="3">
        <f t="shared" si="47"/>
        <v>159.82004640598336</v>
      </c>
      <c r="Y507" s="7">
        <f t="shared" si="49"/>
        <v>0.36690957270619412</v>
      </c>
    </row>
    <row r="508" spans="1:25" x14ac:dyDescent="0.25">
      <c r="A508" t="s">
        <v>799</v>
      </c>
      <c r="B508" t="s">
        <v>805</v>
      </c>
      <c r="E508" t="s">
        <v>14</v>
      </c>
      <c r="F508" t="s">
        <v>15</v>
      </c>
      <c r="G508" t="s">
        <v>1070</v>
      </c>
      <c r="H508" t="s">
        <v>1071</v>
      </c>
      <c r="K508" t="s">
        <v>802</v>
      </c>
      <c r="L508" t="s">
        <v>89</v>
      </c>
      <c r="M508" t="s">
        <v>21</v>
      </c>
      <c r="N508" s="4">
        <v>12136</v>
      </c>
      <c r="O508" s="4">
        <v>97</v>
      </c>
      <c r="P508" s="4">
        <v>2089</v>
      </c>
      <c r="Q508" s="4">
        <v>11500</v>
      </c>
      <c r="R508" s="4">
        <v>3</v>
      </c>
      <c r="S508" s="3">
        <v>5224.9324630000001</v>
      </c>
      <c r="T508" s="3">
        <f t="shared" si="44"/>
        <v>1741.6441543333333</v>
      </c>
      <c r="U508" s="5">
        <f t="shared" si="48"/>
        <v>3.0927835051546393E-2</v>
      </c>
      <c r="V508" s="5">
        <f t="shared" si="45"/>
        <v>7.9927488464073826E-3</v>
      </c>
      <c r="W508" s="3">
        <f t="shared" si="46"/>
        <v>53.865283123711343</v>
      </c>
      <c r="X508" s="3">
        <f t="shared" si="47"/>
        <v>430.53167954845088</v>
      </c>
      <c r="Y508" s="7">
        <f t="shared" si="49"/>
        <v>0.18165217391304347</v>
      </c>
    </row>
    <row r="509" spans="1:25" x14ac:dyDescent="0.25">
      <c r="A509" t="s">
        <v>799</v>
      </c>
      <c r="B509" t="s">
        <v>806</v>
      </c>
      <c r="E509" t="s">
        <v>14</v>
      </c>
      <c r="F509" t="s">
        <v>26</v>
      </c>
      <c r="G509" t="s">
        <v>1078</v>
      </c>
      <c r="H509" t="s">
        <v>1065</v>
      </c>
      <c r="K509" t="s">
        <v>171</v>
      </c>
      <c r="L509" t="s">
        <v>73</v>
      </c>
      <c r="M509" t="s">
        <v>21</v>
      </c>
      <c r="N509" s="4">
        <v>8187</v>
      </c>
      <c r="O509" s="4">
        <v>20</v>
      </c>
      <c r="P509" s="4">
        <v>4888</v>
      </c>
      <c r="Q509" s="4">
        <v>7510</v>
      </c>
      <c r="R509" s="4">
        <v>3</v>
      </c>
      <c r="S509" s="3">
        <v>6980.2293040000004</v>
      </c>
      <c r="T509" s="3">
        <f t="shared" si="44"/>
        <v>2326.7431013333335</v>
      </c>
      <c r="U509" s="5">
        <f t="shared" si="48"/>
        <v>0.15</v>
      </c>
      <c r="V509" s="5">
        <f t="shared" si="45"/>
        <v>2.4428972761695372E-3</v>
      </c>
      <c r="W509" s="3">
        <f t="shared" si="46"/>
        <v>349.01146520000003</v>
      </c>
      <c r="X509" s="3">
        <f t="shared" si="47"/>
        <v>852.59915768901931</v>
      </c>
      <c r="Y509" s="7">
        <f t="shared" si="49"/>
        <v>0.6508655126498003</v>
      </c>
    </row>
    <row r="510" spans="1:25" x14ac:dyDescent="0.25">
      <c r="A510" t="s">
        <v>807</v>
      </c>
      <c r="B510" t="s">
        <v>808</v>
      </c>
      <c r="E510" t="s">
        <v>19</v>
      </c>
      <c r="F510" t="s">
        <v>44</v>
      </c>
      <c r="G510" t="s">
        <v>1084</v>
      </c>
      <c r="H510" t="s">
        <v>1065</v>
      </c>
      <c r="K510" t="s">
        <v>809</v>
      </c>
      <c r="L510" t="s">
        <v>17</v>
      </c>
      <c r="M510" t="s">
        <v>21</v>
      </c>
      <c r="N510" s="4">
        <v>26820</v>
      </c>
      <c r="O510" s="4">
        <v>80</v>
      </c>
      <c r="P510" s="4">
        <v>13553</v>
      </c>
      <c r="Q510" s="4">
        <v>21192</v>
      </c>
      <c r="R510" s="4">
        <v>12</v>
      </c>
      <c r="S510" s="3">
        <v>6745.1034399999999</v>
      </c>
      <c r="T510" s="3">
        <f t="shared" si="44"/>
        <v>562.09195333333332</v>
      </c>
      <c r="U510" s="5">
        <f t="shared" si="48"/>
        <v>0.15</v>
      </c>
      <c r="V510" s="5">
        <f t="shared" si="45"/>
        <v>2.9828486204325128E-3</v>
      </c>
      <c r="W510" s="3">
        <f t="shared" si="46"/>
        <v>84.313793000000004</v>
      </c>
      <c r="X510" s="3">
        <f t="shared" si="47"/>
        <v>251.49528113348245</v>
      </c>
      <c r="Y510" s="7">
        <f t="shared" si="49"/>
        <v>0.63953378633446578</v>
      </c>
    </row>
    <row r="511" spans="1:25" x14ac:dyDescent="0.25">
      <c r="A511" t="s">
        <v>807</v>
      </c>
      <c r="B511" t="s">
        <v>810</v>
      </c>
      <c r="C511" t="s">
        <v>811</v>
      </c>
      <c r="E511" t="s">
        <v>19</v>
      </c>
      <c r="F511" t="s">
        <v>15</v>
      </c>
      <c r="G511" t="s">
        <v>1084</v>
      </c>
      <c r="H511" t="s">
        <v>1065</v>
      </c>
      <c r="K511" t="s">
        <v>223</v>
      </c>
      <c r="L511" t="s">
        <v>25</v>
      </c>
      <c r="M511" t="s">
        <v>21</v>
      </c>
      <c r="N511" s="4">
        <v>115544</v>
      </c>
      <c r="O511" s="4">
        <v>412</v>
      </c>
      <c r="P511" s="4">
        <v>79182</v>
      </c>
      <c r="Q511" s="4">
        <v>109463</v>
      </c>
      <c r="R511" s="4">
        <v>56</v>
      </c>
      <c r="S511" s="3">
        <v>6721.0944529999997</v>
      </c>
      <c r="T511" s="3">
        <f t="shared" si="44"/>
        <v>120.01954380357142</v>
      </c>
      <c r="U511" s="5">
        <f t="shared" si="48"/>
        <v>0.13592233009708737</v>
      </c>
      <c r="V511" s="5">
        <f t="shared" si="45"/>
        <v>3.5657411895035659E-3</v>
      </c>
      <c r="W511" s="3">
        <f t="shared" si="46"/>
        <v>16.313336050970872</v>
      </c>
      <c r="X511" s="3">
        <f t="shared" si="47"/>
        <v>58.169134295160283</v>
      </c>
      <c r="Y511" s="7">
        <f t="shared" si="49"/>
        <v>0.72336771329124905</v>
      </c>
    </row>
    <row r="512" spans="1:25" x14ac:dyDescent="0.25">
      <c r="A512" t="s">
        <v>807</v>
      </c>
      <c r="B512" t="s">
        <v>812</v>
      </c>
      <c r="E512" t="s">
        <v>14</v>
      </c>
      <c r="F512" t="s">
        <v>33</v>
      </c>
      <c r="G512" t="s">
        <v>1078</v>
      </c>
      <c r="H512" t="s">
        <v>1065</v>
      </c>
      <c r="K512" t="s">
        <v>81</v>
      </c>
      <c r="L512" t="s">
        <v>25</v>
      </c>
      <c r="M512" t="s">
        <v>21</v>
      </c>
      <c r="N512" s="4">
        <v>23829</v>
      </c>
      <c r="O512" s="4">
        <v>75</v>
      </c>
      <c r="P512" s="4">
        <v>8326</v>
      </c>
      <c r="Q512" s="4">
        <v>18812</v>
      </c>
      <c r="R512" s="4">
        <v>5</v>
      </c>
      <c r="S512" s="3">
        <v>1534.6980000000001</v>
      </c>
      <c r="T512" s="3">
        <f t="shared" si="44"/>
        <v>306.93960000000004</v>
      </c>
      <c r="U512" s="5">
        <f t="shared" si="48"/>
        <v>6.6666666666666666E-2</v>
      </c>
      <c r="V512" s="5">
        <f t="shared" si="45"/>
        <v>3.1474254060178774E-3</v>
      </c>
      <c r="W512" s="3">
        <f t="shared" si="46"/>
        <v>20.46264</v>
      </c>
      <c r="X512" s="3">
        <f t="shared" si="47"/>
        <v>64.404633010197671</v>
      </c>
      <c r="Y512" s="7">
        <f t="shared" si="49"/>
        <v>0.44258983627471826</v>
      </c>
    </row>
    <row r="513" spans="1:25" x14ac:dyDescent="0.25">
      <c r="A513" t="s">
        <v>807</v>
      </c>
      <c r="B513" t="s">
        <v>810</v>
      </c>
      <c r="C513" t="s">
        <v>813</v>
      </c>
      <c r="E513" t="s">
        <v>19</v>
      </c>
      <c r="F513" t="s">
        <v>15</v>
      </c>
      <c r="G513" t="s">
        <v>1104</v>
      </c>
      <c r="H513" t="s">
        <v>1080</v>
      </c>
      <c r="K513" t="s">
        <v>40</v>
      </c>
      <c r="L513" t="s">
        <v>25</v>
      </c>
      <c r="M513" t="s">
        <v>21</v>
      </c>
      <c r="N513" s="4">
        <v>26784</v>
      </c>
      <c r="O513" s="4">
        <v>85</v>
      </c>
      <c r="P513" s="4">
        <v>12708</v>
      </c>
      <c r="Q513" s="4">
        <v>22261</v>
      </c>
      <c r="R513" s="4">
        <v>9</v>
      </c>
      <c r="S513" s="3">
        <v>6643.1616469999999</v>
      </c>
      <c r="T513" s="3">
        <f t="shared" si="44"/>
        <v>738.12907188888892</v>
      </c>
      <c r="U513" s="5">
        <f t="shared" si="48"/>
        <v>0.10588235294117647</v>
      </c>
      <c r="V513" s="5">
        <f t="shared" si="45"/>
        <v>3.1735364396654718E-3</v>
      </c>
      <c r="W513" s="3">
        <f t="shared" si="46"/>
        <v>78.154842905882347</v>
      </c>
      <c r="X513" s="3">
        <f t="shared" si="47"/>
        <v>248.02724189814816</v>
      </c>
      <c r="Y513" s="7">
        <f t="shared" si="49"/>
        <v>0.57086384259467227</v>
      </c>
    </row>
    <row r="514" spans="1:25" x14ac:dyDescent="0.25">
      <c r="A514" t="s">
        <v>814</v>
      </c>
      <c r="B514" t="s">
        <v>815</v>
      </c>
      <c r="E514" t="s">
        <v>14</v>
      </c>
      <c r="F514" t="s">
        <v>15</v>
      </c>
      <c r="G514" t="s">
        <v>1070</v>
      </c>
      <c r="H514" t="s">
        <v>1071</v>
      </c>
      <c r="K514" t="s">
        <v>75</v>
      </c>
      <c r="L514" t="s">
        <v>89</v>
      </c>
      <c r="M514" t="s">
        <v>21</v>
      </c>
      <c r="N514" s="4">
        <v>109567</v>
      </c>
      <c r="O514" s="4">
        <v>345</v>
      </c>
      <c r="P514" s="4">
        <v>57620</v>
      </c>
      <c r="Q514" s="4">
        <v>97903</v>
      </c>
      <c r="R514" s="4">
        <v>5</v>
      </c>
      <c r="S514" s="3">
        <v>1616.7147219999999</v>
      </c>
      <c r="T514" s="3">
        <f t="shared" ref="T514:T577" si="50">S514/R514</f>
        <v>323.34294439999996</v>
      </c>
      <c r="U514" s="5">
        <f t="shared" si="48"/>
        <v>1.4492753623188406E-2</v>
      </c>
      <c r="V514" s="5">
        <f t="shared" ref="V514:V577" si="51">O514/N514</f>
        <v>3.1487582940118832E-3</v>
      </c>
      <c r="W514" s="3">
        <f t="shared" ref="W514:W577" si="52">S514/O514</f>
        <v>4.6861296289855074</v>
      </c>
      <c r="X514" s="3">
        <f t="shared" ref="X514:X577" si="53">(S514/N514)*1000</f>
        <v>14.755489536082944</v>
      </c>
      <c r="Y514" s="7">
        <f t="shared" si="49"/>
        <v>0.58854171986558124</v>
      </c>
    </row>
    <row r="515" spans="1:25" x14ac:dyDescent="0.25">
      <c r="A515" t="s">
        <v>816</v>
      </c>
      <c r="B515" t="s">
        <v>816</v>
      </c>
      <c r="C515" t="s">
        <v>817</v>
      </c>
      <c r="E515" t="s">
        <v>19</v>
      </c>
      <c r="F515" t="s">
        <v>33</v>
      </c>
      <c r="G515" t="s">
        <v>1070</v>
      </c>
      <c r="H515" t="s">
        <v>1071</v>
      </c>
      <c r="K515" t="s">
        <v>818</v>
      </c>
      <c r="L515" t="s">
        <v>17</v>
      </c>
      <c r="M515" t="s">
        <v>21</v>
      </c>
      <c r="N515" s="4">
        <v>15322</v>
      </c>
      <c r="O515" s="4">
        <v>55</v>
      </c>
      <c r="P515" s="4">
        <v>6416</v>
      </c>
      <c r="Q515" s="4">
        <v>14049</v>
      </c>
      <c r="R515" s="4">
        <v>5</v>
      </c>
      <c r="S515" s="3">
        <v>1850.464205</v>
      </c>
      <c r="T515" s="3">
        <f t="shared" si="50"/>
        <v>370.09284100000002</v>
      </c>
      <c r="U515" s="5">
        <f t="shared" ref="U515:U578" si="54">R515/O515</f>
        <v>9.0909090909090912E-2</v>
      </c>
      <c r="V515" s="5">
        <f t="shared" si="51"/>
        <v>3.5896097115259104E-3</v>
      </c>
      <c r="W515" s="3">
        <f t="shared" si="52"/>
        <v>33.64480372727273</v>
      </c>
      <c r="X515" s="3">
        <f t="shared" si="53"/>
        <v>120.77171420180133</v>
      </c>
      <c r="Y515" s="7">
        <f t="shared" ref="Y515:Y578" si="55">P515/Q515</f>
        <v>0.45668730870524593</v>
      </c>
    </row>
    <row r="516" spans="1:25" x14ac:dyDescent="0.25">
      <c r="A516" t="s">
        <v>819</v>
      </c>
      <c r="E516" t="s">
        <v>14</v>
      </c>
      <c r="F516" t="s">
        <v>26</v>
      </c>
      <c r="G516" t="s">
        <v>1075</v>
      </c>
      <c r="H516" t="s">
        <v>1074</v>
      </c>
      <c r="K516" t="s">
        <v>629</v>
      </c>
      <c r="L516" t="s">
        <v>266</v>
      </c>
      <c r="M516" t="s">
        <v>29</v>
      </c>
      <c r="N516" s="4">
        <v>35043</v>
      </c>
      <c r="O516" s="4">
        <v>140</v>
      </c>
      <c r="P516" s="4">
        <v>20942</v>
      </c>
      <c r="Q516" s="4">
        <v>33479</v>
      </c>
      <c r="R516" s="4">
        <v>24</v>
      </c>
      <c r="S516" s="3">
        <v>1527.9762800000001</v>
      </c>
      <c r="T516" s="3">
        <f t="shared" si="50"/>
        <v>63.665678333333339</v>
      </c>
      <c r="U516" s="5">
        <f t="shared" si="54"/>
        <v>0.17142857142857143</v>
      </c>
      <c r="V516" s="5">
        <f t="shared" si="51"/>
        <v>3.9950917444282735E-3</v>
      </c>
      <c r="W516" s="3">
        <f t="shared" si="52"/>
        <v>10.914116285714286</v>
      </c>
      <c r="X516" s="3">
        <f t="shared" si="53"/>
        <v>43.602895870787322</v>
      </c>
      <c r="Y516" s="7">
        <f t="shared" si="55"/>
        <v>0.62552644941605184</v>
      </c>
    </row>
    <row r="517" spans="1:25" x14ac:dyDescent="0.25">
      <c r="A517" t="s">
        <v>820</v>
      </c>
      <c r="B517" t="s">
        <v>821</v>
      </c>
      <c r="E517" t="s">
        <v>19</v>
      </c>
      <c r="F517" t="s">
        <v>44</v>
      </c>
      <c r="G517" t="s">
        <v>1073</v>
      </c>
      <c r="H517" t="s">
        <v>1074</v>
      </c>
      <c r="K517" t="s">
        <v>648</v>
      </c>
      <c r="L517" t="s">
        <v>266</v>
      </c>
      <c r="M517" t="s">
        <v>21</v>
      </c>
      <c r="N517" s="4">
        <v>66554</v>
      </c>
      <c r="O517" s="4">
        <v>169</v>
      </c>
      <c r="P517" s="4">
        <v>39206</v>
      </c>
      <c r="Q517" s="4">
        <v>62109</v>
      </c>
      <c r="R517" s="4">
        <v>6</v>
      </c>
      <c r="S517" s="3">
        <v>1890.885935</v>
      </c>
      <c r="T517" s="3">
        <f t="shared" si="50"/>
        <v>315.14765583333332</v>
      </c>
      <c r="U517" s="5">
        <f t="shared" si="54"/>
        <v>3.5502958579881658E-2</v>
      </c>
      <c r="V517" s="5">
        <f t="shared" si="51"/>
        <v>2.5392914024701748E-3</v>
      </c>
      <c r="W517" s="3">
        <f t="shared" si="52"/>
        <v>11.188674171597633</v>
      </c>
      <c r="X517" s="3">
        <f t="shared" si="53"/>
        <v>28.411304128977971</v>
      </c>
      <c r="Y517" s="7">
        <f t="shared" si="55"/>
        <v>0.6312450691526188</v>
      </c>
    </row>
    <row r="518" spans="1:25" x14ac:dyDescent="0.25">
      <c r="A518" t="s">
        <v>820</v>
      </c>
      <c r="B518" t="s">
        <v>822</v>
      </c>
      <c r="E518" t="s">
        <v>19</v>
      </c>
      <c r="F518" t="s">
        <v>15</v>
      </c>
      <c r="G518" t="s">
        <v>1105</v>
      </c>
      <c r="H518" t="s">
        <v>1077</v>
      </c>
      <c r="K518" t="s">
        <v>102</v>
      </c>
      <c r="L518" t="s">
        <v>25</v>
      </c>
      <c r="M518" t="s">
        <v>21</v>
      </c>
      <c r="N518" s="4">
        <v>19549</v>
      </c>
      <c r="O518" s="4">
        <v>84</v>
      </c>
      <c r="P518" s="4">
        <v>6187</v>
      </c>
      <c r="Q518" s="4">
        <v>17166</v>
      </c>
      <c r="R518" s="4">
        <v>2</v>
      </c>
      <c r="S518" s="3">
        <v>1844.9869209999999</v>
      </c>
      <c r="T518" s="3">
        <f t="shared" si="50"/>
        <v>922.49346049999997</v>
      </c>
      <c r="U518" s="5">
        <f t="shared" si="54"/>
        <v>2.3809523809523808E-2</v>
      </c>
      <c r="V518" s="5">
        <f t="shared" si="51"/>
        <v>4.2968949818405038E-3</v>
      </c>
      <c r="W518" s="3">
        <f t="shared" si="52"/>
        <v>21.964130011904761</v>
      </c>
      <c r="X518" s="3">
        <f t="shared" si="53"/>
        <v>94.377560028645959</v>
      </c>
      <c r="Y518" s="7">
        <f t="shared" si="55"/>
        <v>0.36042176395199815</v>
      </c>
    </row>
    <row r="519" spans="1:25" x14ac:dyDescent="0.25">
      <c r="A519" t="s">
        <v>823</v>
      </c>
      <c r="E519" t="s">
        <v>14</v>
      </c>
      <c r="F519" t="s">
        <v>26</v>
      </c>
      <c r="G519" t="s">
        <v>1070</v>
      </c>
      <c r="H519" t="s">
        <v>1071</v>
      </c>
      <c r="K519" t="s">
        <v>824</v>
      </c>
      <c r="L519" t="s">
        <v>68</v>
      </c>
      <c r="M519" t="s">
        <v>21</v>
      </c>
      <c r="N519" s="4">
        <v>11289</v>
      </c>
      <c r="O519" s="4">
        <v>97</v>
      </c>
      <c r="P519" s="4">
        <v>1345</v>
      </c>
      <c r="Q519" s="4">
        <v>8187</v>
      </c>
      <c r="R519" s="4">
        <v>3</v>
      </c>
      <c r="S519" s="3">
        <v>1665.160445</v>
      </c>
      <c r="T519" s="3">
        <f t="shared" si="50"/>
        <v>555.0534816666667</v>
      </c>
      <c r="U519" s="5">
        <f t="shared" si="54"/>
        <v>3.0927835051546393E-2</v>
      </c>
      <c r="V519" s="5">
        <f t="shared" si="51"/>
        <v>8.5924351138276199E-3</v>
      </c>
      <c r="W519" s="3">
        <f t="shared" si="52"/>
        <v>17.166602525773197</v>
      </c>
      <c r="X519" s="3">
        <f t="shared" si="53"/>
        <v>147.50291832757551</v>
      </c>
      <c r="Y519" s="7">
        <f t="shared" si="55"/>
        <v>0.16428484182240136</v>
      </c>
    </row>
    <row r="520" spans="1:25" x14ac:dyDescent="0.25">
      <c r="A520" t="s">
        <v>823</v>
      </c>
      <c r="B520" t="s">
        <v>825</v>
      </c>
      <c r="C520" t="s">
        <v>826</v>
      </c>
      <c r="E520" t="s">
        <v>14</v>
      </c>
      <c r="F520" t="s">
        <v>15</v>
      </c>
      <c r="G520" t="s">
        <v>1070</v>
      </c>
      <c r="H520" t="s">
        <v>1071</v>
      </c>
      <c r="K520" t="s">
        <v>91</v>
      </c>
      <c r="L520" t="s">
        <v>783</v>
      </c>
      <c r="M520" t="s">
        <v>21</v>
      </c>
      <c r="N520" s="4">
        <v>12280</v>
      </c>
      <c r="O520" s="4">
        <v>90</v>
      </c>
      <c r="P520" s="4">
        <v>7633</v>
      </c>
      <c r="Q520" s="4">
        <v>11053</v>
      </c>
      <c r="R520" s="4">
        <v>5</v>
      </c>
      <c r="S520" s="3">
        <v>1452.207361</v>
      </c>
      <c r="T520" s="3">
        <f t="shared" si="50"/>
        <v>290.44147220000002</v>
      </c>
      <c r="U520" s="5">
        <f t="shared" si="54"/>
        <v>5.5555555555555552E-2</v>
      </c>
      <c r="V520" s="5">
        <f t="shared" si="51"/>
        <v>7.3289902280130291E-3</v>
      </c>
      <c r="W520" s="3">
        <f t="shared" si="52"/>
        <v>16.135637344444444</v>
      </c>
      <c r="X520" s="3">
        <f t="shared" si="53"/>
        <v>118.25792842019543</v>
      </c>
      <c r="Y520" s="7">
        <f t="shared" si="55"/>
        <v>0.69058174251334481</v>
      </c>
    </row>
    <row r="521" spans="1:25" x14ac:dyDescent="0.25">
      <c r="A521" t="s">
        <v>827</v>
      </c>
      <c r="E521" t="s">
        <v>14</v>
      </c>
      <c r="F521" t="s">
        <v>26</v>
      </c>
      <c r="G521" t="s">
        <v>1073</v>
      </c>
      <c r="H521" t="s">
        <v>1074</v>
      </c>
      <c r="K521" t="s">
        <v>49</v>
      </c>
      <c r="L521" t="s">
        <v>17</v>
      </c>
      <c r="M521" t="s">
        <v>29</v>
      </c>
      <c r="N521" s="4">
        <v>16142</v>
      </c>
      <c r="O521" s="4">
        <v>30</v>
      </c>
      <c r="P521" s="4">
        <v>7064</v>
      </c>
      <c r="Q521" s="4">
        <v>15433</v>
      </c>
      <c r="R521" s="4">
        <v>5</v>
      </c>
      <c r="S521" s="3">
        <v>2209.6509569999998</v>
      </c>
      <c r="T521" s="3">
        <f t="shared" si="50"/>
        <v>441.93019139999996</v>
      </c>
      <c r="U521" s="5">
        <f t="shared" si="54"/>
        <v>0.16666666666666666</v>
      </c>
      <c r="V521" s="5">
        <f t="shared" si="51"/>
        <v>1.8585057613678603E-3</v>
      </c>
      <c r="W521" s="3">
        <f t="shared" si="52"/>
        <v>73.655031899999997</v>
      </c>
      <c r="X521" s="3">
        <f t="shared" si="53"/>
        <v>136.88830113988351</v>
      </c>
      <c r="Y521" s="7">
        <f t="shared" si="55"/>
        <v>0.45772046912460312</v>
      </c>
    </row>
    <row r="522" spans="1:25" x14ac:dyDescent="0.25">
      <c r="A522" t="s">
        <v>828</v>
      </c>
      <c r="B522" t="s">
        <v>829</v>
      </c>
      <c r="C522" t="s">
        <v>830</v>
      </c>
      <c r="D522" t="s">
        <v>831</v>
      </c>
      <c r="E522" t="s">
        <v>14</v>
      </c>
      <c r="F522" t="s">
        <v>33</v>
      </c>
      <c r="G522" t="s">
        <v>1066</v>
      </c>
      <c r="H522" t="s">
        <v>1067</v>
      </c>
      <c r="K522" t="s">
        <v>223</v>
      </c>
      <c r="L522" t="s">
        <v>17</v>
      </c>
      <c r="M522" t="s">
        <v>29</v>
      </c>
      <c r="N522" s="4">
        <v>65983</v>
      </c>
      <c r="O522" s="4">
        <v>212</v>
      </c>
      <c r="P522" s="4">
        <v>8536</v>
      </c>
      <c r="Q522" s="4">
        <v>57434</v>
      </c>
      <c r="R522" s="4">
        <v>3</v>
      </c>
      <c r="S522" s="3">
        <v>1599.076249</v>
      </c>
      <c r="T522" s="3">
        <f t="shared" si="50"/>
        <v>533.02541633333328</v>
      </c>
      <c r="U522" s="5">
        <f t="shared" si="54"/>
        <v>1.4150943396226415E-2</v>
      </c>
      <c r="V522" s="5">
        <f t="shared" si="51"/>
        <v>3.212948789839807E-3</v>
      </c>
      <c r="W522" s="3">
        <f t="shared" si="52"/>
        <v>7.5428124952830187</v>
      </c>
      <c r="X522" s="3">
        <f t="shared" si="53"/>
        <v>24.234670278708151</v>
      </c>
      <c r="Y522" s="7">
        <f t="shared" si="55"/>
        <v>0.14862276700212418</v>
      </c>
    </row>
    <row r="523" spans="1:25" x14ac:dyDescent="0.25">
      <c r="A523" t="s">
        <v>828</v>
      </c>
      <c r="B523" t="s">
        <v>829</v>
      </c>
      <c r="C523" t="s">
        <v>832</v>
      </c>
      <c r="D523" t="s">
        <v>1141</v>
      </c>
      <c r="E523" t="s">
        <v>19</v>
      </c>
      <c r="F523" t="s">
        <v>15</v>
      </c>
      <c r="G523" t="s">
        <v>1104</v>
      </c>
      <c r="H523" t="s">
        <v>1080</v>
      </c>
      <c r="K523" t="s">
        <v>576</v>
      </c>
      <c r="L523" t="s">
        <v>17</v>
      </c>
      <c r="M523" t="s">
        <v>21</v>
      </c>
      <c r="N523" s="4">
        <v>268811</v>
      </c>
      <c r="O523" s="4">
        <v>799</v>
      </c>
      <c r="P523" s="4">
        <v>95989</v>
      </c>
      <c r="Q523" s="4">
        <v>173923</v>
      </c>
      <c r="R523" s="4">
        <v>4</v>
      </c>
      <c r="S523" s="3">
        <v>2549.1151580000001</v>
      </c>
      <c r="T523" s="3">
        <f t="shared" si="50"/>
        <v>637.27878950000002</v>
      </c>
      <c r="U523" s="5">
        <f t="shared" si="54"/>
        <v>5.0062578222778474E-3</v>
      </c>
      <c r="V523" s="5">
        <f t="shared" si="51"/>
        <v>2.9723486018057295E-3</v>
      </c>
      <c r="W523" s="3">
        <f t="shared" si="52"/>
        <v>3.1903819249061329</v>
      </c>
      <c r="X523" s="3">
        <f t="shared" si="53"/>
        <v>9.4829272537210176</v>
      </c>
      <c r="Y523" s="7">
        <f t="shared" si="55"/>
        <v>0.55190515342996616</v>
      </c>
    </row>
    <row r="524" spans="1:25" x14ac:dyDescent="0.25">
      <c r="A524" t="s">
        <v>828</v>
      </c>
      <c r="B524" t="s">
        <v>829</v>
      </c>
      <c r="C524" t="s">
        <v>832</v>
      </c>
      <c r="D524" t="s">
        <v>1142</v>
      </c>
      <c r="E524" t="s">
        <v>19</v>
      </c>
      <c r="F524" t="s">
        <v>15</v>
      </c>
      <c r="G524" t="s">
        <v>1112</v>
      </c>
      <c r="H524" t="s">
        <v>1074</v>
      </c>
      <c r="K524" t="s">
        <v>42</v>
      </c>
      <c r="L524" t="s">
        <v>28</v>
      </c>
      <c r="M524" t="s">
        <v>21</v>
      </c>
      <c r="N524" s="4">
        <v>15399</v>
      </c>
      <c r="O524" s="4">
        <v>35</v>
      </c>
      <c r="P524" s="4">
        <v>3398</v>
      </c>
      <c r="Q524" s="4">
        <v>4324</v>
      </c>
      <c r="R524" s="4">
        <v>3</v>
      </c>
      <c r="S524" s="3">
        <v>3434.7311530000002</v>
      </c>
      <c r="T524" s="3">
        <f t="shared" si="50"/>
        <v>1144.9103843333335</v>
      </c>
      <c r="U524" s="5">
        <f t="shared" si="54"/>
        <v>8.5714285714285715E-2</v>
      </c>
      <c r="V524" s="5">
        <f t="shared" si="51"/>
        <v>2.2728748620040261E-3</v>
      </c>
      <c r="W524" s="3">
        <f t="shared" si="52"/>
        <v>98.135175799999999</v>
      </c>
      <c r="X524" s="3">
        <f t="shared" si="53"/>
        <v>223.04897415416585</v>
      </c>
      <c r="Y524" s="7">
        <f t="shared" si="55"/>
        <v>0.78584643848288627</v>
      </c>
    </row>
    <row r="525" spans="1:25" x14ac:dyDescent="0.25">
      <c r="A525" t="s">
        <v>828</v>
      </c>
      <c r="B525" t="s">
        <v>829</v>
      </c>
      <c r="C525" t="s">
        <v>590</v>
      </c>
      <c r="D525" t="s">
        <v>1143</v>
      </c>
      <c r="E525" t="s">
        <v>14</v>
      </c>
      <c r="F525" t="s">
        <v>33</v>
      </c>
      <c r="G525" t="s">
        <v>1092</v>
      </c>
      <c r="H525" t="s">
        <v>1065</v>
      </c>
      <c r="K525" t="s">
        <v>683</v>
      </c>
      <c r="L525" t="s">
        <v>266</v>
      </c>
      <c r="M525" t="s">
        <v>29</v>
      </c>
      <c r="N525" s="4">
        <v>15904</v>
      </c>
      <c r="O525" s="4">
        <v>190</v>
      </c>
      <c r="P525" s="4">
        <v>7523</v>
      </c>
      <c r="Q525" s="4">
        <v>14815</v>
      </c>
      <c r="R525" s="4">
        <v>2</v>
      </c>
      <c r="S525" s="3">
        <v>1825.7257079999999</v>
      </c>
      <c r="T525" s="3">
        <f t="shared" si="50"/>
        <v>912.86285399999997</v>
      </c>
      <c r="U525" s="5">
        <f t="shared" si="54"/>
        <v>1.0526315789473684E-2</v>
      </c>
      <c r="V525" s="5">
        <f t="shared" si="51"/>
        <v>1.1946680080482898E-2</v>
      </c>
      <c r="W525" s="3">
        <f t="shared" si="52"/>
        <v>9.6090826736842097</v>
      </c>
      <c r="X525" s="3">
        <f t="shared" si="53"/>
        <v>114.79663656941649</v>
      </c>
      <c r="Y525" s="7">
        <f t="shared" si="55"/>
        <v>0.50779615254809318</v>
      </c>
    </row>
    <row r="526" spans="1:25" x14ac:dyDescent="0.25">
      <c r="A526" t="s">
        <v>828</v>
      </c>
      <c r="B526" t="s">
        <v>829</v>
      </c>
      <c r="C526" t="s">
        <v>397</v>
      </c>
      <c r="D526" t="s">
        <v>116</v>
      </c>
      <c r="E526" t="s">
        <v>19</v>
      </c>
      <c r="F526" t="s">
        <v>15</v>
      </c>
      <c r="G526" t="s">
        <v>1062</v>
      </c>
      <c r="H526" t="s">
        <v>1063</v>
      </c>
      <c r="K526" t="s">
        <v>91</v>
      </c>
      <c r="L526" t="s">
        <v>17</v>
      </c>
      <c r="M526" t="s">
        <v>21</v>
      </c>
      <c r="N526" s="4">
        <v>68008</v>
      </c>
      <c r="O526" s="4">
        <v>204</v>
      </c>
      <c r="P526" s="4">
        <v>2996</v>
      </c>
      <c r="Q526" s="4">
        <v>49686</v>
      </c>
      <c r="R526" s="4">
        <v>9</v>
      </c>
      <c r="S526" s="3">
        <v>1923.808141</v>
      </c>
      <c r="T526" s="3">
        <f t="shared" si="50"/>
        <v>213.7564601111111</v>
      </c>
      <c r="U526" s="5">
        <f t="shared" si="54"/>
        <v>4.4117647058823532E-2</v>
      </c>
      <c r="V526" s="5">
        <f t="shared" si="51"/>
        <v>2.9996471003411363E-3</v>
      </c>
      <c r="W526" s="3">
        <f t="shared" si="52"/>
        <v>9.4304320637254904</v>
      </c>
      <c r="X526" s="3">
        <f t="shared" si="53"/>
        <v>28.287968194918246</v>
      </c>
      <c r="Y526" s="7">
        <f t="shared" si="55"/>
        <v>6.0298675683291066E-2</v>
      </c>
    </row>
    <row r="527" spans="1:25" x14ac:dyDescent="0.25">
      <c r="A527" t="s">
        <v>828</v>
      </c>
      <c r="B527" t="s">
        <v>829</v>
      </c>
      <c r="C527" t="s">
        <v>832</v>
      </c>
      <c r="D527" t="s">
        <v>1144</v>
      </c>
      <c r="E527" t="s">
        <v>14</v>
      </c>
      <c r="F527" t="s">
        <v>44</v>
      </c>
      <c r="G527" t="s">
        <v>1078</v>
      </c>
      <c r="H527" t="s">
        <v>1065</v>
      </c>
      <c r="K527" t="s">
        <v>191</v>
      </c>
      <c r="L527" t="s">
        <v>17</v>
      </c>
      <c r="M527" t="s">
        <v>21</v>
      </c>
      <c r="N527" s="4">
        <v>12988</v>
      </c>
      <c r="O527" s="4">
        <v>69</v>
      </c>
      <c r="P527" s="4">
        <v>6514</v>
      </c>
      <c r="Q527" s="4">
        <v>9378</v>
      </c>
      <c r="R527" s="4">
        <v>4</v>
      </c>
      <c r="S527" s="3">
        <v>2236.485099</v>
      </c>
      <c r="T527" s="3">
        <f t="shared" si="50"/>
        <v>559.12127475</v>
      </c>
      <c r="U527" s="5">
        <f t="shared" si="54"/>
        <v>5.7971014492753624E-2</v>
      </c>
      <c r="V527" s="5">
        <f t="shared" si="51"/>
        <v>5.3125962426855558E-3</v>
      </c>
      <c r="W527" s="3">
        <f t="shared" si="52"/>
        <v>32.412827521739132</v>
      </c>
      <c r="X527" s="3">
        <f t="shared" si="53"/>
        <v>172.19626570680629</v>
      </c>
      <c r="Y527" s="7">
        <f t="shared" si="55"/>
        <v>0.69460439326082324</v>
      </c>
    </row>
    <row r="528" spans="1:25" x14ac:dyDescent="0.25">
      <c r="A528" t="s">
        <v>828</v>
      </c>
      <c r="B528" t="s">
        <v>829</v>
      </c>
      <c r="C528" t="s">
        <v>423</v>
      </c>
      <c r="D528" t="s">
        <v>1145</v>
      </c>
      <c r="E528" t="s">
        <v>19</v>
      </c>
      <c r="F528" t="s">
        <v>33</v>
      </c>
      <c r="G528" t="s">
        <v>1070</v>
      </c>
      <c r="H528" t="s">
        <v>1071</v>
      </c>
      <c r="K528" t="s">
        <v>683</v>
      </c>
      <c r="L528" t="s">
        <v>25</v>
      </c>
      <c r="M528" t="s">
        <v>21</v>
      </c>
      <c r="N528" s="4">
        <v>12868</v>
      </c>
      <c r="O528" s="4">
        <v>80</v>
      </c>
      <c r="P528" s="4">
        <v>6472</v>
      </c>
      <c r="Q528" s="4">
        <v>11922</v>
      </c>
      <c r="R528" s="4">
        <v>6</v>
      </c>
      <c r="S528" s="3">
        <v>3137.143043</v>
      </c>
      <c r="T528" s="3">
        <f t="shared" si="50"/>
        <v>522.85717383333338</v>
      </c>
      <c r="U528" s="5">
        <f t="shared" si="54"/>
        <v>7.4999999999999997E-2</v>
      </c>
      <c r="V528" s="5">
        <f t="shared" si="51"/>
        <v>6.2169723344731118E-3</v>
      </c>
      <c r="W528" s="3">
        <f t="shared" si="52"/>
        <v>39.214288037499998</v>
      </c>
      <c r="X528" s="3">
        <f t="shared" si="53"/>
        <v>243.7941438451974</v>
      </c>
      <c r="Y528" s="7">
        <f t="shared" si="55"/>
        <v>0.54286193591679244</v>
      </c>
    </row>
    <row r="529" spans="1:25" x14ac:dyDescent="0.25">
      <c r="A529" t="s">
        <v>828</v>
      </c>
      <c r="B529" t="s">
        <v>833</v>
      </c>
      <c r="C529" t="s">
        <v>834</v>
      </c>
      <c r="D529" t="s">
        <v>835</v>
      </c>
      <c r="E529" t="s">
        <v>19</v>
      </c>
      <c r="F529" t="s">
        <v>44</v>
      </c>
      <c r="G529" t="s">
        <v>1096</v>
      </c>
      <c r="H529" t="s">
        <v>1097</v>
      </c>
      <c r="K529" t="s">
        <v>16</v>
      </c>
      <c r="L529" t="s">
        <v>89</v>
      </c>
      <c r="M529" t="s">
        <v>21</v>
      </c>
      <c r="N529" s="4">
        <v>14181</v>
      </c>
      <c r="O529" s="4">
        <v>65</v>
      </c>
      <c r="P529" s="4">
        <v>7106</v>
      </c>
      <c r="Q529" s="4">
        <v>13189</v>
      </c>
      <c r="R529" s="4">
        <v>17</v>
      </c>
      <c r="S529" s="3">
        <v>2912.4671560000002</v>
      </c>
      <c r="T529" s="3">
        <f t="shared" si="50"/>
        <v>171.32159741176471</v>
      </c>
      <c r="U529" s="5">
        <f t="shared" si="54"/>
        <v>0.26153846153846155</v>
      </c>
      <c r="V529" s="5">
        <f t="shared" si="51"/>
        <v>4.5835977716663142E-3</v>
      </c>
      <c r="W529" s="3">
        <f t="shared" si="52"/>
        <v>44.807187015384621</v>
      </c>
      <c r="X529" s="3">
        <f t="shared" si="53"/>
        <v>205.37812255835274</v>
      </c>
      <c r="Y529" s="7">
        <f t="shared" si="55"/>
        <v>0.53878231859883241</v>
      </c>
    </row>
    <row r="530" spans="1:25" x14ac:dyDescent="0.25">
      <c r="A530" t="s">
        <v>828</v>
      </c>
      <c r="B530" t="s">
        <v>829</v>
      </c>
      <c r="C530" t="s">
        <v>397</v>
      </c>
      <c r="D530" t="s">
        <v>836</v>
      </c>
      <c r="E530" t="s">
        <v>14</v>
      </c>
      <c r="F530" t="s">
        <v>44</v>
      </c>
      <c r="G530" t="s">
        <v>1064</v>
      </c>
      <c r="H530" t="s">
        <v>1065</v>
      </c>
      <c r="K530" t="s">
        <v>629</v>
      </c>
      <c r="L530" t="s">
        <v>28</v>
      </c>
      <c r="M530" t="s">
        <v>21</v>
      </c>
      <c r="N530" s="4">
        <v>10389</v>
      </c>
      <c r="O530" s="4">
        <v>55</v>
      </c>
      <c r="P530" s="4">
        <v>8161</v>
      </c>
      <c r="Q530" s="4">
        <v>9951</v>
      </c>
      <c r="R530" s="4">
        <v>2</v>
      </c>
      <c r="S530" s="3">
        <v>2582.4938470000002</v>
      </c>
      <c r="T530" s="3">
        <f t="shared" si="50"/>
        <v>1291.2469235000001</v>
      </c>
      <c r="U530" s="5">
        <f t="shared" si="54"/>
        <v>3.6363636363636362E-2</v>
      </c>
      <c r="V530" s="5">
        <f t="shared" si="51"/>
        <v>5.2940610260852825E-3</v>
      </c>
      <c r="W530" s="3">
        <f t="shared" si="52"/>
        <v>46.954433581818186</v>
      </c>
      <c r="X530" s="3">
        <f t="shared" si="53"/>
        <v>248.57963682741362</v>
      </c>
      <c r="Y530" s="7">
        <f t="shared" si="55"/>
        <v>0.82011858104713098</v>
      </c>
    </row>
    <row r="531" spans="1:25" x14ac:dyDescent="0.25">
      <c r="A531" t="s">
        <v>828</v>
      </c>
      <c r="B531" t="s">
        <v>829</v>
      </c>
      <c r="C531" t="s">
        <v>832</v>
      </c>
      <c r="D531" t="s">
        <v>1146</v>
      </c>
      <c r="E531" t="s">
        <v>14</v>
      </c>
      <c r="F531" t="s">
        <v>44</v>
      </c>
      <c r="G531" t="s">
        <v>1079</v>
      </c>
      <c r="H531" t="s">
        <v>1080</v>
      </c>
      <c r="K531" t="s">
        <v>430</v>
      </c>
      <c r="L531" t="s">
        <v>17</v>
      </c>
      <c r="M531" t="s">
        <v>21</v>
      </c>
      <c r="N531" s="4">
        <v>22444</v>
      </c>
      <c r="O531" s="4">
        <v>160</v>
      </c>
      <c r="P531" s="4">
        <v>12672</v>
      </c>
      <c r="Q531" s="4">
        <v>21345</v>
      </c>
      <c r="R531" s="4">
        <v>5</v>
      </c>
      <c r="S531" s="3">
        <v>2539.2005629999999</v>
      </c>
      <c r="T531" s="3">
        <f t="shared" si="50"/>
        <v>507.8401126</v>
      </c>
      <c r="U531" s="5">
        <f t="shared" si="54"/>
        <v>3.125E-2</v>
      </c>
      <c r="V531" s="5">
        <f t="shared" si="51"/>
        <v>7.1288540367135979E-3</v>
      </c>
      <c r="W531" s="3">
        <f t="shared" si="52"/>
        <v>15.87000351875</v>
      </c>
      <c r="X531" s="3">
        <f t="shared" si="53"/>
        <v>113.13493864729995</v>
      </c>
      <c r="Y531" s="7">
        <f t="shared" si="55"/>
        <v>0.59367533380182713</v>
      </c>
    </row>
    <row r="532" spans="1:25" x14ac:dyDescent="0.25">
      <c r="A532" t="s">
        <v>828</v>
      </c>
      <c r="B532" t="s">
        <v>833</v>
      </c>
      <c r="C532" t="s">
        <v>565</v>
      </c>
      <c r="D532" t="s">
        <v>837</v>
      </c>
      <c r="E532" t="s">
        <v>23</v>
      </c>
      <c r="F532" t="s">
        <v>44</v>
      </c>
      <c r="G532" t="s">
        <v>1086</v>
      </c>
      <c r="H532" t="s">
        <v>1063</v>
      </c>
      <c r="K532" t="s">
        <v>27</v>
      </c>
      <c r="L532" t="s">
        <v>25</v>
      </c>
      <c r="M532" t="s">
        <v>21</v>
      </c>
      <c r="N532" s="4">
        <v>68704</v>
      </c>
      <c r="O532" s="4">
        <v>185</v>
      </c>
      <c r="P532" s="4">
        <v>31283</v>
      </c>
      <c r="Q532" s="4">
        <v>59462</v>
      </c>
      <c r="R532" s="4">
        <v>16</v>
      </c>
      <c r="S532" s="3">
        <v>1605.5660310000001</v>
      </c>
      <c r="T532" s="3">
        <f t="shared" si="50"/>
        <v>100.3478769375</v>
      </c>
      <c r="U532" s="5">
        <f t="shared" si="54"/>
        <v>8.6486486486486491E-2</v>
      </c>
      <c r="V532" s="5">
        <f t="shared" si="51"/>
        <v>2.6927107591988822E-3</v>
      </c>
      <c r="W532" s="3">
        <f t="shared" si="52"/>
        <v>8.6787353027027034</v>
      </c>
      <c r="X532" s="3">
        <f t="shared" si="53"/>
        <v>23.369323925826734</v>
      </c>
      <c r="Y532" s="7">
        <f t="shared" si="55"/>
        <v>0.52610070296996403</v>
      </c>
    </row>
    <row r="533" spans="1:25" x14ac:dyDescent="0.25">
      <c r="A533" t="s">
        <v>828</v>
      </c>
      <c r="B533" t="s">
        <v>833</v>
      </c>
      <c r="C533" t="s">
        <v>838</v>
      </c>
      <c r="D533" t="s">
        <v>839</v>
      </c>
      <c r="E533" t="s">
        <v>14</v>
      </c>
      <c r="F533" t="s">
        <v>15</v>
      </c>
      <c r="G533" t="s">
        <v>1070</v>
      </c>
      <c r="H533" t="s">
        <v>1071</v>
      </c>
      <c r="K533" t="s">
        <v>213</v>
      </c>
      <c r="L533" t="s">
        <v>17</v>
      </c>
      <c r="M533" t="s">
        <v>21</v>
      </c>
      <c r="N533" s="4">
        <v>13132</v>
      </c>
      <c r="O533" s="4">
        <v>67</v>
      </c>
      <c r="P533" s="4">
        <v>6133</v>
      </c>
      <c r="Q533" s="4">
        <v>12377</v>
      </c>
      <c r="R533" s="4">
        <v>4</v>
      </c>
      <c r="S533" s="3">
        <v>1807.6931420000001</v>
      </c>
      <c r="T533" s="3">
        <f t="shared" si="50"/>
        <v>451.92328550000002</v>
      </c>
      <c r="U533" s="5">
        <f t="shared" si="54"/>
        <v>5.9701492537313432E-2</v>
      </c>
      <c r="V533" s="5">
        <f t="shared" si="51"/>
        <v>5.1020408163265302E-3</v>
      </c>
      <c r="W533" s="3">
        <f t="shared" si="52"/>
        <v>26.98049465671642</v>
      </c>
      <c r="X533" s="3">
        <f t="shared" si="53"/>
        <v>137.65558498324702</v>
      </c>
      <c r="Y533" s="7">
        <f t="shared" si="55"/>
        <v>0.4955158762220247</v>
      </c>
    </row>
    <row r="534" spans="1:25" x14ac:dyDescent="0.25">
      <c r="A534" t="s">
        <v>828</v>
      </c>
      <c r="B534" t="s">
        <v>833</v>
      </c>
      <c r="C534" t="s">
        <v>840</v>
      </c>
      <c r="D534" t="s">
        <v>841</v>
      </c>
      <c r="E534" t="s">
        <v>19</v>
      </c>
      <c r="F534" t="s">
        <v>33</v>
      </c>
      <c r="G534" t="s">
        <v>1075</v>
      </c>
      <c r="H534" t="s">
        <v>1074</v>
      </c>
      <c r="K534" t="s">
        <v>100</v>
      </c>
      <c r="L534" t="s">
        <v>17</v>
      </c>
      <c r="M534" t="s">
        <v>21</v>
      </c>
      <c r="N534" s="4">
        <v>70134</v>
      </c>
      <c r="O534" s="4">
        <v>169</v>
      </c>
      <c r="P534" s="4">
        <v>48862</v>
      </c>
      <c r="Q534" s="4">
        <v>66739</v>
      </c>
      <c r="R534" s="4">
        <v>14</v>
      </c>
      <c r="S534" s="3">
        <v>2514.8681160000001</v>
      </c>
      <c r="T534" s="3">
        <f t="shared" si="50"/>
        <v>179.63343685714287</v>
      </c>
      <c r="U534" s="5">
        <f t="shared" si="54"/>
        <v>8.2840236686390539E-2</v>
      </c>
      <c r="V534" s="5">
        <f t="shared" si="51"/>
        <v>2.4096729118544499E-3</v>
      </c>
      <c r="W534" s="3">
        <f t="shared" si="52"/>
        <v>14.880876426035504</v>
      </c>
      <c r="X534" s="3">
        <f t="shared" si="53"/>
        <v>35.858044828471215</v>
      </c>
      <c r="Y534" s="7">
        <f t="shared" si="55"/>
        <v>0.73213563283837035</v>
      </c>
    </row>
    <row r="535" spans="1:25" x14ac:dyDescent="0.25">
      <c r="A535" t="s">
        <v>828</v>
      </c>
      <c r="B535" t="s">
        <v>833</v>
      </c>
      <c r="C535" t="s">
        <v>408</v>
      </c>
      <c r="D535" t="s">
        <v>842</v>
      </c>
      <c r="E535" t="s">
        <v>14</v>
      </c>
      <c r="F535" t="s">
        <v>15</v>
      </c>
      <c r="G535" t="s">
        <v>1073</v>
      </c>
      <c r="H535" t="s">
        <v>1074</v>
      </c>
      <c r="K535" t="s">
        <v>249</v>
      </c>
      <c r="L535" t="s">
        <v>17</v>
      </c>
      <c r="M535" t="s">
        <v>29</v>
      </c>
      <c r="N535" s="4">
        <v>69239</v>
      </c>
      <c r="O535" s="4">
        <v>160</v>
      </c>
      <c r="P535" s="4">
        <v>23112</v>
      </c>
      <c r="Q535" s="4">
        <v>65390</v>
      </c>
      <c r="R535" s="4">
        <v>1</v>
      </c>
      <c r="S535" s="3">
        <v>4514.9527239999998</v>
      </c>
      <c r="T535" s="3">
        <f t="shared" si="50"/>
        <v>4514.9527239999998</v>
      </c>
      <c r="U535" s="5">
        <f t="shared" si="54"/>
        <v>6.2500000000000003E-3</v>
      </c>
      <c r="V535" s="5">
        <f t="shared" si="51"/>
        <v>2.3108363783416862E-3</v>
      </c>
      <c r="W535" s="3">
        <f t="shared" si="52"/>
        <v>28.218454524999999</v>
      </c>
      <c r="X535" s="3">
        <f t="shared" si="53"/>
        <v>65.208231256950569</v>
      </c>
      <c r="Y535" s="7">
        <f t="shared" si="55"/>
        <v>0.35344853953203853</v>
      </c>
    </row>
    <row r="536" spans="1:25" x14ac:dyDescent="0.25">
      <c r="A536" t="s">
        <v>828</v>
      </c>
      <c r="B536" t="s">
        <v>833</v>
      </c>
      <c r="C536" t="s">
        <v>843</v>
      </c>
      <c r="D536" t="s">
        <v>844</v>
      </c>
      <c r="E536" t="s">
        <v>23</v>
      </c>
      <c r="F536" t="s">
        <v>26</v>
      </c>
      <c r="G536" t="s">
        <v>1086</v>
      </c>
      <c r="H536" t="s">
        <v>1063</v>
      </c>
      <c r="K536" t="s">
        <v>294</v>
      </c>
      <c r="L536" t="s">
        <v>25</v>
      </c>
      <c r="M536" t="s">
        <v>21</v>
      </c>
      <c r="N536" s="4">
        <v>13686</v>
      </c>
      <c r="O536" s="4">
        <v>66</v>
      </c>
      <c r="P536" s="4">
        <v>7928</v>
      </c>
      <c r="Q536" s="4">
        <v>11931</v>
      </c>
      <c r="R536" s="4">
        <v>11</v>
      </c>
      <c r="S536" s="3">
        <v>4660.5603689999998</v>
      </c>
      <c r="T536" s="3">
        <f t="shared" si="50"/>
        <v>423.68730627272726</v>
      </c>
      <c r="U536" s="5">
        <f t="shared" si="54"/>
        <v>0.16666666666666666</v>
      </c>
      <c r="V536" s="5">
        <f t="shared" si="51"/>
        <v>4.8224462954844366E-3</v>
      </c>
      <c r="W536" s="3">
        <f t="shared" si="52"/>
        <v>70.614551045454547</v>
      </c>
      <c r="X536" s="3">
        <f t="shared" si="53"/>
        <v>340.53488009644889</v>
      </c>
      <c r="Y536" s="7">
        <f t="shared" si="55"/>
        <v>0.66448746961696425</v>
      </c>
    </row>
    <row r="537" spans="1:25" x14ac:dyDescent="0.25">
      <c r="A537" t="s">
        <v>828</v>
      </c>
      <c r="B537" t="s">
        <v>829</v>
      </c>
      <c r="C537" t="s">
        <v>832</v>
      </c>
      <c r="D537" t="s">
        <v>1147</v>
      </c>
      <c r="E537" t="s">
        <v>14</v>
      </c>
      <c r="F537" t="s">
        <v>15</v>
      </c>
      <c r="G537" t="s">
        <v>1070</v>
      </c>
      <c r="H537" t="s">
        <v>1071</v>
      </c>
      <c r="K537" t="s">
        <v>91</v>
      </c>
      <c r="L537" t="s">
        <v>28</v>
      </c>
      <c r="M537" t="s">
        <v>21</v>
      </c>
      <c r="N537" s="4">
        <v>564387</v>
      </c>
      <c r="O537" s="4">
        <v>1984</v>
      </c>
      <c r="P537" s="4">
        <v>78234</v>
      </c>
      <c r="Q537" s="4">
        <v>438695</v>
      </c>
      <c r="R537" s="4">
        <v>6</v>
      </c>
      <c r="S537" s="3">
        <v>2712.3796779999998</v>
      </c>
      <c r="T537" s="3">
        <f t="shared" si="50"/>
        <v>452.06327966666663</v>
      </c>
      <c r="U537" s="5">
        <f t="shared" si="54"/>
        <v>3.0241935483870967E-3</v>
      </c>
      <c r="V537" s="5">
        <f t="shared" si="51"/>
        <v>3.5153183896865095E-3</v>
      </c>
      <c r="W537" s="3">
        <f t="shared" si="52"/>
        <v>1.3671268538306451</v>
      </c>
      <c r="X537" s="3">
        <f t="shared" si="53"/>
        <v>4.8058861703051274</v>
      </c>
      <c r="Y537" s="7">
        <f t="shared" si="55"/>
        <v>0.17833346630346825</v>
      </c>
    </row>
    <row r="538" spans="1:25" x14ac:dyDescent="0.25">
      <c r="A538" t="s">
        <v>828</v>
      </c>
      <c r="B538" t="s">
        <v>829</v>
      </c>
      <c r="C538" t="s">
        <v>832</v>
      </c>
      <c r="D538" t="s">
        <v>1148</v>
      </c>
      <c r="E538" t="s">
        <v>14</v>
      </c>
      <c r="F538" t="s">
        <v>33</v>
      </c>
      <c r="G538" t="s">
        <v>1062</v>
      </c>
      <c r="H538" t="s">
        <v>1063</v>
      </c>
      <c r="K538" t="s">
        <v>196</v>
      </c>
      <c r="L538" t="s">
        <v>25</v>
      </c>
      <c r="M538" t="s">
        <v>29</v>
      </c>
      <c r="N538" s="4">
        <v>65243</v>
      </c>
      <c r="O538" s="4">
        <v>120</v>
      </c>
      <c r="P538" s="4">
        <v>39543</v>
      </c>
      <c r="Q538" s="4">
        <v>54290</v>
      </c>
      <c r="R538" s="4">
        <v>4</v>
      </c>
      <c r="S538" s="3">
        <v>3754.6852469999999</v>
      </c>
      <c r="T538" s="3">
        <f t="shared" si="50"/>
        <v>938.67131174999997</v>
      </c>
      <c r="U538" s="5">
        <f t="shared" si="54"/>
        <v>3.3333333333333333E-2</v>
      </c>
      <c r="V538" s="5">
        <f t="shared" si="51"/>
        <v>1.8392777769262604E-3</v>
      </c>
      <c r="W538" s="3">
        <f t="shared" si="52"/>
        <v>31.289043724999999</v>
      </c>
      <c r="X538" s="3">
        <f t="shared" si="53"/>
        <v>57.549242784666554</v>
      </c>
      <c r="Y538" s="7">
        <f t="shared" si="55"/>
        <v>0.72836618161724076</v>
      </c>
    </row>
    <row r="539" spans="1:25" x14ac:dyDescent="0.25">
      <c r="A539" t="s">
        <v>828</v>
      </c>
      <c r="B539" t="s">
        <v>829</v>
      </c>
      <c r="C539" t="s">
        <v>832</v>
      </c>
      <c r="D539" t="s">
        <v>1149</v>
      </c>
      <c r="E539" t="s">
        <v>14</v>
      </c>
      <c r="F539" t="s">
        <v>33</v>
      </c>
      <c r="G539" t="s">
        <v>1062</v>
      </c>
      <c r="H539" t="s">
        <v>1063</v>
      </c>
      <c r="K539" t="s">
        <v>45</v>
      </c>
      <c r="L539" t="s">
        <v>25</v>
      </c>
      <c r="M539" t="s">
        <v>18</v>
      </c>
      <c r="N539" s="4">
        <v>63460</v>
      </c>
      <c r="O539" s="4">
        <v>212</v>
      </c>
      <c r="P539" s="4">
        <v>26978</v>
      </c>
      <c r="Q539" s="4">
        <v>59516</v>
      </c>
      <c r="R539" s="4">
        <v>4</v>
      </c>
      <c r="S539" s="3">
        <v>1945.433188</v>
      </c>
      <c r="T539" s="3">
        <f t="shared" si="50"/>
        <v>486.35829699999999</v>
      </c>
      <c r="U539" s="5">
        <f t="shared" si="54"/>
        <v>1.8867924528301886E-2</v>
      </c>
      <c r="V539" s="5">
        <f t="shared" si="51"/>
        <v>3.340687046958714E-3</v>
      </c>
      <c r="W539" s="3">
        <f t="shared" si="52"/>
        <v>9.1765716415094332</v>
      </c>
      <c r="X539" s="3">
        <f t="shared" si="53"/>
        <v>30.656054018279232</v>
      </c>
      <c r="Y539" s="7">
        <f t="shared" si="55"/>
        <v>0.45328987163115803</v>
      </c>
    </row>
    <row r="540" spans="1:25" x14ac:dyDescent="0.25">
      <c r="A540" t="s">
        <v>828</v>
      </c>
      <c r="B540" t="s">
        <v>829</v>
      </c>
      <c r="C540" t="s">
        <v>832</v>
      </c>
      <c r="D540" t="s">
        <v>846</v>
      </c>
      <c r="E540" t="s">
        <v>14</v>
      </c>
      <c r="F540" t="s">
        <v>15</v>
      </c>
      <c r="G540" t="s">
        <v>1100</v>
      </c>
      <c r="H540" t="s">
        <v>1071</v>
      </c>
      <c r="K540" t="s">
        <v>171</v>
      </c>
      <c r="L540" t="s">
        <v>17</v>
      </c>
      <c r="M540" t="s">
        <v>21</v>
      </c>
      <c r="N540" s="4">
        <v>17620</v>
      </c>
      <c r="O540" s="4">
        <v>52</v>
      </c>
      <c r="P540" s="4">
        <v>11197</v>
      </c>
      <c r="Q540" s="4">
        <v>16687</v>
      </c>
      <c r="R540" s="4">
        <v>9</v>
      </c>
      <c r="S540" s="3">
        <v>2407.7943249999998</v>
      </c>
      <c r="T540" s="3">
        <f t="shared" si="50"/>
        <v>267.53270277777779</v>
      </c>
      <c r="U540" s="5">
        <f t="shared" si="54"/>
        <v>0.17307692307692307</v>
      </c>
      <c r="V540" s="5">
        <f t="shared" si="51"/>
        <v>2.9511918274687855E-3</v>
      </c>
      <c r="W540" s="3">
        <f t="shared" si="52"/>
        <v>46.303737019230766</v>
      </c>
      <c r="X540" s="3">
        <f t="shared" si="53"/>
        <v>136.6512102724177</v>
      </c>
      <c r="Y540" s="7">
        <f t="shared" si="55"/>
        <v>0.67100137831845152</v>
      </c>
    </row>
    <row r="541" spans="1:25" x14ac:dyDescent="0.25">
      <c r="A541" t="s">
        <v>828</v>
      </c>
      <c r="B541" t="s">
        <v>829</v>
      </c>
      <c r="C541" t="s">
        <v>590</v>
      </c>
      <c r="D541" t="s">
        <v>1150</v>
      </c>
      <c r="E541" t="s">
        <v>14</v>
      </c>
      <c r="F541" t="s">
        <v>44</v>
      </c>
      <c r="G541" t="s">
        <v>1078</v>
      </c>
      <c r="H541" t="s">
        <v>1065</v>
      </c>
      <c r="K541" t="s">
        <v>223</v>
      </c>
      <c r="L541" t="s">
        <v>68</v>
      </c>
      <c r="M541" t="s">
        <v>18</v>
      </c>
      <c r="N541" s="4">
        <v>13075</v>
      </c>
      <c r="O541" s="4">
        <v>74</v>
      </c>
      <c r="P541" s="4">
        <v>5980</v>
      </c>
      <c r="Q541" s="4">
        <v>12114</v>
      </c>
      <c r="R541" s="4">
        <v>15</v>
      </c>
      <c r="S541" s="3">
        <v>1936.1307979999999</v>
      </c>
      <c r="T541" s="3">
        <f t="shared" si="50"/>
        <v>129.07538653333333</v>
      </c>
      <c r="U541" s="5">
        <f t="shared" si="54"/>
        <v>0.20270270270270271</v>
      </c>
      <c r="V541" s="5">
        <f t="shared" si="51"/>
        <v>5.659655831739962E-3</v>
      </c>
      <c r="W541" s="3">
        <f t="shared" si="52"/>
        <v>26.163929702702703</v>
      </c>
      <c r="X541" s="3">
        <f t="shared" si="53"/>
        <v>148.07883732313576</v>
      </c>
      <c r="Y541" s="7">
        <f t="shared" si="55"/>
        <v>0.49364371801221729</v>
      </c>
    </row>
    <row r="542" spans="1:25" x14ac:dyDescent="0.25">
      <c r="A542" t="s">
        <v>828</v>
      </c>
      <c r="B542" t="s">
        <v>829</v>
      </c>
      <c r="C542" t="s">
        <v>736</v>
      </c>
      <c r="D542" t="s">
        <v>847</v>
      </c>
      <c r="E542" t="s">
        <v>14</v>
      </c>
      <c r="F542" t="s">
        <v>15</v>
      </c>
      <c r="G542" t="s">
        <v>1100</v>
      </c>
      <c r="H542" t="s">
        <v>1071</v>
      </c>
      <c r="K542" t="s">
        <v>85</v>
      </c>
      <c r="L542" t="s">
        <v>17</v>
      </c>
      <c r="M542" t="s">
        <v>21</v>
      </c>
      <c r="N542" s="4">
        <v>15449</v>
      </c>
      <c r="O542" s="4">
        <v>50</v>
      </c>
      <c r="P542" s="4">
        <v>4595</v>
      </c>
      <c r="Q542" s="4">
        <v>13765</v>
      </c>
      <c r="R542" s="4">
        <v>1</v>
      </c>
      <c r="S542" s="3">
        <v>3122.9425740000001</v>
      </c>
      <c r="T542" s="3">
        <f t="shared" si="50"/>
        <v>3122.9425740000001</v>
      </c>
      <c r="U542" s="5">
        <f t="shared" si="54"/>
        <v>0.02</v>
      </c>
      <c r="V542" s="5">
        <f t="shared" si="51"/>
        <v>3.2364554340086737E-3</v>
      </c>
      <c r="W542" s="3">
        <f t="shared" si="52"/>
        <v>62.45885148</v>
      </c>
      <c r="X542" s="3">
        <f t="shared" si="53"/>
        <v>202.14528927438673</v>
      </c>
      <c r="Y542" s="7">
        <f t="shared" si="55"/>
        <v>0.33381765346894299</v>
      </c>
    </row>
    <row r="543" spans="1:25" x14ac:dyDescent="0.25">
      <c r="A543" t="s">
        <v>828</v>
      </c>
      <c r="B543" t="s">
        <v>829</v>
      </c>
      <c r="C543" t="s">
        <v>832</v>
      </c>
      <c r="D543" t="s">
        <v>1151</v>
      </c>
      <c r="E543" t="s">
        <v>19</v>
      </c>
      <c r="F543" t="s">
        <v>26</v>
      </c>
      <c r="G543" t="s">
        <v>1066</v>
      </c>
      <c r="H543" t="s">
        <v>1067</v>
      </c>
      <c r="K543" t="s">
        <v>435</v>
      </c>
      <c r="L543" t="s">
        <v>73</v>
      </c>
      <c r="M543" t="s">
        <v>21</v>
      </c>
      <c r="N543" s="4">
        <v>21482</v>
      </c>
      <c r="O543" s="4">
        <v>67</v>
      </c>
      <c r="P543" s="4">
        <v>10473</v>
      </c>
      <c r="Q543" s="4">
        <v>19679</v>
      </c>
      <c r="R543" s="4">
        <v>3</v>
      </c>
      <c r="S543" s="3">
        <v>3563.098841</v>
      </c>
      <c r="T543" s="3">
        <f t="shared" si="50"/>
        <v>1187.6996136666667</v>
      </c>
      <c r="U543" s="5">
        <f t="shared" si="54"/>
        <v>4.4776119402985072E-2</v>
      </c>
      <c r="V543" s="5">
        <f t="shared" si="51"/>
        <v>3.1188902336840144E-3</v>
      </c>
      <c r="W543" s="3">
        <f t="shared" si="52"/>
        <v>53.18057971641791</v>
      </c>
      <c r="X543" s="3">
        <f t="shared" si="53"/>
        <v>165.86439069919001</v>
      </c>
      <c r="Y543" s="7">
        <f t="shared" si="55"/>
        <v>0.53219167640632148</v>
      </c>
    </row>
    <row r="544" spans="1:25" x14ac:dyDescent="0.25">
      <c r="A544" t="s">
        <v>828</v>
      </c>
      <c r="B544" t="s">
        <v>829</v>
      </c>
      <c r="C544" t="s">
        <v>832</v>
      </c>
      <c r="D544" t="s">
        <v>1152</v>
      </c>
      <c r="E544" t="s">
        <v>14</v>
      </c>
      <c r="F544" t="s">
        <v>44</v>
      </c>
      <c r="G544" t="s">
        <v>1066</v>
      </c>
      <c r="H544" t="s">
        <v>1067</v>
      </c>
      <c r="K544" t="s">
        <v>85</v>
      </c>
      <c r="L544" t="s">
        <v>266</v>
      </c>
      <c r="M544" t="s">
        <v>21</v>
      </c>
      <c r="N544" s="4">
        <v>114267</v>
      </c>
      <c r="O544" s="4">
        <v>110</v>
      </c>
      <c r="P544" s="4">
        <v>60964</v>
      </c>
      <c r="Q544" s="4">
        <v>108301</v>
      </c>
      <c r="R544" s="4">
        <v>5</v>
      </c>
      <c r="S544" s="3">
        <v>2679.1540679999998</v>
      </c>
      <c r="T544" s="3">
        <f t="shared" si="50"/>
        <v>535.83081359999994</v>
      </c>
      <c r="U544" s="5">
        <f t="shared" si="54"/>
        <v>4.5454545454545456E-2</v>
      </c>
      <c r="V544" s="5">
        <f t="shared" si="51"/>
        <v>9.6265763518776199E-4</v>
      </c>
      <c r="W544" s="3">
        <f t="shared" si="52"/>
        <v>24.355946072727271</v>
      </c>
      <c r="X544" s="3">
        <f t="shared" si="53"/>
        <v>23.446437449132294</v>
      </c>
      <c r="Y544" s="7">
        <f t="shared" si="55"/>
        <v>0.56291262315214075</v>
      </c>
    </row>
    <row r="545" spans="1:25" x14ac:dyDescent="0.25">
      <c r="A545" t="s">
        <v>828</v>
      </c>
      <c r="B545" t="s">
        <v>829</v>
      </c>
      <c r="C545" t="s">
        <v>832</v>
      </c>
      <c r="D545" t="s">
        <v>1153</v>
      </c>
      <c r="E545" t="s">
        <v>14</v>
      </c>
      <c r="F545" t="s">
        <v>44</v>
      </c>
      <c r="G545" t="s">
        <v>1091</v>
      </c>
      <c r="H545" t="s">
        <v>1090</v>
      </c>
      <c r="K545" t="s">
        <v>848</v>
      </c>
      <c r="L545" t="s">
        <v>17</v>
      </c>
      <c r="M545" t="s">
        <v>21</v>
      </c>
      <c r="N545" s="4">
        <v>8730</v>
      </c>
      <c r="O545" s="4">
        <v>22</v>
      </c>
      <c r="P545" s="4">
        <v>3725</v>
      </c>
      <c r="Q545" s="4">
        <v>7413</v>
      </c>
      <c r="R545" s="4">
        <v>3</v>
      </c>
      <c r="S545" s="3">
        <v>3268.007134</v>
      </c>
      <c r="T545" s="3">
        <f t="shared" si="50"/>
        <v>1089.3357113333334</v>
      </c>
      <c r="U545" s="5">
        <f t="shared" si="54"/>
        <v>0.13636363636363635</v>
      </c>
      <c r="V545" s="5">
        <f t="shared" si="51"/>
        <v>2.5200458190148913E-3</v>
      </c>
      <c r="W545" s="3">
        <f t="shared" si="52"/>
        <v>148.54577881818182</v>
      </c>
      <c r="X545" s="3">
        <f t="shared" si="53"/>
        <v>374.34216884306989</v>
      </c>
      <c r="Y545" s="7">
        <f t="shared" si="55"/>
        <v>0.50249561581006341</v>
      </c>
    </row>
    <row r="546" spans="1:25" x14ac:dyDescent="0.25">
      <c r="A546" t="s">
        <v>828</v>
      </c>
      <c r="B546" t="s">
        <v>829</v>
      </c>
      <c r="C546" t="s">
        <v>397</v>
      </c>
      <c r="D546" t="s">
        <v>849</v>
      </c>
      <c r="E546" t="s">
        <v>19</v>
      </c>
      <c r="F546" t="s">
        <v>15</v>
      </c>
      <c r="G546" t="s">
        <v>1073</v>
      </c>
      <c r="H546" t="s">
        <v>1074</v>
      </c>
      <c r="K546" t="s">
        <v>167</v>
      </c>
      <c r="L546" t="s">
        <v>28</v>
      </c>
      <c r="M546" t="s">
        <v>21</v>
      </c>
      <c r="N546" s="4">
        <v>481526</v>
      </c>
      <c r="O546" s="4">
        <v>1235</v>
      </c>
      <c r="P546" s="4">
        <v>396802</v>
      </c>
      <c r="Q546" s="4">
        <v>437639</v>
      </c>
      <c r="R546" s="4">
        <v>23</v>
      </c>
      <c r="S546" s="3">
        <v>2037.8655940000001</v>
      </c>
      <c r="T546" s="3">
        <f t="shared" si="50"/>
        <v>88.60285191304348</v>
      </c>
      <c r="U546" s="5">
        <f t="shared" si="54"/>
        <v>1.862348178137652E-2</v>
      </c>
      <c r="V546" s="5">
        <f t="shared" si="51"/>
        <v>2.5647628580803528E-3</v>
      </c>
      <c r="W546" s="3">
        <f t="shared" si="52"/>
        <v>1.6500935983805669</v>
      </c>
      <c r="X546" s="3">
        <f t="shared" si="53"/>
        <v>4.2320987734826367</v>
      </c>
      <c r="Y546" s="7">
        <f t="shared" si="55"/>
        <v>0.90668793229122635</v>
      </c>
    </row>
    <row r="547" spans="1:25" x14ac:dyDescent="0.25">
      <c r="A547" t="s">
        <v>828</v>
      </c>
      <c r="B547" t="s">
        <v>829</v>
      </c>
      <c r="C547" t="s">
        <v>832</v>
      </c>
      <c r="D547" t="s">
        <v>1154</v>
      </c>
      <c r="E547" t="s">
        <v>14</v>
      </c>
      <c r="F547" t="s">
        <v>26</v>
      </c>
      <c r="G547" t="s">
        <v>1086</v>
      </c>
      <c r="H547" t="s">
        <v>1063</v>
      </c>
      <c r="K547" t="s">
        <v>216</v>
      </c>
      <c r="L547" t="s">
        <v>371</v>
      </c>
      <c r="M547" t="s">
        <v>21</v>
      </c>
      <c r="N547" s="4">
        <v>292578</v>
      </c>
      <c r="O547" s="4">
        <v>812</v>
      </c>
      <c r="P547" s="4">
        <v>6474</v>
      </c>
      <c r="Q547" s="4">
        <v>12323</v>
      </c>
      <c r="R547" s="4">
        <v>4</v>
      </c>
      <c r="S547" s="3">
        <v>1826.3187379999999</v>
      </c>
      <c r="T547" s="3">
        <f t="shared" si="50"/>
        <v>456.57968449999998</v>
      </c>
      <c r="U547" s="5">
        <f t="shared" si="54"/>
        <v>4.9261083743842365E-3</v>
      </c>
      <c r="V547" s="5">
        <f t="shared" si="51"/>
        <v>2.7753282885247693E-3</v>
      </c>
      <c r="W547" s="3">
        <f t="shared" si="52"/>
        <v>2.2491610073891626</v>
      </c>
      <c r="X547" s="3">
        <f t="shared" si="53"/>
        <v>6.242160169254011</v>
      </c>
      <c r="Y547" s="7">
        <f t="shared" si="55"/>
        <v>0.52535908463848091</v>
      </c>
    </row>
    <row r="548" spans="1:25" x14ac:dyDescent="0.25">
      <c r="A548" t="s">
        <v>828</v>
      </c>
      <c r="B548" t="s">
        <v>829</v>
      </c>
      <c r="C548" t="s">
        <v>423</v>
      </c>
      <c r="D548" t="s">
        <v>1145</v>
      </c>
      <c r="E548" t="s">
        <v>19</v>
      </c>
      <c r="F548" t="s">
        <v>15</v>
      </c>
      <c r="G548" t="s">
        <v>1070</v>
      </c>
      <c r="H548" t="s">
        <v>1071</v>
      </c>
      <c r="K548" t="s">
        <v>85</v>
      </c>
      <c r="L548" t="s">
        <v>28</v>
      </c>
      <c r="M548" t="s">
        <v>21</v>
      </c>
      <c r="N548" s="4">
        <v>51515</v>
      </c>
      <c r="O548" s="4">
        <v>144</v>
      </c>
      <c r="P548" s="4">
        <v>18304</v>
      </c>
      <c r="Q548" s="4">
        <v>44891</v>
      </c>
      <c r="R548" s="4">
        <v>14</v>
      </c>
      <c r="S548" s="3">
        <v>2160.3073250000002</v>
      </c>
      <c r="T548" s="3">
        <f t="shared" si="50"/>
        <v>154.3076660714286</v>
      </c>
      <c r="U548" s="5">
        <f t="shared" si="54"/>
        <v>9.7222222222222224E-2</v>
      </c>
      <c r="V548" s="5">
        <f t="shared" si="51"/>
        <v>2.795302339124527E-3</v>
      </c>
      <c r="W548" s="3">
        <f t="shared" si="52"/>
        <v>15.002134201388891</v>
      </c>
      <c r="X548" s="3">
        <f t="shared" si="53"/>
        <v>41.935500825002428</v>
      </c>
      <c r="Y548" s="7">
        <f t="shared" si="55"/>
        <v>0.40774320019603039</v>
      </c>
    </row>
    <row r="549" spans="1:25" x14ac:dyDescent="0.25">
      <c r="A549" t="s">
        <v>828</v>
      </c>
      <c r="B549" t="s">
        <v>829</v>
      </c>
      <c r="C549" t="s">
        <v>832</v>
      </c>
      <c r="D549" t="s">
        <v>1155</v>
      </c>
      <c r="E549" t="s">
        <v>14</v>
      </c>
      <c r="F549" t="s">
        <v>15</v>
      </c>
      <c r="G549" t="s">
        <v>1073</v>
      </c>
      <c r="H549" t="s">
        <v>1074</v>
      </c>
      <c r="K549" t="s">
        <v>215</v>
      </c>
      <c r="L549" t="s">
        <v>17</v>
      </c>
      <c r="M549" t="s">
        <v>29</v>
      </c>
      <c r="N549" s="4">
        <v>64892</v>
      </c>
      <c r="O549" s="4">
        <v>214</v>
      </c>
      <c r="P549" s="4">
        <v>34731</v>
      </c>
      <c r="Q549" s="4">
        <v>59369</v>
      </c>
      <c r="R549" s="4">
        <v>24</v>
      </c>
      <c r="S549" s="3">
        <v>2096.2855490000002</v>
      </c>
      <c r="T549" s="3">
        <f t="shared" si="50"/>
        <v>87.345231208333345</v>
      </c>
      <c r="U549" s="5">
        <f t="shared" si="54"/>
        <v>0.11214953271028037</v>
      </c>
      <c r="V549" s="5">
        <f t="shared" si="51"/>
        <v>3.2977870923996794E-3</v>
      </c>
      <c r="W549" s="3">
        <f t="shared" si="52"/>
        <v>9.7957268644859816</v>
      </c>
      <c r="X549" s="3">
        <f t="shared" si="53"/>
        <v>32.304221614374654</v>
      </c>
      <c r="Y549" s="7">
        <f t="shared" si="55"/>
        <v>0.58500227391399551</v>
      </c>
    </row>
    <row r="550" spans="1:25" x14ac:dyDescent="0.25">
      <c r="A550" t="s">
        <v>828</v>
      </c>
      <c r="B550" t="s">
        <v>829</v>
      </c>
      <c r="C550" t="s">
        <v>832</v>
      </c>
      <c r="D550" t="s">
        <v>1156</v>
      </c>
      <c r="E550" t="s">
        <v>19</v>
      </c>
      <c r="F550" t="s">
        <v>33</v>
      </c>
      <c r="G550" t="s">
        <v>1086</v>
      </c>
      <c r="H550" t="s">
        <v>1063</v>
      </c>
      <c r="K550" t="s">
        <v>715</v>
      </c>
      <c r="L550" t="s">
        <v>17</v>
      </c>
      <c r="M550" t="s">
        <v>21</v>
      </c>
      <c r="N550" s="4">
        <v>18771</v>
      </c>
      <c r="O550" s="4">
        <v>69</v>
      </c>
      <c r="P550" s="4">
        <v>10871</v>
      </c>
      <c r="Q550" s="4">
        <v>17138</v>
      </c>
      <c r="R550" s="4">
        <v>6</v>
      </c>
      <c r="S550" s="3">
        <v>3827.3663809999998</v>
      </c>
      <c r="T550" s="3">
        <f t="shared" si="50"/>
        <v>637.8943968333333</v>
      </c>
      <c r="U550" s="5">
        <f t="shared" si="54"/>
        <v>8.6956521739130432E-2</v>
      </c>
      <c r="V550" s="5">
        <f t="shared" si="51"/>
        <v>3.6758830110276489E-3</v>
      </c>
      <c r="W550" s="3">
        <f t="shared" si="52"/>
        <v>55.469077985507241</v>
      </c>
      <c r="X550" s="3">
        <f t="shared" si="53"/>
        <v>203.89784140429384</v>
      </c>
      <c r="Y550" s="7">
        <f t="shared" si="55"/>
        <v>0.63432139106080054</v>
      </c>
    </row>
    <row r="551" spans="1:25" x14ac:dyDescent="0.25">
      <c r="A551" t="s">
        <v>828</v>
      </c>
      <c r="B551" t="s">
        <v>829</v>
      </c>
      <c r="C551" t="s">
        <v>832</v>
      </c>
      <c r="D551" t="s">
        <v>118</v>
      </c>
      <c r="E551" t="s">
        <v>14</v>
      </c>
      <c r="F551" t="s">
        <v>44</v>
      </c>
      <c r="G551" t="s">
        <v>1062</v>
      </c>
      <c r="H551" t="s">
        <v>1063</v>
      </c>
      <c r="K551" t="s">
        <v>213</v>
      </c>
      <c r="L551" t="s">
        <v>25</v>
      </c>
      <c r="M551" t="s">
        <v>21</v>
      </c>
      <c r="N551" s="4">
        <v>20278</v>
      </c>
      <c r="O551" s="4">
        <v>74</v>
      </c>
      <c r="P551" s="4">
        <v>14227</v>
      </c>
      <c r="Q551" s="4">
        <v>19480</v>
      </c>
      <c r="R551" s="4">
        <v>3</v>
      </c>
      <c r="S551" s="3">
        <v>2921.1102070000002</v>
      </c>
      <c r="T551" s="3">
        <f t="shared" si="50"/>
        <v>973.70340233333343</v>
      </c>
      <c r="U551" s="5">
        <f t="shared" si="54"/>
        <v>4.0540540540540543E-2</v>
      </c>
      <c r="V551" s="5">
        <f t="shared" si="51"/>
        <v>3.6492750764375186E-3</v>
      </c>
      <c r="W551" s="3">
        <f t="shared" si="52"/>
        <v>39.474462256756759</v>
      </c>
      <c r="X551" s="3">
        <f t="shared" si="53"/>
        <v>144.05317126935597</v>
      </c>
      <c r="Y551" s="7">
        <f t="shared" si="55"/>
        <v>0.73033880903490755</v>
      </c>
    </row>
    <row r="552" spans="1:25" x14ac:dyDescent="0.25">
      <c r="A552" t="s">
        <v>828</v>
      </c>
      <c r="B552" t="s">
        <v>829</v>
      </c>
      <c r="C552" t="s">
        <v>830</v>
      </c>
      <c r="D552" t="s">
        <v>850</v>
      </c>
      <c r="E552" t="s">
        <v>19</v>
      </c>
      <c r="F552" t="s">
        <v>15</v>
      </c>
      <c r="G552" t="s">
        <v>1157</v>
      </c>
      <c r="H552" t="s">
        <v>1158</v>
      </c>
      <c r="K552" t="s">
        <v>216</v>
      </c>
      <c r="L552" t="s">
        <v>89</v>
      </c>
      <c r="M552" t="s">
        <v>21</v>
      </c>
      <c r="N552" s="4">
        <v>68114</v>
      </c>
      <c r="O552" s="4">
        <v>174</v>
      </c>
      <c r="P552" s="4">
        <v>569</v>
      </c>
      <c r="Q552" s="4">
        <v>2059</v>
      </c>
      <c r="R552" s="4">
        <v>15</v>
      </c>
      <c r="S552" s="3">
        <v>2753.7119859999998</v>
      </c>
      <c r="T552" s="3">
        <f t="shared" si="50"/>
        <v>183.58079906666666</v>
      </c>
      <c r="U552" s="5">
        <f t="shared" si="54"/>
        <v>8.6206896551724144E-2</v>
      </c>
      <c r="V552" s="5">
        <f t="shared" si="51"/>
        <v>2.5545409166984759E-3</v>
      </c>
      <c r="W552" s="3">
        <f t="shared" si="52"/>
        <v>15.825930954022988</v>
      </c>
      <c r="X552" s="3">
        <f t="shared" si="53"/>
        <v>40.427988166896668</v>
      </c>
      <c r="Y552" s="7">
        <f t="shared" si="55"/>
        <v>0.27634774162214665</v>
      </c>
    </row>
    <row r="553" spans="1:25" x14ac:dyDescent="0.25">
      <c r="A553" t="s">
        <v>828</v>
      </c>
      <c r="B553" t="s">
        <v>829</v>
      </c>
      <c r="C553" t="s">
        <v>736</v>
      </c>
      <c r="D553" t="s">
        <v>1159</v>
      </c>
      <c r="E553" t="s">
        <v>23</v>
      </c>
      <c r="F553" t="s">
        <v>15</v>
      </c>
      <c r="G553" t="s">
        <v>1086</v>
      </c>
      <c r="H553" t="s">
        <v>1063</v>
      </c>
      <c r="K553" t="s">
        <v>851</v>
      </c>
      <c r="L553" t="s">
        <v>89</v>
      </c>
      <c r="M553" t="s">
        <v>21</v>
      </c>
      <c r="N553" s="4">
        <v>15475</v>
      </c>
      <c r="O553" s="4">
        <v>110</v>
      </c>
      <c r="P553" s="4">
        <v>6019</v>
      </c>
      <c r="Q553" s="4">
        <v>10952</v>
      </c>
      <c r="R553" s="4">
        <v>9</v>
      </c>
      <c r="S553" s="3">
        <v>4156.7133830000002</v>
      </c>
      <c r="T553" s="3">
        <f t="shared" si="50"/>
        <v>461.85704255555561</v>
      </c>
      <c r="U553" s="5">
        <f t="shared" si="54"/>
        <v>8.1818181818181818E-2</v>
      </c>
      <c r="V553" s="5">
        <f t="shared" si="51"/>
        <v>7.1082390953150238E-3</v>
      </c>
      <c r="W553" s="3">
        <f t="shared" si="52"/>
        <v>37.788303481818183</v>
      </c>
      <c r="X553" s="3">
        <f t="shared" si="53"/>
        <v>268.60829615508885</v>
      </c>
      <c r="Y553" s="7">
        <f t="shared" si="55"/>
        <v>0.54957998539079622</v>
      </c>
    </row>
    <row r="554" spans="1:25" x14ac:dyDescent="0.25">
      <c r="A554" t="s">
        <v>828</v>
      </c>
      <c r="B554" t="s">
        <v>829</v>
      </c>
      <c r="C554" t="s">
        <v>832</v>
      </c>
      <c r="D554" t="s">
        <v>1160</v>
      </c>
      <c r="E554" t="s">
        <v>14</v>
      </c>
      <c r="F554" t="s">
        <v>15</v>
      </c>
      <c r="G554" t="s">
        <v>1086</v>
      </c>
      <c r="H554" t="s">
        <v>1063</v>
      </c>
      <c r="K554" t="s">
        <v>852</v>
      </c>
      <c r="L554" t="s">
        <v>25</v>
      </c>
      <c r="M554" t="s">
        <v>21</v>
      </c>
      <c r="N554" s="4">
        <v>10653</v>
      </c>
      <c r="O554" s="4">
        <v>68</v>
      </c>
      <c r="P554" s="4">
        <v>5263</v>
      </c>
      <c r="Q554" s="4">
        <v>9921</v>
      </c>
      <c r="R554" s="4">
        <v>11</v>
      </c>
      <c r="S554" s="3">
        <v>2641.4783969999999</v>
      </c>
      <c r="T554" s="3">
        <f t="shared" si="50"/>
        <v>240.13439972727272</v>
      </c>
      <c r="U554" s="5">
        <f t="shared" si="54"/>
        <v>0.16176470588235295</v>
      </c>
      <c r="V554" s="5">
        <f t="shared" si="51"/>
        <v>6.3831784473857133E-3</v>
      </c>
      <c r="W554" s="3">
        <f t="shared" si="52"/>
        <v>38.845270544117646</v>
      </c>
      <c r="X554" s="3">
        <f t="shared" si="53"/>
        <v>247.95629372007883</v>
      </c>
      <c r="Y554" s="7">
        <f t="shared" si="55"/>
        <v>0.53049087793569194</v>
      </c>
    </row>
    <row r="555" spans="1:25" x14ac:dyDescent="0.25">
      <c r="A555" t="s">
        <v>828</v>
      </c>
      <c r="B555" t="s">
        <v>829</v>
      </c>
      <c r="C555" t="s">
        <v>736</v>
      </c>
      <c r="D555" t="s">
        <v>1161</v>
      </c>
      <c r="E555" t="s">
        <v>14</v>
      </c>
      <c r="F555" t="s">
        <v>33</v>
      </c>
      <c r="G555" t="s">
        <v>1066</v>
      </c>
      <c r="H555" t="s">
        <v>1067</v>
      </c>
      <c r="K555" t="s">
        <v>134</v>
      </c>
      <c r="L555" t="s">
        <v>89</v>
      </c>
      <c r="M555" t="s">
        <v>21</v>
      </c>
      <c r="N555" s="4">
        <v>13100</v>
      </c>
      <c r="O555" s="4">
        <v>80</v>
      </c>
      <c r="P555" s="4">
        <v>6507</v>
      </c>
      <c r="Q555" s="4">
        <v>10895</v>
      </c>
      <c r="R555" s="4">
        <v>5</v>
      </c>
      <c r="S555" s="3">
        <v>3411.590029</v>
      </c>
      <c r="T555" s="3">
        <f t="shared" si="50"/>
        <v>682.31800580000004</v>
      </c>
      <c r="U555" s="5">
        <f t="shared" si="54"/>
        <v>6.25E-2</v>
      </c>
      <c r="V555" s="5">
        <f t="shared" si="51"/>
        <v>6.1068702290076335E-3</v>
      </c>
      <c r="W555" s="3">
        <f t="shared" si="52"/>
        <v>42.644875362500002</v>
      </c>
      <c r="X555" s="3">
        <f t="shared" si="53"/>
        <v>260.42671977099235</v>
      </c>
      <c r="Y555" s="7">
        <f t="shared" si="55"/>
        <v>0.59724644332262511</v>
      </c>
    </row>
    <row r="556" spans="1:25" x14ac:dyDescent="0.25">
      <c r="A556" t="s">
        <v>828</v>
      </c>
      <c r="B556" t="s">
        <v>829</v>
      </c>
      <c r="C556" t="s">
        <v>832</v>
      </c>
      <c r="D556" t="s">
        <v>1162</v>
      </c>
      <c r="E556" t="s">
        <v>14</v>
      </c>
      <c r="F556" t="s">
        <v>15</v>
      </c>
      <c r="G556" t="s">
        <v>1075</v>
      </c>
      <c r="H556" t="s">
        <v>1074</v>
      </c>
      <c r="K556" t="s">
        <v>85</v>
      </c>
      <c r="L556" t="s">
        <v>89</v>
      </c>
      <c r="M556" t="s">
        <v>18</v>
      </c>
      <c r="N556" s="4">
        <v>65043</v>
      </c>
      <c r="O556" s="4">
        <v>160</v>
      </c>
      <c r="P556" s="4">
        <v>25871</v>
      </c>
      <c r="Q556" s="4">
        <v>53969</v>
      </c>
      <c r="R556" s="4">
        <v>4</v>
      </c>
      <c r="S556" s="3">
        <v>2347.9185309999998</v>
      </c>
      <c r="T556" s="3">
        <f t="shared" si="50"/>
        <v>586.97963274999995</v>
      </c>
      <c r="U556" s="5">
        <f t="shared" si="54"/>
        <v>2.5000000000000001E-2</v>
      </c>
      <c r="V556" s="5">
        <f t="shared" si="51"/>
        <v>2.4599111357102225E-3</v>
      </c>
      <c r="W556" s="3">
        <f t="shared" si="52"/>
        <v>14.674490818749998</v>
      </c>
      <c r="X556" s="3">
        <f t="shared" si="53"/>
        <v>36.097943375920543</v>
      </c>
      <c r="Y556" s="7">
        <f t="shared" si="55"/>
        <v>0.47936778521002799</v>
      </c>
    </row>
    <row r="557" spans="1:25" x14ac:dyDescent="0.25">
      <c r="A557" t="s">
        <v>828</v>
      </c>
      <c r="B557" t="s">
        <v>829</v>
      </c>
      <c r="C557" t="s">
        <v>832</v>
      </c>
      <c r="D557" t="s">
        <v>1163</v>
      </c>
      <c r="E557" t="s">
        <v>14</v>
      </c>
      <c r="F557" t="s">
        <v>26</v>
      </c>
      <c r="G557" t="s">
        <v>1121</v>
      </c>
      <c r="H557" t="s">
        <v>1122</v>
      </c>
      <c r="K557" t="s">
        <v>117</v>
      </c>
      <c r="L557" t="s">
        <v>28</v>
      </c>
      <c r="M557" t="s">
        <v>21</v>
      </c>
      <c r="N557" s="4">
        <v>90123</v>
      </c>
      <c r="O557" s="4">
        <v>60</v>
      </c>
      <c r="P557" s="4">
        <v>33421</v>
      </c>
      <c r="Q557" s="4">
        <v>66729</v>
      </c>
      <c r="R557" s="4">
        <v>9</v>
      </c>
      <c r="S557" s="3">
        <v>3433.9142870000001</v>
      </c>
      <c r="T557" s="3">
        <f t="shared" si="50"/>
        <v>381.54603188888888</v>
      </c>
      <c r="U557" s="5">
        <f t="shared" si="54"/>
        <v>0.15</v>
      </c>
      <c r="V557" s="5">
        <f t="shared" si="51"/>
        <v>6.6575679904131021E-4</v>
      </c>
      <c r="W557" s="3">
        <f t="shared" si="52"/>
        <v>57.231904783333334</v>
      </c>
      <c r="X557" s="3">
        <f t="shared" si="53"/>
        <v>38.102529731589051</v>
      </c>
      <c r="Y557" s="7">
        <f t="shared" si="55"/>
        <v>0.50084670832771361</v>
      </c>
    </row>
    <row r="558" spans="1:25" x14ac:dyDescent="0.25">
      <c r="A558" t="s">
        <v>828</v>
      </c>
      <c r="B558" t="s">
        <v>829</v>
      </c>
      <c r="C558" t="s">
        <v>736</v>
      </c>
      <c r="D558" t="s">
        <v>1164</v>
      </c>
      <c r="E558" t="s">
        <v>19</v>
      </c>
      <c r="F558" t="s">
        <v>26</v>
      </c>
      <c r="G558" t="s">
        <v>1070</v>
      </c>
      <c r="H558" t="s">
        <v>1071</v>
      </c>
      <c r="K558" t="s">
        <v>853</v>
      </c>
      <c r="L558" t="s">
        <v>17</v>
      </c>
      <c r="M558" t="s">
        <v>21</v>
      </c>
      <c r="N558" s="4">
        <v>10191</v>
      </c>
      <c r="O558" s="4">
        <v>75</v>
      </c>
      <c r="P558" s="4">
        <v>1243</v>
      </c>
      <c r="Q558" s="4">
        <v>8897</v>
      </c>
      <c r="R558" s="4">
        <v>3</v>
      </c>
      <c r="S558" s="3">
        <v>2365.9143720000002</v>
      </c>
      <c r="T558" s="3">
        <f t="shared" si="50"/>
        <v>788.63812400000006</v>
      </c>
      <c r="U558" s="5">
        <f t="shared" si="54"/>
        <v>0.04</v>
      </c>
      <c r="V558" s="5">
        <f t="shared" si="51"/>
        <v>7.3594347954077126E-3</v>
      </c>
      <c r="W558" s="3">
        <f t="shared" si="52"/>
        <v>31.545524960000002</v>
      </c>
      <c r="X558" s="3">
        <f t="shared" si="53"/>
        <v>232.1572340300265</v>
      </c>
      <c r="Y558" s="7">
        <f t="shared" si="55"/>
        <v>0.13971001461166685</v>
      </c>
    </row>
    <row r="559" spans="1:25" x14ac:dyDescent="0.25">
      <c r="A559" t="s">
        <v>828</v>
      </c>
      <c r="B559" t="s">
        <v>829</v>
      </c>
      <c r="C559" t="s">
        <v>832</v>
      </c>
      <c r="D559" t="s">
        <v>1165</v>
      </c>
      <c r="E559" t="s">
        <v>19</v>
      </c>
      <c r="F559" t="s">
        <v>44</v>
      </c>
      <c r="G559" t="s">
        <v>1066</v>
      </c>
      <c r="H559" t="s">
        <v>1067</v>
      </c>
      <c r="K559" t="s">
        <v>191</v>
      </c>
      <c r="L559" t="s">
        <v>89</v>
      </c>
      <c r="M559" t="s">
        <v>21</v>
      </c>
      <c r="N559" s="4">
        <v>65257</v>
      </c>
      <c r="O559" s="4">
        <v>201</v>
      </c>
      <c r="P559" s="4">
        <v>12749</v>
      </c>
      <c r="Q559" s="4">
        <v>19274</v>
      </c>
      <c r="R559" s="4">
        <v>3</v>
      </c>
      <c r="S559" s="3">
        <v>2468.1358369999998</v>
      </c>
      <c r="T559" s="3">
        <f t="shared" si="50"/>
        <v>822.71194566666657</v>
      </c>
      <c r="U559" s="5">
        <f t="shared" si="54"/>
        <v>1.4925373134328358E-2</v>
      </c>
      <c r="V559" s="5">
        <f t="shared" si="51"/>
        <v>3.0801293347840078E-3</v>
      </c>
      <c r="W559" s="3">
        <f t="shared" si="52"/>
        <v>12.279282771144278</v>
      </c>
      <c r="X559" s="3">
        <f t="shared" si="53"/>
        <v>37.821779073509354</v>
      </c>
      <c r="Y559" s="7">
        <f t="shared" si="55"/>
        <v>0.66146103559198921</v>
      </c>
    </row>
    <row r="560" spans="1:25" x14ac:dyDescent="0.25">
      <c r="A560" t="s">
        <v>828</v>
      </c>
      <c r="B560" t="s">
        <v>829</v>
      </c>
      <c r="C560" t="s">
        <v>832</v>
      </c>
      <c r="D560" t="s">
        <v>1166</v>
      </c>
      <c r="E560" t="s">
        <v>14</v>
      </c>
      <c r="F560" t="s">
        <v>26</v>
      </c>
      <c r="G560" t="s">
        <v>1081</v>
      </c>
      <c r="H560" t="s">
        <v>1080</v>
      </c>
      <c r="K560" t="s">
        <v>223</v>
      </c>
      <c r="L560" t="s">
        <v>25</v>
      </c>
      <c r="M560" t="s">
        <v>21</v>
      </c>
      <c r="N560" s="4">
        <v>510778</v>
      </c>
      <c r="O560" s="4">
        <v>1290</v>
      </c>
      <c r="P560" s="4">
        <v>70777</v>
      </c>
      <c r="Q560" s="4">
        <v>436133</v>
      </c>
      <c r="R560" s="4">
        <v>6</v>
      </c>
      <c r="S560" s="3">
        <v>3870.2538669999999</v>
      </c>
      <c r="T560" s="3">
        <f t="shared" si="50"/>
        <v>645.04231116666665</v>
      </c>
      <c r="U560" s="5">
        <f t="shared" si="54"/>
        <v>4.6511627906976744E-3</v>
      </c>
      <c r="V560" s="5">
        <f t="shared" si="51"/>
        <v>2.5255590491368072E-3</v>
      </c>
      <c r="W560" s="3">
        <f t="shared" si="52"/>
        <v>3.000196796124031</v>
      </c>
      <c r="X560" s="3">
        <f t="shared" si="53"/>
        <v>7.577174167642303</v>
      </c>
      <c r="Y560" s="7">
        <f t="shared" si="55"/>
        <v>0.16228306502832851</v>
      </c>
    </row>
    <row r="561" spans="1:25" x14ac:dyDescent="0.25">
      <c r="A561" t="s">
        <v>828</v>
      </c>
      <c r="B561" t="s">
        <v>829</v>
      </c>
      <c r="C561" t="s">
        <v>172</v>
      </c>
      <c r="D561" t="s">
        <v>1167</v>
      </c>
      <c r="E561" t="s">
        <v>19</v>
      </c>
      <c r="F561" t="s">
        <v>26</v>
      </c>
      <c r="G561" t="s">
        <v>1066</v>
      </c>
      <c r="H561" t="s">
        <v>1067</v>
      </c>
      <c r="K561" t="s">
        <v>854</v>
      </c>
      <c r="L561" t="s">
        <v>89</v>
      </c>
      <c r="M561" t="s">
        <v>21</v>
      </c>
      <c r="N561" s="4">
        <v>15588</v>
      </c>
      <c r="O561" s="4">
        <v>80</v>
      </c>
      <c r="P561" s="4">
        <v>2089</v>
      </c>
      <c r="Q561" s="4">
        <v>14526</v>
      </c>
      <c r="R561" s="4">
        <v>9</v>
      </c>
      <c r="S561" s="3">
        <v>3518.5334819999998</v>
      </c>
      <c r="T561" s="3">
        <f t="shared" si="50"/>
        <v>390.94816466666663</v>
      </c>
      <c r="U561" s="5">
        <f t="shared" si="54"/>
        <v>0.1125</v>
      </c>
      <c r="V561" s="5">
        <f t="shared" si="51"/>
        <v>5.1321529381575569E-3</v>
      </c>
      <c r="W561" s="3">
        <f t="shared" si="52"/>
        <v>43.981668524999996</v>
      </c>
      <c r="X561" s="3">
        <f t="shared" si="53"/>
        <v>225.72064934565049</v>
      </c>
      <c r="Y561" s="7">
        <f t="shared" si="55"/>
        <v>0.14381109734269584</v>
      </c>
    </row>
    <row r="562" spans="1:25" x14ac:dyDescent="0.25">
      <c r="A562" t="s">
        <v>828</v>
      </c>
      <c r="B562" t="s">
        <v>829</v>
      </c>
      <c r="C562" t="s">
        <v>855</v>
      </c>
      <c r="E562" t="s">
        <v>19</v>
      </c>
      <c r="F562" t="s">
        <v>44</v>
      </c>
      <c r="G562" t="s">
        <v>1066</v>
      </c>
      <c r="H562" t="s">
        <v>1067</v>
      </c>
      <c r="K562" t="s">
        <v>856</v>
      </c>
      <c r="L562" t="s">
        <v>73</v>
      </c>
      <c r="M562" t="s">
        <v>21</v>
      </c>
      <c r="N562" s="4">
        <v>20885</v>
      </c>
      <c r="O562" s="4">
        <v>99</v>
      </c>
      <c r="P562" s="4">
        <v>9901</v>
      </c>
      <c r="Q562" s="4">
        <v>16266</v>
      </c>
      <c r="R562" s="4">
        <v>15</v>
      </c>
      <c r="S562" s="3">
        <v>2496.7854360000001</v>
      </c>
      <c r="T562" s="3">
        <f t="shared" si="50"/>
        <v>166.4523624</v>
      </c>
      <c r="U562" s="5">
        <f t="shared" si="54"/>
        <v>0.15151515151515152</v>
      </c>
      <c r="V562" s="5">
        <f t="shared" si="51"/>
        <v>4.740244194397893E-3</v>
      </c>
      <c r="W562" s="3">
        <f t="shared" si="52"/>
        <v>25.220054909090909</v>
      </c>
      <c r="X562" s="3">
        <f t="shared" si="53"/>
        <v>119.54921886521427</v>
      </c>
      <c r="Y562" s="7">
        <f t="shared" si="55"/>
        <v>0.60869297922045984</v>
      </c>
    </row>
    <row r="563" spans="1:25" x14ac:dyDescent="0.25">
      <c r="A563" t="s">
        <v>828</v>
      </c>
      <c r="B563" t="s">
        <v>829</v>
      </c>
      <c r="C563" t="s">
        <v>832</v>
      </c>
      <c r="D563" t="s">
        <v>1168</v>
      </c>
      <c r="E563" t="s">
        <v>19</v>
      </c>
      <c r="F563" t="s">
        <v>33</v>
      </c>
      <c r="G563" t="s">
        <v>1070</v>
      </c>
      <c r="H563" t="s">
        <v>1071</v>
      </c>
      <c r="K563" t="s">
        <v>757</v>
      </c>
      <c r="L563" t="s">
        <v>73</v>
      </c>
      <c r="M563" t="s">
        <v>21</v>
      </c>
      <c r="N563" s="4">
        <v>20548</v>
      </c>
      <c r="O563" s="4">
        <v>40</v>
      </c>
      <c r="P563" s="4">
        <v>14259</v>
      </c>
      <c r="Q563" s="4">
        <v>19654</v>
      </c>
      <c r="R563" s="4">
        <v>13</v>
      </c>
      <c r="S563" s="3">
        <v>3060.4247690000002</v>
      </c>
      <c r="T563" s="3">
        <f t="shared" si="50"/>
        <v>235.41728992307694</v>
      </c>
      <c r="U563" s="5">
        <f t="shared" si="54"/>
        <v>0.32500000000000001</v>
      </c>
      <c r="V563" s="5">
        <f t="shared" si="51"/>
        <v>1.9466614755693985E-3</v>
      </c>
      <c r="W563" s="3">
        <f t="shared" si="52"/>
        <v>76.510619224999999</v>
      </c>
      <c r="X563" s="3">
        <f t="shared" si="53"/>
        <v>148.94027491726689</v>
      </c>
      <c r="Y563" s="7">
        <f t="shared" si="55"/>
        <v>0.72550117024524274</v>
      </c>
    </row>
    <row r="564" spans="1:25" x14ac:dyDescent="0.25">
      <c r="A564" t="s">
        <v>828</v>
      </c>
      <c r="B564" t="s">
        <v>829</v>
      </c>
      <c r="C564" t="s">
        <v>830</v>
      </c>
      <c r="D564" t="s">
        <v>857</v>
      </c>
      <c r="E564" t="s">
        <v>19</v>
      </c>
      <c r="F564" t="s">
        <v>44</v>
      </c>
      <c r="G564" t="s">
        <v>1086</v>
      </c>
      <c r="H564" t="s">
        <v>1063</v>
      </c>
      <c r="K564" t="s">
        <v>858</v>
      </c>
      <c r="L564" t="s">
        <v>17</v>
      </c>
      <c r="M564" t="s">
        <v>21</v>
      </c>
      <c r="N564" s="4">
        <v>10093</v>
      </c>
      <c r="O564" s="4">
        <v>65</v>
      </c>
      <c r="P564" s="4">
        <v>3901</v>
      </c>
      <c r="Q564" s="4">
        <v>9645</v>
      </c>
      <c r="R564" s="4">
        <v>2</v>
      </c>
      <c r="S564" s="3">
        <v>3105.2830039999999</v>
      </c>
      <c r="T564" s="3">
        <f t="shared" si="50"/>
        <v>1552.6415019999999</v>
      </c>
      <c r="U564" s="5">
        <f t="shared" si="54"/>
        <v>3.0769230769230771E-2</v>
      </c>
      <c r="V564" s="5">
        <f t="shared" si="51"/>
        <v>6.4401070048548496E-3</v>
      </c>
      <c r="W564" s="3">
        <f t="shared" si="52"/>
        <v>47.773584676923072</v>
      </c>
      <c r="X564" s="3">
        <f t="shared" si="53"/>
        <v>307.66699732487859</v>
      </c>
      <c r="Y564" s="7">
        <f t="shared" si="55"/>
        <v>0.40445826853291861</v>
      </c>
    </row>
    <row r="565" spans="1:25" x14ac:dyDescent="0.25">
      <c r="A565" t="s">
        <v>828</v>
      </c>
      <c r="B565" t="s">
        <v>829</v>
      </c>
      <c r="C565" t="s">
        <v>832</v>
      </c>
      <c r="D565" t="s">
        <v>1169</v>
      </c>
      <c r="E565" t="s">
        <v>14</v>
      </c>
      <c r="F565" t="s">
        <v>26</v>
      </c>
      <c r="G565" t="s">
        <v>1070</v>
      </c>
      <c r="H565" t="s">
        <v>1071</v>
      </c>
      <c r="K565" t="s">
        <v>243</v>
      </c>
      <c r="L565" t="s">
        <v>17</v>
      </c>
      <c r="M565" t="s">
        <v>29</v>
      </c>
      <c r="N565" s="4">
        <v>65238</v>
      </c>
      <c r="O565" s="4">
        <v>240</v>
      </c>
      <c r="P565" s="4">
        <v>23741</v>
      </c>
      <c r="Q565" s="4">
        <v>59893</v>
      </c>
      <c r="R565" s="4">
        <v>15</v>
      </c>
      <c r="S565" s="3">
        <v>3132.519209</v>
      </c>
      <c r="T565" s="3">
        <f t="shared" si="50"/>
        <v>208.83461393333334</v>
      </c>
      <c r="U565" s="5">
        <f t="shared" si="54"/>
        <v>6.25E-2</v>
      </c>
      <c r="V565" s="5">
        <f t="shared" si="51"/>
        <v>3.678837487353996E-3</v>
      </c>
      <c r="W565" s="3">
        <f t="shared" si="52"/>
        <v>13.052163370833334</v>
      </c>
      <c r="X565" s="3">
        <f t="shared" si="53"/>
        <v>48.016787899690364</v>
      </c>
      <c r="Y565" s="7">
        <f t="shared" si="55"/>
        <v>0.39639022924214851</v>
      </c>
    </row>
    <row r="566" spans="1:25" x14ac:dyDescent="0.25">
      <c r="A566" t="s">
        <v>828</v>
      </c>
      <c r="B566" t="s">
        <v>829</v>
      </c>
      <c r="C566" t="s">
        <v>832</v>
      </c>
      <c r="D566" t="s">
        <v>1170</v>
      </c>
      <c r="E566" t="s">
        <v>19</v>
      </c>
      <c r="F566" t="s">
        <v>26</v>
      </c>
      <c r="G566" t="s">
        <v>1078</v>
      </c>
      <c r="H566" t="s">
        <v>1065</v>
      </c>
      <c r="K566" t="s">
        <v>117</v>
      </c>
      <c r="L566" t="s">
        <v>17</v>
      </c>
      <c r="M566" t="s">
        <v>21</v>
      </c>
      <c r="N566" s="4">
        <v>263752</v>
      </c>
      <c r="O566" s="4">
        <v>702</v>
      </c>
      <c r="P566" s="4">
        <v>127042</v>
      </c>
      <c r="Q566" s="4">
        <v>225121</v>
      </c>
      <c r="R566" s="4">
        <v>4</v>
      </c>
      <c r="S566" s="3">
        <v>1465.5147099999999</v>
      </c>
      <c r="T566" s="3">
        <f t="shared" si="50"/>
        <v>366.37867749999998</v>
      </c>
      <c r="U566" s="5">
        <f t="shared" si="54"/>
        <v>5.6980056980056983E-3</v>
      </c>
      <c r="V566" s="5">
        <f t="shared" si="51"/>
        <v>2.6615911917255604E-3</v>
      </c>
      <c r="W566" s="3">
        <f t="shared" si="52"/>
        <v>2.0876277920227917</v>
      </c>
      <c r="X566" s="3">
        <f t="shared" si="53"/>
        <v>5.5564117428493427</v>
      </c>
      <c r="Y566" s="7">
        <f t="shared" si="55"/>
        <v>0.56432762825325045</v>
      </c>
    </row>
    <row r="567" spans="1:25" x14ac:dyDescent="0.25">
      <c r="A567" t="s">
        <v>828</v>
      </c>
      <c r="B567" t="s">
        <v>829</v>
      </c>
      <c r="C567" t="s">
        <v>859</v>
      </c>
      <c r="E567" t="s">
        <v>19</v>
      </c>
      <c r="F567" t="s">
        <v>33</v>
      </c>
      <c r="G567" t="s">
        <v>1086</v>
      </c>
      <c r="H567" t="s">
        <v>1063</v>
      </c>
      <c r="K567" t="s">
        <v>260</v>
      </c>
      <c r="L567" t="s">
        <v>17</v>
      </c>
      <c r="M567" t="s">
        <v>21</v>
      </c>
      <c r="N567" s="4">
        <v>29107</v>
      </c>
      <c r="O567" s="4">
        <v>64</v>
      </c>
      <c r="P567" s="4">
        <v>4047</v>
      </c>
      <c r="Q567" s="4">
        <v>27357</v>
      </c>
      <c r="R567" s="4">
        <v>9</v>
      </c>
      <c r="S567" s="3">
        <v>3339.454322</v>
      </c>
      <c r="T567" s="3">
        <f t="shared" si="50"/>
        <v>371.05048022222223</v>
      </c>
      <c r="U567" s="5">
        <f t="shared" si="54"/>
        <v>0.140625</v>
      </c>
      <c r="V567" s="5">
        <f t="shared" si="51"/>
        <v>2.1987837977118906E-3</v>
      </c>
      <c r="W567" s="3">
        <f t="shared" si="52"/>
        <v>52.178973781250001</v>
      </c>
      <c r="X567" s="3">
        <f t="shared" si="53"/>
        <v>114.73028213144605</v>
      </c>
      <c r="Y567" s="7">
        <f t="shared" si="55"/>
        <v>0.14793288737800198</v>
      </c>
    </row>
    <row r="568" spans="1:25" x14ac:dyDescent="0.25">
      <c r="A568" t="s">
        <v>828</v>
      </c>
      <c r="B568" t="s">
        <v>829</v>
      </c>
      <c r="C568" t="s">
        <v>832</v>
      </c>
      <c r="D568" t="s">
        <v>1171</v>
      </c>
      <c r="E568" t="s">
        <v>14</v>
      </c>
      <c r="F568" t="s">
        <v>44</v>
      </c>
      <c r="G568" t="s">
        <v>1066</v>
      </c>
      <c r="H568" t="s">
        <v>1067</v>
      </c>
      <c r="K568" t="s">
        <v>317</v>
      </c>
      <c r="L568" t="s">
        <v>17</v>
      </c>
      <c r="M568" t="s">
        <v>29</v>
      </c>
      <c r="N568" s="4">
        <v>33650</v>
      </c>
      <c r="O568" s="4">
        <v>100</v>
      </c>
      <c r="P568" s="4">
        <v>15621</v>
      </c>
      <c r="Q568" s="4">
        <v>32539</v>
      </c>
      <c r="R568" s="4">
        <v>9</v>
      </c>
      <c r="S568" s="3">
        <v>3844.9911649999999</v>
      </c>
      <c r="T568" s="3">
        <f t="shared" si="50"/>
        <v>427.22124055555554</v>
      </c>
      <c r="U568" s="5">
        <f t="shared" si="54"/>
        <v>0.09</v>
      </c>
      <c r="V568" s="5">
        <f t="shared" si="51"/>
        <v>2.9717682020802376E-3</v>
      </c>
      <c r="W568" s="3">
        <f t="shared" si="52"/>
        <v>38.449911649999997</v>
      </c>
      <c r="X568" s="3">
        <f t="shared" si="53"/>
        <v>114.26422481426448</v>
      </c>
      <c r="Y568" s="7">
        <f t="shared" si="55"/>
        <v>0.48007006976243893</v>
      </c>
    </row>
    <row r="569" spans="1:25" x14ac:dyDescent="0.25">
      <c r="A569" t="s">
        <v>828</v>
      </c>
      <c r="B569" t="s">
        <v>829</v>
      </c>
      <c r="C569" t="s">
        <v>860</v>
      </c>
      <c r="E569" t="s">
        <v>23</v>
      </c>
      <c r="F569" t="s">
        <v>15</v>
      </c>
      <c r="G569" t="s">
        <v>1087</v>
      </c>
      <c r="H569" t="s">
        <v>1074</v>
      </c>
      <c r="K569" t="s">
        <v>444</v>
      </c>
      <c r="L569" t="s">
        <v>17</v>
      </c>
      <c r="M569" t="s">
        <v>21</v>
      </c>
      <c r="N569" s="4">
        <v>15602</v>
      </c>
      <c r="O569" s="4">
        <v>50</v>
      </c>
      <c r="P569" s="4">
        <v>7676</v>
      </c>
      <c r="Q569" s="4">
        <v>13775</v>
      </c>
      <c r="R569" s="4">
        <v>1</v>
      </c>
      <c r="S569" s="3">
        <v>2600.894327</v>
      </c>
      <c r="T569" s="3">
        <f t="shared" si="50"/>
        <v>2600.894327</v>
      </c>
      <c r="U569" s="5">
        <f t="shared" si="54"/>
        <v>0.02</v>
      </c>
      <c r="V569" s="5">
        <f t="shared" si="51"/>
        <v>3.2047173439302655E-3</v>
      </c>
      <c r="W569" s="3">
        <f t="shared" si="52"/>
        <v>52.017886539999999</v>
      </c>
      <c r="X569" s="3">
        <f t="shared" si="53"/>
        <v>166.7026231893347</v>
      </c>
      <c r="Y569" s="7">
        <f t="shared" si="55"/>
        <v>0.55724137931034479</v>
      </c>
    </row>
    <row r="570" spans="1:25" x14ac:dyDescent="0.25">
      <c r="A570" t="s">
        <v>828</v>
      </c>
      <c r="B570" t="s">
        <v>829</v>
      </c>
      <c r="C570" t="s">
        <v>830</v>
      </c>
      <c r="D570" t="s">
        <v>849</v>
      </c>
      <c r="E570" t="s">
        <v>19</v>
      </c>
      <c r="F570" t="s">
        <v>15</v>
      </c>
      <c r="G570" t="s">
        <v>1116</v>
      </c>
      <c r="H570" t="s">
        <v>1095</v>
      </c>
      <c r="I570" t="s">
        <v>1117</v>
      </c>
      <c r="J570" t="s">
        <v>1065</v>
      </c>
      <c r="K570" t="s">
        <v>747</v>
      </c>
      <c r="L570" t="s">
        <v>68</v>
      </c>
      <c r="M570" t="s">
        <v>21</v>
      </c>
      <c r="N570" s="4">
        <v>36431</v>
      </c>
      <c r="O570" s="4">
        <v>108</v>
      </c>
      <c r="P570" s="4">
        <v>31262</v>
      </c>
      <c r="Q570" s="4">
        <v>35043</v>
      </c>
      <c r="R570" s="4">
        <v>11</v>
      </c>
      <c r="S570" s="3">
        <v>3285.8345220000001</v>
      </c>
      <c r="T570" s="3">
        <f t="shared" si="50"/>
        <v>298.71222927272726</v>
      </c>
      <c r="U570" s="5">
        <f t="shared" si="54"/>
        <v>0.10185185185185185</v>
      </c>
      <c r="V570" s="5">
        <f t="shared" si="51"/>
        <v>2.9645082484697099E-3</v>
      </c>
      <c r="W570" s="3">
        <f t="shared" si="52"/>
        <v>30.424393722222224</v>
      </c>
      <c r="X570" s="3">
        <f t="shared" si="53"/>
        <v>90.193366144217848</v>
      </c>
      <c r="Y570" s="7">
        <f t="shared" si="55"/>
        <v>0.89210398653083356</v>
      </c>
    </row>
    <row r="571" spans="1:25" x14ac:dyDescent="0.25">
      <c r="A571" t="s">
        <v>828</v>
      </c>
      <c r="B571" t="s">
        <v>829</v>
      </c>
      <c r="C571" t="s">
        <v>832</v>
      </c>
      <c r="D571" t="s">
        <v>1172</v>
      </c>
      <c r="E571" t="s">
        <v>14</v>
      </c>
      <c r="F571" t="s">
        <v>15</v>
      </c>
      <c r="G571" t="s">
        <v>1066</v>
      </c>
      <c r="H571" t="s">
        <v>1067</v>
      </c>
      <c r="K571" t="s">
        <v>861</v>
      </c>
      <c r="L571" t="s">
        <v>25</v>
      </c>
      <c r="M571" t="s">
        <v>21</v>
      </c>
      <c r="N571" s="4">
        <v>18458</v>
      </c>
      <c r="O571" s="4">
        <v>111</v>
      </c>
      <c r="P571" s="4">
        <v>3623</v>
      </c>
      <c r="Q571" s="4">
        <v>16934</v>
      </c>
      <c r="R571" s="4">
        <v>6</v>
      </c>
      <c r="S571" s="3">
        <v>2866.4966709999999</v>
      </c>
      <c r="T571" s="3">
        <f t="shared" si="50"/>
        <v>477.74944516666665</v>
      </c>
      <c r="U571" s="5">
        <f t="shared" si="54"/>
        <v>5.4054054054054057E-2</v>
      </c>
      <c r="V571" s="5">
        <f t="shared" si="51"/>
        <v>6.0136526167515443E-3</v>
      </c>
      <c r="W571" s="3">
        <f t="shared" si="52"/>
        <v>25.824294333333331</v>
      </c>
      <c r="X571" s="3">
        <f t="shared" si="53"/>
        <v>155.29833519341207</v>
      </c>
      <c r="Y571" s="7">
        <f t="shared" si="55"/>
        <v>0.21394826975315934</v>
      </c>
    </row>
    <row r="572" spans="1:25" x14ac:dyDescent="0.25">
      <c r="A572" t="s">
        <v>828</v>
      </c>
      <c r="B572" t="s">
        <v>829</v>
      </c>
      <c r="C572" t="s">
        <v>832</v>
      </c>
      <c r="D572" t="s">
        <v>1173</v>
      </c>
      <c r="E572" t="s">
        <v>14</v>
      </c>
      <c r="F572" t="s">
        <v>44</v>
      </c>
      <c r="G572" t="s">
        <v>1062</v>
      </c>
      <c r="H572" t="s">
        <v>1063</v>
      </c>
      <c r="K572" t="s">
        <v>24</v>
      </c>
      <c r="L572" t="s">
        <v>17</v>
      </c>
      <c r="M572" t="s">
        <v>21</v>
      </c>
      <c r="N572" s="4">
        <v>321263</v>
      </c>
      <c r="O572" s="4">
        <v>852</v>
      </c>
      <c r="P572" s="4">
        <v>172887</v>
      </c>
      <c r="Q572" s="4">
        <v>263424</v>
      </c>
      <c r="R572" s="4">
        <v>6</v>
      </c>
      <c r="S572" s="3">
        <v>1576.051434</v>
      </c>
      <c r="T572" s="3">
        <f t="shared" si="50"/>
        <v>262.67523899999998</v>
      </c>
      <c r="U572" s="5">
        <f t="shared" si="54"/>
        <v>7.0422535211267607E-3</v>
      </c>
      <c r="V572" s="5">
        <f t="shared" si="51"/>
        <v>2.6520327582074499E-3</v>
      </c>
      <c r="W572" s="3">
        <f t="shared" si="52"/>
        <v>1.8498256267605633</v>
      </c>
      <c r="X572" s="3">
        <f t="shared" si="53"/>
        <v>4.9057981591406419</v>
      </c>
      <c r="Y572" s="7">
        <f t="shared" si="55"/>
        <v>0.65630694241982512</v>
      </c>
    </row>
    <row r="573" spans="1:25" x14ac:dyDescent="0.25">
      <c r="A573" t="s">
        <v>590</v>
      </c>
      <c r="B573" t="s">
        <v>563</v>
      </c>
      <c r="C573" t="s">
        <v>862</v>
      </c>
      <c r="E573" t="s">
        <v>14</v>
      </c>
      <c r="F573" t="s">
        <v>26</v>
      </c>
      <c r="G573" t="s">
        <v>1100</v>
      </c>
      <c r="H573" t="s">
        <v>1071</v>
      </c>
      <c r="K573" t="s">
        <v>697</v>
      </c>
      <c r="L573" t="s">
        <v>17</v>
      </c>
      <c r="M573" t="s">
        <v>18</v>
      </c>
      <c r="N573" s="4">
        <v>11043</v>
      </c>
      <c r="O573" s="4">
        <v>125</v>
      </c>
      <c r="P573" s="4">
        <v>4547</v>
      </c>
      <c r="Q573" s="4">
        <v>9666</v>
      </c>
      <c r="R573" s="4">
        <v>13</v>
      </c>
      <c r="S573" s="3">
        <v>1858.132171</v>
      </c>
      <c r="T573" s="3">
        <f t="shared" si="50"/>
        <v>142.93324392307693</v>
      </c>
      <c r="U573" s="5">
        <f t="shared" si="54"/>
        <v>0.104</v>
      </c>
      <c r="V573" s="5">
        <f t="shared" si="51"/>
        <v>1.1319387847505207E-2</v>
      </c>
      <c r="W573" s="3">
        <f t="shared" si="52"/>
        <v>14.865057368</v>
      </c>
      <c r="X573" s="3">
        <f t="shared" si="53"/>
        <v>168.26334972380693</v>
      </c>
      <c r="Y573" s="7">
        <f t="shared" si="55"/>
        <v>0.47041175253465756</v>
      </c>
    </row>
    <row r="574" spans="1:25" x14ac:dyDescent="0.25">
      <c r="A574" t="s">
        <v>590</v>
      </c>
      <c r="B574" t="s">
        <v>863</v>
      </c>
      <c r="E574" t="s">
        <v>19</v>
      </c>
      <c r="F574" t="s">
        <v>44</v>
      </c>
      <c r="G574" t="s">
        <v>1066</v>
      </c>
      <c r="H574" t="s">
        <v>1067</v>
      </c>
      <c r="K574" t="s">
        <v>757</v>
      </c>
      <c r="L574" t="s">
        <v>17</v>
      </c>
      <c r="M574" t="s">
        <v>21</v>
      </c>
      <c r="N574" s="4">
        <v>9515</v>
      </c>
      <c r="O574" s="4">
        <v>30</v>
      </c>
      <c r="P574" s="4">
        <v>6169</v>
      </c>
      <c r="Q574" s="4">
        <v>9138</v>
      </c>
      <c r="R574" s="4">
        <v>3</v>
      </c>
      <c r="S574" s="3">
        <v>5776.508186</v>
      </c>
      <c r="T574" s="3">
        <f t="shared" si="50"/>
        <v>1925.5027286666666</v>
      </c>
      <c r="U574" s="5">
        <f t="shared" si="54"/>
        <v>0.1</v>
      </c>
      <c r="V574" s="5">
        <f t="shared" si="51"/>
        <v>3.1529164477141357E-3</v>
      </c>
      <c r="W574" s="3">
        <f t="shared" si="52"/>
        <v>192.55027286666666</v>
      </c>
      <c r="X574" s="3">
        <f t="shared" si="53"/>
        <v>607.09492233315825</v>
      </c>
      <c r="Y574" s="7">
        <f t="shared" si="55"/>
        <v>0.67509301816590062</v>
      </c>
    </row>
    <row r="575" spans="1:25" x14ac:dyDescent="0.25">
      <c r="A575" t="s">
        <v>590</v>
      </c>
      <c r="B575" t="s">
        <v>864</v>
      </c>
      <c r="C575" t="s">
        <v>865</v>
      </c>
      <c r="E575" t="s">
        <v>14</v>
      </c>
      <c r="F575" t="s">
        <v>44</v>
      </c>
      <c r="G575" t="s">
        <v>1066</v>
      </c>
      <c r="H575" t="s">
        <v>1067</v>
      </c>
      <c r="K575" t="s">
        <v>91</v>
      </c>
      <c r="L575" t="s">
        <v>28</v>
      </c>
      <c r="M575" t="s">
        <v>21</v>
      </c>
      <c r="N575" s="4">
        <v>232635</v>
      </c>
      <c r="O575" s="4">
        <v>666</v>
      </c>
      <c r="P575" s="4">
        <v>34008</v>
      </c>
      <c r="Q575" s="4">
        <v>195803</v>
      </c>
      <c r="R575" s="4">
        <v>39</v>
      </c>
      <c r="S575" s="3">
        <v>1773.991882</v>
      </c>
      <c r="T575" s="3">
        <f t="shared" si="50"/>
        <v>45.486971333333337</v>
      </c>
      <c r="U575" s="5">
        <f t="shared" si="54"/>
        <v>5.8558558558558557E-2</v>
      </c>
      <c r="V575" s="5">
        <f t="shared" si="51"/>
        <v>2.862853826810239E-3</v>
      </c>
      <c r="W575" s="3">
        <f t="shared" si="52"/>
        <v>2.6636514744744746</v>
      </c>
      <c r="X575" s="3">
        <f t="shared" si="53"/>
        <v>7.625644816987986</v>
      </c>
      <c r="Y575" s="7">
        <f t="shared" si="55"/>
        <v>0.17368477500344734</v>
      </c>
    </row>
    <row r="576" spans="1:25" x14ac:dyDescent="0.25">
      <c r="A576" t="s">
        <v>590</v>
      </c>
      <c r="B576" t="s">
        <v>866</v>
      </c>
      <c r="C576" t="s">
        <v>867</v>
      </c>
      <c r="E576" t="s">
        <v>14</v>
      </c>
      <c r="F576" t="s">
        <v>44</v>
      </c>
      <c r="G576" t="s">
        <v>1070</v>
      </c>
      <c r="H576" t="s">
        <v>1071</v>
      </c>
      <c r="K576" t="s">
        <v>81</v>
      </c>
      <c r="L576" t="s">
        <v>17</v>
      </c>
      <c r="M576" t="s">
        <v>29</v>
      </c>
      <c r="N576" s="4">
        <v>49250</v>
      </c>
      <c r="O576" s="4">
        <v>220</v>
      </c>
      <c r="P576" s="4">
        <v>9205</v>
      </c>
      <c r="Q576" s="4">
        <v>43535</v>
      </c>
      <c r="R576" s="4">
        <v>15</v>
      </c>
      <c r="S576" s="3">
        <v>1694.4709769999999</v>
      </c>
      <c r="T576" s="3">
        <f t="shared" si="50"/>
        <v>112.9647318</v>
      </c>
      <c r="U576" s="5">
        <f t="shared" si="54"/>
        <v>6.8181818181818177E-2</v>
      </c>
      <c r="V576" s="5">
        <f t="shared" si="51"/>
        <v>4.4670050761421321E-3</v>
      </c>
      <c r="W576" s="3">
        <f t="shared" si="52"/>
        <v>7.7021408045454542</v>
      </c>
      <c r="X576" s="3">
        <f t="shared" si="53"/>
        <v>34.405502071065989</v>
      </c>
      <c r="Y576" s="7">
        <f t="shared" si="55"/>
        <v>0.2114390720110256</v>
      </c>
    </row>
    <row r="577" spans="1:25" x14ac:dyDescent="0.25">
      <c r="A577" t="s">
        <v>590</v>
      </c>
      <c r="B577" t="s">
        <v>868</v>
      </c>
      <c r="C577" t="s">
        <v>869</v>
      </c>
      <c r="E577" t="s">
        <v>14</v>
      </c>
      <c r="F577" t="s">
        <v>26</v>
      </c>
      <c r="G577" t="s">
        <v>1062</v>
      </c>
      <c r="H577" t="s">
        <v>1063</v>
      </c>
      <c r="K577" t="s">
        <v>163</v>
      </c>
      <c r="L577" t="s">
        <v>92</v>
      </c>
      <c r="M577" t="s">
        <v>29</v>
      </c>
      <c r="N577" s="4">
        <v>49415</v>
      </c>
      <c r="O577" s="4">
        <v>144</v>
      </c>
      <c r="P577" s="4">
        <v>24692</v>
      </c>
      <c r="Q577" s="4">
        <v>45565</v>
      </c>
      <c r="R577" s="4">
        <v>3</v>
      </c>
      <c r="S577" s="3">
        <v>1471.1757279999999</v>
      </c>
      <c r="T577" s="3">
        <f t="shared" si="50"/>
        <v>490.39190933333333</v>
      </c>
      <c r="U577" s="5">
        <f t="shared" si="54"/>
        <v>2.0833333333333332E-2</v>
      </c>
      <c r="V577" s="5">
        <f t="shared" si="51"/>
        <v>2.914094910452292E-3</v>
      </c>
      <c r="W577" s="3">
        <f t="shared" si="52"/>
        <v>10.216498111111111</v>
      </c>
      <c r="X577" s="3">
        <f t="shared" si="53"/>
        <v>29.771845148234341</v>
      </c>
      <c r="Y577" s="7">
        <f t="shared" si="55"/>
        <v>0.54190716558762209</v>
      </c>
    </row>
    <row r="578" spans="1:25" x14ac:dyDescent="0.25">
      <c r="A578" t="s">
        <v>590</v>
      </c>
      <c r="B578" t="s">
        <v>870</v>
      </c>
      <c r="E578" t="s">
        <v>14</v>
      </c>
      <c r="F578" t="s">
        <v>26</v>
      </c>
      <c r="G578" t="s">
        <v>1066</v>
      </c>
      <c r="H578" t="s">
        <v>1067</v>
      </c>
      <c r="K578" t="s">
        <v>45</v>
      </c>
      <c r="L578" t="s">
        <v>17</v>
      </c>
      <c r="M578" t="s">
        <v>21</v>
      </c>
      <c r="N578" s="4">
        <v>161178</v>
      </c>
      <c r="O578" s="4">
        <v>492</v>
      </c>
      <c r="P578" s="4">
        <v>70181</v>
      </c>
      <c r="Q578" s="4">
        <v>150003</v>
      </c>
      <c r="R578" s="4">
        <v>11</v>
      </c>
      <c r="S578" s="3">
        <v>5892.48218</v>
      </c>
      <c r="T578" s="3">
        <f t="shared" ref="T578:T641" si="56">S578/R578</f>
        <v>535.68019818181813</v>
      </c>
      <c r="U578" s="5">
        <f t="shared" si="54"/>
        <v>2.2357723577235773E-2</v>
      </c>
      <c r="V578" s="5">
        <f t="shared" ref="V578:V641" si="57">O578/N578</f>
        <v>3.0525257789524624E-3</v>
      </c>
      <c r="W578" s="3">
        <f t="shared" ref="W578:W641" si="58">S578/O578</f>
        <v>11.976589796747968</v>
      </c>
      <c r="X578" s="3">
        <f t="shared" ref="X578:X641" si="59">(S578/N578)*1000</f>
        <v>36.558849098512205</v>
      </c>
      <c r="Y578" s="7">
        <f t="shared" si="55"/>
        <v>0.46786397605381225</v>
      </c>
    </row>
    <row r="579" spans="1:25" x14ac:dyDescent="0.25">
      <c r="A579" t="s">
        <v>590</v>
      </c>
      <c r="B579" t="s">
        <v>871</v>
      </c>
      <c r="C579" t="s">
        <v>872</v>
      </c>
      <c r="E579" t="s">
        <v>19</v>
      </c>
      <c r="F579" t="s">
        <v>44</v>
      </c>
      <c r="G579" t="s">
        <v>1120</v>
      </c>
      <c r="H579" t="s">
        <v>1097</v>
      </c>
      <c r="K579" t="s">
        <v>249</v>
      </c>
      <c r="L579" t="s">
        <v>17</v>
      </c>
      <c r="M579" t="s">
        <v>21</v>
      </c>
      <c r="N579" s="4">
        <v>111884</v>
      </c>
      <c r="O579" s="4">
        <v>220</v>
      </c>
      <c r="P579" s="4">
        <v>53017</v>
      </c>
      <c r="Q579" s="4">
        <v>106432</v>
      </c>
      <c r="R579" s="4">
        <v>7</v>
      </c>
      <c r="S579" s="3">
        <v>1786.1051219999999</v>
      </c>
      <c r="T579" s="3">
        <f t="shared" si="56"/>
        <v>255.15787457142855</v>
      </c>
      <c r="U579" s="5">
        <f t="shared" ref="U579:U642" si="60">R579/O579</f>
        <v>3.1818181818181815E-2</v>
      </c>
      <c r="V579" s="5">
        <f t="shared" si="57"/>
        <v>1.9663222623431411E-3</v>
      </c>
      <c r="W579" s="3">
        <f t="shared" si="58"/>
        <v>8.1186596454545459</v>
      </c>
      <c r="X579" s="3">
        <f t="shared" si="59"/>
        <v>15.963901201244145</v>
      </c>
      <c r="Y579" s="7">
        <f t="shared" ref="Y579:Y642" si="61">P579/Q579</f>
        <v>0.49813026157546603</v>
      </c>
    </row>
    <row r="580" spans="1:25" x14ac:dyDescent="0.25">
      <c r="A580" t="s">
        <v>873</v>
      </c>
      <c r="B580" t="s">
        <v>874</v>
      </c>
      <c r="E580" t="s">
        <v>14</v>
      </c>
      <c r="F580" t="s">
        <v>15</v>
      </c>
      <c r="G580" t="s">
        <v>1082</v>
      </c>
      <c r="H580" t="s">
        <v>1083</v>
      </c>
      <c r="K580" t="s">
        <v>875</v>
      </c>
      <c r="L580" t="s">
        <v>17</v>
      </c>
      <c r="M580" t="s">
        <v>21</v>
      </c>
      <c r="N580" s="4">
        <v>13183</v>
      </c>
      <c r="O580" s="4">
        <v>100</v>
      </c>
      <c r="P580" s="4">
        <v>4337</v>
      </c>
      <c r="Q580" s="4">
        <v>10596</v>
      </c>
      <c r="R580" s="4">
        <v>1</v>
      </c>
      <c r="S580" s="3">
        <v>2430.2436640000001</v>
      </c>
      <c r="T580" s="3">
        <f t="shared" si="56"/>
        <v>2430.2436640000001</v>
      </c>
      <c r="U580" s="5">
        <f t="shared" si="60"/>
        <v>0.01</v>
      </c>
      <c r="V580" s="5">
        <f t="shared" si="57"/>
        <v>7.5855268148372901E-3</v>
      </c>
      <c r="W580" s="3">
        <f t="shared" si="58"/>
        <v>24.30243664</v>
      </c>
      <c r="X580" s="3">
        <f t="shared" si="59"/>
        <v>184.34678479860429</v>
      </c>
      <c r="Y580" s="7">
        <f t="shared" si="61"/>
        <v>0.40930539826349566</v>
      </c>
    </row>
    <row r="581" spans="1:25" x14ac:dyDescent="0.25">
      <c r="A581" t="s">
        <v>873</v>
      </c>
      <c r="B581" t="s">
        <v>876</v>
      </c>
      <c r="E581" t="s">
        <v>14</v>
      </c>
      <c r="F581" t="s">
        <v>26</v>
      </c>
      <c r="G581" t="s">
        <v>1070</v>
      </c>
      <c r="H581" t="s">
        <v>1071</v>
      </c>
      <c r="K581" t="s">
        <v>877</v>
      </c>
      <c r="L581" t="s">
        <v>79</v>
      </c>
      <c r="M581" t="s">
        <v>21</v>
      </c>
      <c r="N581" s="4">
        <v>117713</v>
      </c>
      <c r="O581" s="4">
        <v>374</v>
      </c>
      <c r="P581" s="4">
        <v>16357</v>
      </c>
      <c r="Q581" s="4">
        <v>100222</v>
      </c>
      <c r="R581" s="4">
        <v>5</v>
      </c>
      <c r="S581" s="3">
        <v>2505.4035429999999</v>
      </c>
      <c r="T581" s="3">
        <f t="shared" si="56"/>
        <v>501.08070859999998</v>
      </c>
      <c r="U581" s="5">
        <f t="shared" si="60"/>
        <v>1.3368983957219251E-2</v>
      </c>
      <c r="V581" s="5">
        <f t="shared" si="57"/>
        <v>3.1772191686559683E-3</v>
      </c>
      <c r="W581" s="3">
        <f t="shared" si="58"/>
        <v>6.6989399545454544</v>
      </c>
      <c r="X581" s="3">
        <f t="shared" si="59"/>
        <v>21.284000433257159</v>
      </c>
      <c r="Y581" s="7">
        <f t="shared" si="61"/>
        <v>0.16320767895272495</v>
      </c>
    </row>
    <row r="582" spans="1:25" x14ac:dyDescent="0.25">
      <c r="A582" t="s">
        <v>138</v>
      </c>
      <c r="E582" t="s">
        <v>14</v>
      </c>
      <c r="F582" t="s">
        <v>26</v>
      </c>
      <c r="G582" t="s">
        <v>1073</v>
      </c>
      <c r="H582" t="s">
        <v>1074</v>
      </c>
      <c r="K582" t="s">
        <v>791</v>
      </c>
      <c r="L582" t="s">
        <v>17</v>
      </c>
      <c r="M582" t="s">
        <v>21</v>
      </c>
      <c r="N582" s="4">
        <v>12280</v>
      </c>
      <c r="O582" s="4">
        <v>40</v>
      </c>
      <c r="P582" s="4">
        <v>9613</v>
      </c>
      <c r="Q582" s="4">
        <v>11247</v>
      </c>
      <c r="R582" s="4">
        <v>4</v>
      </c>
      <c r="S582" s="3">
        <v>1765.3987099999999</v>
      </c>
      <c r="T582" s="3">
        <f t="shared" si="56"/>
        <v>441.34967749999998</v>
      </c>
      <c r="U582" s="5">
        <f t="shared" si="60"/>
        <v>0.1</v>
      </c>
      <c r="V582" s="5">
        <f t="shared" si="57"/>
        <v>3.2573289902280132E-3</v>
      </c>
      <c r="W582" s="3">
        <f t="shared" si="58"/>
        <v>44.134967750000001</v>
      </c>
      <c r="X582" s="3">
        <f t="shared" si="59"/>
        <v>143.76210993485341</v>
      </c>
      <c r="Y582" s="7">
        <f t="shared" si="61"/>
        <v>0.85471681337245486</v>
      </c>
    </row>
    <row r="583" spans="1:25" x14ac:dyDescent="0.25">
      <c r="A583" t="s">
        <v>878</v>
      </c>
      <c r="E583" t="s">
        <v>19</v>
      </c>
      <c r="F583" t="s">
        <v>33</v>
      </c>
      <c r="G583" t="s">
        <v>1096</v>
      </c>
      <c r="H583" t="s">
        <v>1097</v>
      </c>
      <c r="K583" t="s">
        <v>91</v>
      </c>
      <c r="L583" t="s">
        <v>89</v>
      </c>
      <c r="M583" t="s">
        <v>21</v>
      </c>
      <c r="N583" s="4">
        <v>239164</v>
      </c>
      <c r="O583" s="4">
        <v>699</v>
      </c>
      <c r="P583" s="4">
        <v>86250</v>
      </c>
      <c r="Q583" s="4">
        <v>198209</v>
      </c>
      <c r="R583" s="4">
        <v>41</v>
      </c>
      <c r="S583" s="3">
        <v>2819.935266</v>
      </c>
      <c r="T583" s="3">
        <f t="shared" si="56"/>
        <v>68.778908926829274</v>
      </c>
      <c r="U583" s="5">
        <f t="shared" si="60"/>
        <v>5.8655221745350504E-2</v>
      </c>
      <c r="V583" s="5">
        <f t="shared" si="57"/>
        <v>2.9226806710039971E-3</v>
      </c>
      <c r="W583" s="3">
        <f t="shared" si="58"/>
        <v>4.0342421545064377</v>
      </c>
      <c r="X583" s="3">
        <f t="shared" si="59"/>
        <v>11.790801567125488</v>
      </c>
      <c r="Y583" s="7">
        <f t="shared" si="61"/>
        <v>0.43514673904817641</v>
      </c>
    </row>
    <row r="584" spans="1:25" x14ac:dyDescent="0.25">
      <c r="A584" t="s">
        <v>879</v>
      </c>
      <c r="E584" t="s">
        <v>19</v>
      </c>
      <c r="F584" t="s">
        <v>15</v>
      </c>
      <c r="G584" t="s">
        <v>1066</v>
      </c>
      <c r="H584" t="s">
        <v>1067</v>
      </c>
      <c r="K584" t="s">
        <v>712</v>
      </c>
      <c r="L584" t="s">
        <v>68</v>
      </c>
      <c r="M584" t="s">
        <v>21</v>
      </c>
      <c r="N584" s="4">
        <v>10677</v>
      </c>
      <c r="O584" s="4">
        <v>88</v>
      </c>
      <c r="P584" s="4">
        <v>7247</v>
      </c>
      <c r="Q584" s="4">
        <v>10338</v>
      </c>
      <c r="R584" s="4">
        <v>3</v>
      </c>
      <c r="S584" s="3">
        <v>1483.452706</v>
      </c>
      <c r="T584" s="3">
        <f t="shared" si="56"/>
        <v>494.48423533333334</v>
      </c>
      <c r="U584" s="5">
        <f t="shared" si="60"/>
        <v>3.4090909090909088E-2</v>
      </c>
      <c r="V584" s="5">
        <f t="shared" si="57"/>
        <v>8.2420155474384194E-3</v>
      </c>
      <c r="W584" s="3">
        <f t="shared" si="58"/>
        <v>16.857417113636362</v>
      </c>
      <c r="X584" s="3">
        <f t="shared" si="59"/>
        <v>138.93909394024539</v>
      </c>
      <c r="Y584" s="7">
        <f t="shared" si="61"/>
        <v>0.70100599729154578</v>
      </c>
    </row>
    <row r="585" spans="1:25" x14ac:dyDescent="0.25">
      <c r="A585" t="s">
        <v>111</v>
      </c>
      <c r="B585" t="s">
        <v>193</v>
      </c>
      <c r="C585" t="s">
        <v>880</v>
      </c>
      <c r="E585" t="s">
        <v>14</v>
      </c>
      <c r="F585" t="s">
        <v>44</v>
      </c>
      <c r="G585" t="s">
        <v>1062</v>
      </c>
      <c r="H585" t="s">
        <v>1063</v>
      </c>
      <c r="K585" t="s">
        <v>219</v>
      </c>
      <c r="L585" t="s">
        <v>89</v>
      </c>
      <c r="M585" t="s">
        <v>21</v>
      </c>
      <c r="N585" s="4">
        <v>67752</v>
      </c>
      <c r="O585" s="4">
        <v>174</v>
      </c>
      <c r="P585" s="4">
        <v>47126</v>
      </c>
      <c r="Q585" s="4">
        <v>65080</v>
      </c>
      <c r="R585" s="4">
        <v>3</v>
      </c>
      <c r="S585" s="3">
        <v>1557.0157300000001</v>
      </c>
      <c r="T585" s="3">
        <f t="shared" si="56"/>
        <v>519.0052433333334</v>
      </c>
      <c r="U585" s="5">
        <f t="shared" si="60"/>
        <v>1.7241379310344827E-2</v>
      </c>
      <c r="V585" s="5">
        <f t="shared" si="57"/>
        <v>2.5681898689337585E-3</v>
      </c>
      <c r="W585" s="3">
        <f t="shared" si="58"/>
        <v>8.9483662643678166</v>
      </c>
      <c r="X585" s="3">
        <f t="shared" si="59"/>
        <v>22.981103583658047</v>
      </c>
      <c r="Y585" s="7">
        <f t="shared" si="61"/>
        <v>0.72412415488629378</v>
      </c>
    </row>
    <row r="586" spans="1:25" x14ac:dyDescent="0.25">
      <c r="A586" t="s">
        <v>833</v>
      </c>
      <c r="B586" t="s">
        <v>881</v>
      </c>
      <c r="C586" t="s">
        <v>882</v>
      </c>
      <c r="E586" t="s">
        <v>14</v>
      </c>
      <c r="F586" t="s">
        <v>26</v>
      </c>
      <c r="G586" t="s">
        <v>1081</v>
      </c>
      <c r="H586" t="s">
        <v>1080</v>
      </c>
      <c r="K586" t="s">
        <v>742</v>
      </c>
      <c r="L586" t="s">
        <v>17</v>
      </c>
      <c r="M586" t="s">
        <v>29</v>
      </c>
      <c r="N586" s="4">
        <v>34278</v>
      </c>
      <c r="O586" s="4">
        <v>100</v>
      </c>
      <c r="P586" s="4">
        <v>3704</v>
      </c>
      <c r="Q586" s="4">
        <v>30227</v>
      </c>
      <c r="R586" s="4">
        <v>6</v>
      </c>
      <c r="S586" s="3">
        <v>1689.0831860000001</v>
      </c>
      <c r="T586" s="3">
        <f t="shared" si="56"/>
        <v>281.51386433333334</v>
      </c>
      <c r="U586" s="5">
        <f t="shared" si="60"/>
        <v>0.06</v>
      </c>
      <c r="V586" s="5">
        <f t="shared" si="57"/>
        <v>2.9173230643561466E-3</v>
      </c>
      <c r="W586" s="3">
        <f t="shared" si="58"/>
        <v>16.890831860000002</v>
      </c>
      <c r="X586" s="3">
        <f t="shared" si="59"/>
        <v>49.276013361339636</v>
      </c>
      <c r="Y586" s="7">
        <f t="shared" si="61"/>
        <v>0.12253945148377278</v>
      </c>
    </row>
    <row r="587" spans="1:25" x14ac:dyDescent="0.25">
      <c r="A587" t="s">
        <v>833</v>
      </c>
      <c r="B587" t="s">
        <v>883</v>
      </c>
      <c r="C587" t="s">
        <v>884</v>
      </c>
      <c r="E587" t="s">
        <v>19</v>
      </c>
      <c r="F587" t="s">
        <v>26</v>
      </c>
      <c r="G587" t="s">
        <v>1086</v>
      </c>
      <c r="H587" t="s">
        <v>1063</v>
      </c>
      <c r="K587" t="s">
        <v>387</v>
      </c>
      <c r="L587" t="s">
        <v>17</v>
      </c>
      <c r="M587" t="s">
        <v>21</v>
      </c>
      <c r="N587" s="4">
        <v>11025</v>
      </c>
      <c r="O587" s="4">
        <v>50</v>
      </c>
      <c r="P587" s="4">
        <v>7974</v>
      </c>
      <c r="Q587" s="4">
        <v>10311</v>
      </c>
      <c r="R587" s="4">
        <v>4</v>
      </c>
      <c r="S587" s="3">
        <v>1657.159766</v>
      </c>
      <c r="T587" s="3">
        <f t="shared" si="56"/>
        <v>414.2899415</v>
      </c>
      <c r="U587" s="5">
        <f t="shared" si="60"/>
        <v>0.08</v>
      </c>
      <c r="V587" s="5">
        <f t="shared" si="57"/>
        <v>4.5351473922902496E-3</v>
      </c>
      <c r="W587" s="3">
        <f t="shared" si="58"/>
        <v>33.143195319999997</v>
      </c>
      <c r="X587" s="3">
        <f t="shared" si="59"/>
        <v>150.30927582766441</v>
      </c>
      <c r="Y587" s="7">
        <f t="shared" si="61"/>
        <v>0.77334885074192605</v>
      </c>
    </row>
    <row r="588" spans="1:25" x14ac:dyDescent="0.25">
      <c r="A588" t="s">
        <v>833</v>
      </c>
      <c r="B588" t="s">
        <v>885</v>
      </c>
      <c r="C588" t="s">
        <v>886</v>
      </c>
      <c r="E588" t="s">
        <v>19</v>
      </c>
      <c r="F588" t="s">
        <v>15</v>
      </c>
      <c r="G588" t="s">
        <v>1072</v>
      </c>
      <c r="H588" t="s">
        <v>1065</v>
      </c>
      <c r="K588" t="s">
        <v>240</v>
      </c>
      <c r="L588" t="s">
        <v>68</v>
      </c>
      <c r="M588" t="s">
        <v>21</v>
      </c>
      <c r="N588" s="4">
        <v>13293</v>
      </c>
      <c r="O588" s="4">
        <v>74</v>
      </c>
      <c r="P588" s="4">
        <v>9054</v>
      </c>
      <c r="Q588" s="4">
        <v>12676</v>
      </c>
      <c r="R588" s="4">
        <v>5</v>
      </c>
      <c r="S588" s="3">
        <v>2901.2095089999998</v>
      </c>
      <c r="T588" s="3">
        <f t="shared" si="56"/>
        <v>580.24190179999994</v>
      </c>
      <c r="U588" s="5">
        <f t="shared" si="60"/>
        <v>6.7567567567567571E-2</v>
      </c>
      <c r="V588" s="5">
        <f t="shared" si="57"/>
        <v>5.5668396900624391E-3</v>
      </c>
      <c r="W588" s="3">
        <f t="shared" si="58"/>
        <v>39.205533905405403</v>
      </c>
      <c r="X588" s="3">
        <f t="shared" si="59"/>
        <v>218.25092221469944</v>
      </c>
      <c r="Y588" s="7">
        <f t="shared" si="61"/>
        <v>0.71426317450299781</v>
      </c>
    </row>
    <row r="589" spans="1:25" x14ac:dyDescent="0.25">
      <c r="A589" t="s">
        <v>833</v>
      </c>
      <c r="B589" t="s">
        <v>885</v>
      </c>
      <c r="C589" t="s">
        <v>887</v>
      </c>
      <c r="E589" t="s">
        <v>19</v>
      </c>
      <c r="F589" t="s">
        <v>33</v>
      </c>
      <c r="G589" t="s">
        <v>1086</v>
      </c>
      <c r="H589" t="s">
        <v>1063</v>
      </c>
      <c r="K589" t="s">
        <v>91</v>
      </c>
      <c r="L589" t="s">
        <v>17</v>
      </c>
      <c r="M589" t="s">
        <v>21</v>
      </c>
      <c r="N589" s="4">
        <v>292885</v>
      </c>
      <c r="O589" s="4">
        <v>796</v>
      </c>
      <c r="P589" s="4">
        <v>12733</v>
      </c>
      <c r="Q589" s="4">
        <v>203986</v>
      </c>
      <c r="R589" s="4">
        <v>4</v>
      </c>
      <c r="S589" s="3">
        <v>1503.9130540000001</v>
      </c>
      <c r="T589" s="3">
        <f t="shared" si="56"/>
        <v>375.97826350000003</v>
      </c>
      <c r="U589" s="5">
        <f t="shared" si="60"/>
        <v>5.0251256281407036E-3</v>
      </c>
      <c r="V589" s="5">
        <f t="shared" si="57"/>
        <v>2.7177902589753658E-3</v>
      </c>
      <c r="W589" s="3">
        <f t="shared" si="58"/>
        <v>1.8893380075376887</v>
      </c>
      <c r="X589" s="3">
        <f t="shared" si="59"/>
        <v>5.1348244327978563</v>
      </c>
      <c r="Y589" s="7">
        <f t="shared" si="61"/>
        <v>6.2420950457384328E-2</v>
      </c>
    </row>
    <row r="590" spans="1:25" x14ac:dyDescent="0.25">
      <c r="A590" t="s">
        <v>833</v>
      </c>
      <c r="B590" t="s">
        <v>885</v>
      </c>
      <c r="C590" t="s">
        <v>888</v>
      </c>
      <c r="E590" t="s">
        <v>14</v>
      </c>
      <c r="F590" t="s">
        <v>33</v>
      </c>
      <c r="G590" t="s">
        <v>1087</v>
      </c>
      <c r="H590" t="s">
        <v>1074</v>
      </c>
      <c r="K590" t="s">
        <v>889</v>
      </c>
      <c r="L590" t="s">
        <v>17</v>
      </c>
      <c r="M590" t="s">
        <v>21</v>
      </c>
      <c r="N590" s="4">
        <v>10485</v>
      </c>
      <c r="O590" s="4">
        <v>84</v>
      </c>
      <c r="P590" s="4">
        <v>4255</v>
      </c>
      <c r="Q590" s="4">
        <v>7669</v>
      </c>
      <c r="R590" s="4">
        <v>2</v>
      </c>
      <c r="S590" s="3">
        <v>2239.262819</v>
      </c>
      <c r="T590" s="3">
        <f t="shared" si="56"/>
        <v>1119.6314095</v>
      </c>
      <c r="U590" s="5">
        <f t="shared" si="60"/>
        <v>2.3809523809523808E-2</v>
      </c>
      <c r="V590" s="5">
        <f t="shared" si="57"/>
        <v>8.0114449213161652E-3</v>
      </c>
      <c r="W590" s="3">
        <f t="shared" si="58"/>
        <v>26.657890702380953</v>
      </c>
      <c r="X590" s="3">
        <f t="shared" si="59"/>
        <v>213.56822308059131</v>
      </c>
      <c r="Y590" s="7">
        <f t="shared" si="61"/>
        <v>0.55483113834919806</v>
      </c>
    </row>
    <row r="591" spans="1:25" x14ac:dyDescent="0.25">
      <c r="A591" t="s">
        <v>833</v>
      </c>
      <c r="B591" t="s">
        <v>885</v>
      </c>
      <c r="C591" t="s">
        <v>890</v>
      </c>
      <c r="E591" t="s">
        <v>19</v>
      </c>
      <c r="F591" t="s">
        <v>33</v>
      </c>
      <c r="G591" t="s">
        <v>1066</v>
      </c>
      <c r="H591" t="s">
        <v>1067</v>
      </c>
      <c r="K591" t="s">
        <v>249</v>
      </c>
      <c r="L591" t="s">
        <v>17</v>
      </c>
      <c r="M591" t="s">
        <v>21</v>
      </c>
      <c r="N591" s="4">
        <v>20899</v>
      </c>
      <c r="O591" s="4">
        <v>20</v>
      </c>
      <c r="P591" s="4">
        <v>11394</v>
      </c>
      <c r="Q591" s="4">
        <v>19576</v>
      </c>
      <c r="R591" s="4">
        <v>19</v>
      </c>
      <c r="S591" s="3">
        <v>1649.459852</v>
      </c>
      <c r="T591" s="3">
        <f t="shared" si="56"/>
        <v>86.813676421052634</v>
      </c>
      <c r="U591" s="5">
        <f t="shared" si="60"/>
        <v>0.95</v>
      </c>
      <c r="V591" s="5">
        <f t="shared" si="57"/>
        <v>9.5698358773147038E-4</v>
      </c>
      <c r="W591" s="3">
        <f t="shared" si="58"/>
        <v>82.472992599999998</v>
      </c>
      <c r="X591" s="3">
        <f t="shared" si="59"/>
        <v>78.925300349299008</v>
      </c>
      <c r="Y591" s="7">
        <f t="shared" si="61"/>
        <v>0.58203923171230076</v>
      </c>
    </row>
    <row r="592" spans="1:25" x14ac:dyDescent="0.25">
      <c r="A592" t="s">
        <v>833</v>
      </c>
      <c r="B592" t="s">
        <v>885</v>
      </c>
      <c r="C592" t="s">
        <v>891</v>
      </c>
      <c r="E592" t="s">
        <v>19</v>
      </c>
      <c r="F592" t="s">
        <v>33</v>
      </c>
      <c r="G592" t="s">
        <v>1085</v>
      </c>
      <c r="H592" t="s">
        <v>1065</v>
      </c>
      <c r="K592" t="s">
        <v>191</v>
      </c>
      <c r="L592" t="s">
        <v>17</v>
      </c>
      <c r="M592" t="s">
        <v>21</v>
      </c>
      <c r="N592" s="4">
        <v>31003</v>
      </c>
      <c r="O592" s="4">
        <v>87</v>
      </c>
      <c r="P592" s="4">
        <v>12591</v>
      </c>
      <c r="Q592" s="4">
        <v>22656</v>
      </c>
      <c r="R592" s="4">
        <v>8</v>
      </c>
      <c r="S592" s="3">
        <v>2294.0037779999998</v>
      </c>
      <c r="T592" s="3">
        <f t="shared" si="56"/>
        <v>286.75047224999997</v>
      </c>
      <c r="U592" s="5">
        <f t="shared" si="60"/>
        <v>9.1954022988505746E-2</v>
      </c>
      <c r="V592" s="5">
        <f t="shared" si="57"/>
        <v>2.806180047092217E-3</v>
      </c>
      <c r="W592" s="3">
        <f t="shared" si="58"/>
        <v>26.367859517241378</v>
      </c>
      <c r="X592" s="3">
        <f t="shared" si="59"/>
        <v>73.992961261813377</v>
      </c>
      <c r="Y592" s="7">
        <f t="shared" si="61"/>
        <v>0.55574682203389836</v>
      </c>
    </row>
    <row r="593" spans="1:25" x14ac:dyDescent="0.25">
      <c r="A593" t="s">
        <v>833</v>
      </c>
      <c r="B593" t="s">
        <v>883</v>
      </c>
      <c r="C593" t="s">
        <v>892</v>
      </c>
      <c r="E593" t="s">
        <v>19</v>
      </c>
      <c r="F593" t="s">
        <v>44</v>
      </c>
      <c r="G593" t="s">
        <v>1070</v>
      </c>
      <c r="H593" t="s">
        <v>1071</v>
      </c>
      <c r="K593" t="s">
        <v>24</v>
      </c>
      <c r="L593" t="s">
        <v>17</v>
      </c>
      <c r="M593" t="s">
        <v>21</v>
      </c>
      <c r="N593" s="4">
        <v>297347</v>
      </c>
      <c r="O593" s="4">
        <v>751</v>
      </c>
      <c r="P593" s="4">
        <v>166412</v>
      </c>
      <c r="Q593" s="4">
        <v>251319</v>
      </c>
      <c r="R593" s="4">
        <v>4</v>
      </c>
      <c r="S593" s="3">
        <v>2255.5224090000002</v>
      </c>
      <c r="T593" s="3">
        <f t="shared" si="56"/>
        <v>563.88060225000004</v>
      </c>
      <c r="U593" s="5">
        <f t="shared" si="60"/>
        <v>5.3262316910785623E-3</v>
      </c>
      <c r="V593" s="5">
        <f t="shared" si="57"/>
        <v>2.5256686632116683E-3</v>
      </c>
      <c r="W593" s="3">
        <f t="shared" si="58"/>
        <v>3.0033587336884158</v>
      </c>
      <c r="X593" s="3">
        <f t="shared" si="59"/>
        <v>7.5854890380599098</v>
      </c>
      <c r="Y593" s="7">
        <f t="shared" si="61"/>
        <v>0.66215447300044961</v>
      </c>
    </row>
    <row r="594" spans="1:25" x14ac:dyDescent="0.25">
      <c r="A594" t="s">
        <v>833</v>
      </c>
      <c r="B594" t="s">
        <v>883</v>
      </c>
      <c r="C594" t="s">
        <v>893</v>
      </c>
      <c r="E594" t="s">
        <v>19</v>
      </c>
      <c r="F594" t="s">
        <v>33</v>
      </c>
      <c r="G594" t="s">
        <v>1078</v>
      </c>
      <c r="H594" t="s">
        <v>1065</v>
      </c>
      <c r="K594" t="s">
        <v>894</v>
      </c>
      <c r="L594" t="s">
        <v>25</v>
      </c>
      <c r="M594" t="s">
        <v>21</v>
      </c>
      <c r="N594" s="4">
        <v>14379</v>
      </c>
      <c r="O594" s="4">
        <v>30</v>
      </c>
      <c r="P594" s="4">
        <v>6272</v>
      </c>
      <c r="Q594" s="4">
        <v>11886</v>
      </c>
      <c r="R594" s="4">
        <v>18</v>
      </c>
      <c r="S594" s="3">
        <v>1973.5622330000001</v>
      </c>
      <c r="T594" s="3">
        <f t="shared" si="56"/>
        <v>109.64234627777779</v>
      </c>
      <c r="U594" s="5">
        <f t="shared" si="60"/>
        <v>0.6</v>
      </c>
      <c r="V594" s="5">
        <f t="shared" si="57"/>
        <v>2.0863759649488839E-3</v>
      </c>
      <c r="W594" s="3">
        <f t="shared" si="58"/>
        <v>65.785407766666665</v>
      </c>
      <c r="X594" s="3">
        <f t="shared" si="59"/>
        <v>137.25309360873499</v>
      </c>
      <c r="Y594" s="7">
        <f t="shared" si="61"/>
        <v>0.52767962308598348</v>
      </c>
    </row>
    <row r="595" spans="1:25" x14ac:dyDescent="0.25">
      <c r="A595" t="s">
        <v>833</v>
      </c>
      <c r="B595" t="s">
        <v>895</v>
      </c>
      <c r="C595" t="s">
        <v>896</v>
      </c>
      <c r="E595" t="s">
        <v>23</v>
      </c>
      <c r="F595" t="s">
        <v>15</v>
      </c>
      <c r="G595" t="s">
        <v>1066</v>
      </c>
      <c r="H595" t="s">
        <v>1067</v>
      </c>
      <c r="K595" t="s">
        <v>369</v>
      </c>
      <c r="L595" t="s">
        <v>68</v>
      </c>
      <c r="M595" t="s">
        <v>21</v>
      </c>
      <c r="N595" s="4">
        <v>72117</v>
      </c>
      <c r="O595" s="4">
        <v>187</v>
      </c>
      <c r="P595" s="4">
        <v>9807</v>
      </c>
      <c r="Q595" s="4">
        <v>68568</v>
      </c>
      <c r="R595" s="4">
        <v>16</v>
      </c>
      <c r="S595" s="3">
        <v>1702.3172059999999</v>
      </c>
      <c r="T595" s="3">
        <f t="shared" si="56"/>
        <v>106.394825375</v>
      </c>
      <c r="U595" s="5">
        <f t="shared" si="60"/>
        <v>8.5561497326203204E-2</v>
      </c>
      <c r="V595" s="5">
        <f t="shared" si="57"/>
        <v>2.5930085832744014E-3</v>
      </c>
      <c r="W595" s="3">
        <f t="shared" si="58"/>
        <v>9.1033005668449203</v>
      </c>
      <c r="X595" s="3">
        <f t="shared" si="59"/>
        <v>23.6049365059556</v>
      </c>
      <c r="Y595" s="7">
        <f t="shared" si="61"/>
        <v>0.14302590129506476</v>
      </c>
    </row>
    <row r="596" spans="1:25" x14ac:dyDescent="0.25">
      <c r="A596" t="s">
        <v>833</v>
      </c>
      <c r="B596" t="s">
        <v>881</v>
      </c>
      <c r="C596" t="s">
        <v>897</v>
      </c>
      <c r="E596" t="s">
        <v>19</v>
      </c>
      <c r="F596" t="s">
        <v>15</v>
      </c>
      <c r="G596" t="s">
        <v>1066</v>
      </c>
      <c r="H596" t="s">
        <v>1067</v>
      </c>
      <c r="K596" t="s">
        <v>100</v>
      </c>
      <c r="L596" t="s">
        <v>371</v>
      </c>
      <c r="M596" t="s">
        <v>21</v>
      </c>
      <c r="N596" s="4">
        <v>34959</v>
      </c>
      <c r="O596" s="4">
        <v>122</v>
      </c>
      <c r="P596" s="4">
        <v>17511</v>
      </c>
      <c r="Q596" s="4">
        <v>31974</v>
      </c>
      <c r="R596" s="4">
        <v>5</v>
      </c>
      <c r="S596" s="3">
        <v>1477.4933570000001</v>
      </c>
      <c r="T596" s="3">
        <f t="shared" si="56"/>
        <v>295.49867140000003</v>
      </c>
      <c r="U596" s="5">
        <f t="shared" si="60"/>
        <v>4.0983606557377046E-2</v>
      </c>
      <c r="V596" s="5">
        <f t="shared" si="57"/>
        <v>3.4898023398838639E-3</v>
      </c>
      <c r="W596" s="3">
        <f t="shared" si="58"/>
        <v>12.110601286885247</v>
      </c>
      <c r="X596" s="3">
        <f t="shared" si="59"/>
        <v>42.263604708372668</v>
      </c>
      <c r="Y596" s="7">
        <f t="shared" si="61"/>
        <v>0.54766372677800712</v>
      </c>
    </row>
    <row r="597" spans="1:25" x14ac:dyDescent="0.25">
      <c r="A597" t="s">
        <v>833</v>
      </c>
      <c r="B597" t="s">
        <v>883</v>
      </c>
      <c r="C597" t="s">
        <v>898</v>
      </c>
      <c r="E597" t="s">
        <v>19</v>
      </c>
      <c r="F597" t="s">
        <v>26</v>
      </c>
      <c r="G597" t="s">
        <v>1086</v>
      </c>
      <c r="H597" t="s">
        <v>1063</v>
      </c>
      <c r="K597" t="s">
        <v>85</v>
      </c>
      <c r="L597" t="s">
        <v>25</v>
      </c>
      <c r="M597" t="s">
        <v>21</v>
      </c>
      <c r="N597" s="4">
        <v>64577</v>
      </c>
      <c r="O597" s="4">
        <v>240</v>
      </c>
      <c r="P597" s="4">
        <v>37732</v>
      </c>
      <c r="Q597" s="4">
        <v>60357</v>
      </c>
      <c r="R597" s="4">
        <v>11</v>
      </c>
      <c r="S597" s="3">
        <v>1801.3491309999999</v>
      </c>
      <c r="T597" s="3">
        <f t="shared" si="56"/>
        <v>163.7590119090909</v>
      </c>
      <c r="U597" s="5">
        <f t="shared" si="60"/>
        <v>4.583333333333333E-2</v>
      </c>
      <c r="V597" s="5">
        <f t="shared" si="57"/>
        <v>3.7164934883937004E-3</v>
      </c>
      <c r="W597" s="3">
        <f t="shared" si="58"/>
        <v>7.5056213791666666</v>
      </c>
      <c r="X597" s="3">
        <f t="shared" si="59"/>
        <v>27.894592982021464</v>
      </c>
      <c r="Y597" s="7">
        <f t="shared" si="61"/>
        <v>0.62514704176814617</v>
      </c>
    </row>
    <row r="598" spans="1:25" x14ac:dyDescent="0.25">
      <c r="A598" t="s">
        <v>774</v>
      </c>
      <c r="B598" t="s">
        <v>899</v>
      </c>
      <c r="C598" t="s">
        <v>900</v>
      </c>
      <c r="E598" t="s">
        <v>14</v>
      </c>
      <c r="F598" t="s">
        <v>44</v>
      </c>
      <c r="G598" t="s">
        <v>1070</v>
      </c>
      <c r="H598" t="s">
        <v>1071</v>
      </c>
      <c r="K598" t="s">
        <v>45</v>
      </c>
      <c r="L598" t="s">
        <v>68</v>
      </c>
      <c r="M598" t="s">
        <v>21</v>
      </c>
      <c r="N598" s="4">
        <v>56945</v>
      </c>
      <c r="O598" s="4">
        <v>152</v>
      </c>
      <c r="P598" s="4">
        <v>20750</v>
      </c>
      <c r="Q598" s="4">
        <v>50714</v>
      </c>
      <c r="R598" s="4">
        <v>9</v>
      </c>
      <c r="S598" s="3">
        <v>5144.4743710000002</v>
      </c>
      <c r="T598" s="3">
        <f t="shared" si="56"/>
        <v>571.60826344444445</v>
      </c>
      <c r="U598" s="5">
        <f t="shared" si="60"/>
        <v>5.921052631578947E-2</v>
      </c>
      <c r="V598" s="5">
        <f t="shared" si="57"/>
        <v>2.6692422512951093E-3</v>
      </c>
      <c r="W598" s="3">
        <f t="shared" si="58"/>
        <v>33.845226125000003</v>
      </c>
      <c r="X598" s="3">
        <f t="shared" si="59"/>
        <v>90.341107577487051</v>
      </c>
      <c r="Y598" s="7">
        <f t="shared" si="61"/>
        <v>0.40915723468864612</v>
      </c>
    </row>
    <row r="599" spans="1:25" x14ac:dyDescent="0.25">
      <c r="A599" t="s">
        <v>774</v>
      </c>
      <c r="B599" t="s">
        <v>899</v>
      </c>
      <c r="C599" t="s">
        <v>901</v>
      </c>
      <c r="E599" t="s">
        <v>19</v>
      </c>
      <c r="F599" t="s">
        <v>26</v>
      </c>
      <c r="G599" t="s">
        <v>1072</v>
      </c>
      <c r="H599" t="s">
        <v>1065</v>
      </c>
      <c r="K599" t="s">
        <v>215</v>
      </c>
      <c r="L599" t="s">
        <v>28</v>
      </c>
      <c r="M599" t="s">
        <v>21</v>
      </c>
      <c r="N599" s="4">
        <v>149618</v>
      </c>
      <c r="O599" s="4">
        <v>260</v>
      </c>
      <c r="P599" s="4">
        <v>126031</v>
      </c>
      <c r="Q599" s="4">
        <v>140596</v>
      </c>
      <c r="R599" s="4">
        <v>26</v>
      </c>
      <c r="S599" s="3">
        <v>6605.5861580000001</v>
      </c>
      <c r="T599" s="3">
        <f t="shared" si="56"/>
        <v>254.06100607692309</v>
      </c>
      <c r="U599" s="5">
        <f t="shared" si="60"/>
        <v>0.1</v>
      </c>
      <c r="V599" s="5">
        <f t="shared" si="57"/>
        <v>1.7377588258097288E-3</v>
      </c>
      <c r="W599" s="3">
        <f t="shared" si="58"/>
        <v>25.406100607692309</v>
      </c>
      <c r="X599" s="3">
        <f t="shared" si="59"/>
        <v>44.149675560427227</v>
      </c>
      <c r="Y599" s="7">
        <f t="shared" si="61"/>
        <v>0.89640530313806932</v>
      </c>
    </row>
    <row r="600" spans="1:25" x14ac:dyDescent="0.25">
      <c r="A600" t="s">
        <v>774</v>
      </c>
      <c r="B600" t="s">
        <v>899</v>
      </c>
      <c r="C600" t="s">
        <v>902</v>
      </c>
      <c r="E600" t="s">
        <v>19</v>
      </c>
      <c r="F600" t="s">
        <v>44</v>
      </c>
      <c r="G600" t="s">
        <v>1062</v>
      </c>
      <c r="H600" t="s">
        <v>1063</v>
      </c>
      <c r="K600" t="s">
        <v>903</v>
      </c>
      <c r="L600" t="s">
        <v>73</v>
      </c>
      <c r="M600" t="s">
        <v>21</v>
      </c>
      <c r="N600" s="4">
        <v>40447</v>
      </c>
      <c r="O600" s="4">
        <v>177</v>
      </c>
      <c r="P600" s="4">
        <v>16663</v>
      </c>
      <c r="Q600" s="4">
        <v>29774</v>
      </c>
      <c r="R600" s="4">
        <v>12</v>
      </c>
      <c r="S600" s="3">
        <v>5083.8862730000001</v>
      </c>
      <c r="T600" s="3">
        <f t="shared" si="56"/>
        <v>423.65718941666665</v>
      </c>
      <c r="U600" s="5">
        <f t="shared" si="60"/>
        <v>6.7796610169491525E-2</v>
      </c>
      <c r="V600" s="5">
        <f t="shared" si="57"/>
        <v>4.3760971147427498E-3</v>
      </c>
      <c r="W600" s="3">
        <f t="shared" si="58"/>
        <v>28.722521316384181</v>
      </c>
      <c r="X600" s="3">
        <f t="shared" si="59"/>
        <v>125.69254266076594</v>
      </c>
      <c r="Y600" s="7">
        <f t="shared" si="61"/>
        <v>0.5596493585007053</v>
      </c>
    </row>
    <row r="601" spans="1:25" x14ac:dyDescent="0.25">
      <c r="A601" t="s">
        <v>774</v>
      </c>
      <c r="B601" t="s">
        <v>899</v>
      </c>
      <c r="C601" t="s">
        <v>904</v>
      </c>
      <c r="E601" t="s">
        <v>19</v>
      </c>
      <c r="F601" t="s">
        <v>26</v>
      </c>
      <c r="G601" t="s">
        <v>1066</v>
      </c>
      <c r="H601" t="s">
        <v>1067</v>
      </c>
      <c r="K601" t="s">
        <v>219</v>
      </c>
      <c r="L601" t="s">
        <v>17</v>
      </c>
      <c r="M601" t="s">
        <v>21</v>
      </c>
      <c r="N601" s="4">
        <v>19093</v>
      </c>
      <c r="O601" s="4">
        <v>50</v>
      </c>
      <c r="P601" s="4">
        <v>9626</v>
      </c>
      <c r="Q601" s="4">
        <v>17815</v>
      </c>
      <c r="R601" s="4">
        <v>10</v>
      </c>
      <c r="S601" s="3">
        <v>6612.1456900000003</v>
      </c>
      <c r="T601" s="3">
        <f t="shared" si="56"/>
        <v>661.21456899999998</v>
      </c>
      <c r="U601" s="5">
        <f t="shared" si="60"/>
        <v>0.2</v>
      </c>
      <c r="V601" s="5">
        <f t="shared" si="57"/>
        <v>2.6187608023883098E-3</v>
      </c>
      <c r="W601" s="3">
        <f t="shared" si="58"/>
        <v>132.2429138</v>
      </c>
      <c r="X601" s="3">
        <f t="shared" si="59"/>
        <v>346.31255905305613</v>
      </c>
      <c r="Y601" s="7">
        <f t="shared" si="61"/>
        <v>0.54033118158854898</v>
      </c>
    </row>
    <row r="602" spans="1:25" x14ac:dyDescent="0.25">
      <c r="A602" t="s">
        <v>774</v>
      </c>
      <c r="B602" t="s">
        <v>899</v>
      </c>
      <c r="C602" t="s">
        <v>905</v>
      </c>
      <c r="E602" t="s">
        <v>14</v>
      </c>
      <c r="F602" t="s">
        <v>33</v>
      </c>
      <c r="G602" t="s">
        <v>1070</v>
      </c>
      <c r="H602" t="s">
        <v>1071</v>
      </c>
      <c r="K602" t="s">
        <v>906</v>
      </c>
      <c r="L602" t="s">
        <v>25</v>
      </c>
      <c r="M602" t="s">
        <v>21</v>
      </c>
      <c r="N602" s="4">
        <v>8217</v>
      </c>
      <c r="O602" s="4">
        <v>25</v>
      </c>
      <c r="P602" s="4">
        <v>5740</v>
      </c>
      <c r="Q602" s="4">
        <v>8009</v>
      </c>
      <c r="R602" s="4">
        <v>11</v>
      </c>
      <c r="S602" s="3">
        <v>6051.3346229999997</v>
      </c>
      <c r="T602" s="3">
        <f t="shared" si="56"/>
        <v>550.12132936363639</v>
      </c>
      <c r="U602" s="5">
        <f t="shared" si="60"/>
        <v>0.44</v>
      </c>
      <c r="V602" s="5">
        <f t="shared" si="57"/>
        <v>3.0424729219909945E-3</v>
      </c>
      <c r="W602" s="3">
        <f t="shared" si="58"/>
        <v>242.05338491999998</v>
      </c>
      <c r="X602" s="3">
        <f t="shared" si="59"/>
        <v>736.4408692953632</v>
      </c>
      <c r="Y602" s="7">
        <f t="shared" si="61"/>
        <v>0.71669371956548877</v>
      </c>
    </row>
    <row r="603" spans="1:25" x14ac:dyDescent="0.25">
      <c r="A603" t="s">
        <v>774</v>
      </c>
      <c r="B603" t="s">
        <v>756</v>
      </c>
      <c r="E603" t="s">
        <v>19</v>
      </c>
      <c r="F603" t="s">
        <v>44</v>
      </c>
      <c r="G603" t="s">
        <v>1073</v>
      </c>
      <c r="H603" t="s">
        <v>1074</v>
      </c>
      <c r="K603" t="s">
        <v>747</v>
      </c>
      <c r="L603" t="s">
        <v>17</v>
      </c>
      <c r="M603" t="s">
        <v>21</v>
      </c>
      <c r="N603" s="4">
        <v>18633</v>
      </c>
      <c r="O603" s="4">
        <v>60</v>
      </c>
      <c r="P603" s="4">
        <v>9424</v>
      </c>
      <c r="Q603" s="4">
        <v>18087</v>
      </c>
      <c r="R603" s="4">
        <v>15</v>
      </c>
      <c r="S603" s="3">
        <v>6785.0632930000002</v>
      </c>
      <c r="T603" s="3">
        <f t="shared" si="56"/>
        <v>452.33755286666667</v>
      </c>
      <c r="U603" s="5">
        <f t="shared" si="60"/>
        <v>0.25</v>
      </c>
      <c r="V603" s="5">
        <f t="shared" si="57"/>
        <v>3.2200933827080985E-3</v>
      </c>
      <c r="W603" s="3">
        <f t="shared" si="58"/>
        <v>113.08438821666667</v>
      </c>
      <c r="X603" s="3">
        <f t="shared" si="59"/>
        <v>364.14229018408201</v>
      </c>
      <c r="Y603" s="7">
        <f t="shared" si="61"/>
        <v>0.52103720904517059</v>
      </c>
    </row>
    <row r="604" spans="1:25" x14ac:dyDescent="0.25">
      <c r="A604" t="s">
        <v>774</v>
      </c>
      <c r="B604" t="s">
        <v>907</v>
      </c>
      <c r="C604" t="s">
        <v>908</v>
      </c>
      <c r="E604" t="s">
        <v>14</v>
      </c>
      <c r="F604" t="s">
        <v>33</v>
      </c>
      <c r="G604" t="s">
        <v>1073</v>
      </c>
      <c r="H604" t="s">
        <v>1074</v>
      </c>
      <c r="K604" t="s">
        <v>45</v>
      </c>
      <c r="L604" t="s">
        <v>17</v>
      </c>
      <c r="M604" t="s">
        <v>21</v>
      </c>
      <c r="N604" s="4">
        <v>23983</v>
      </c>
      <c r="O604" s="4">
        <v>0</v>
      </c>
      <c r="P604" s="4">
        <v>464</v>
      </c>
      <c r="Q604" s="4">
        <v>19802</v>
      </c>
      <c r="R604" s="4">
        <v>9</v>
      </c>
      <c r="S604" s="3">
        <v>4574.3482700000004</v>
      </c>
      <c r="T604" s="3">
        <f t="shared" si="56"/>
        <v>508.26091888888891</v>
      </c>
      <c r="U604" s="5" t="e">
        <f t="shared" si="60"/>
        <v>#DIV/0!</v>
      </c>
      <c r="V604" s="5">
        <f t="shared" si="57"/>
        <v>0</v>
      </c>
      <c r="W604" s="3" t="e">
        <f t="shared" si="58"/>
        <v>#DIV/0!</v>
      </c>
      <c r="X604" s="3">
        <f t="shared" si="59"/>
        <v>190.73294708752033</v>
      </c>
      <c r="Y604" s="7">
        <f t="shared" si="61"/>
        <v>2.3431976568023431E-2</v>
      </c>
    </row>
    <row r="605" spans="1:25" x14ac:dyDescent="0.25">
      <c r="A605" t="s">
        <v>774</v>
      </c>
      <c r="B605" t="s">
        <v>710</v>
      </c>
      <c r="C605" t="s">
        <v>909</v>
      </c>
      <c r="E605" t="s">
        <v>14</v>
      </c>
      <c r="F605" t="s">
        <v>26</v>
      </c>
      <c r="G605" t="s">
        <v>1073</v>
      </c>
      <c r="H605" t="s">
        <v>1074</v>
      </c>
      <c r="K605" t="s">
        <v>223</v>
      </c>
      <c r="L605" t="s">
        <v>25</v>
      </c>
      <c r="M605" t="s">
        <v>21</v>
      </c>
      <c r="N605" s="4">
        <v>7229</v>
      </c>
      <c r="O605" s="4">
        <v>20</v>
      </c>
      <c r="P605" s="4">
        <v>5668</v>
      </c>
      <c r="Q605" s="4">
        <v>6760</v>
      </c>
      <c r="R605" s="4">
        <v>3</v>
      </c>
      <c r="S605" s="3">
        <v>6812.588702</v>
      </c>
      <c r="T605" s="3">
        <f t="shared" si="56"/>
        <v>2270.8629006666665</v>
      </c>
      <c r="U605" s="5">
        <f t="shared" si="60"/>
        <v>0.15</v>
      </c>
      <c r="V605" s="5">
        <f t="shared" si="57"/>
        <v>2.7666343892654584E-3</v>
      </c>
      <c r="W605" s="3">
        <f t="shared" si="58"/>
        <v>340.62943510000002</v>
      </c>
      <c r="X605" s="3">
        <f t="shared" si="59"/>
        <v>942.39710914372665</v>
      </c>
      <c r="Y605" s="7">
        <f t="shared" si="61"/>
        <v>0.83846153846153848</v>
      </c>
    </row>
    <row r="606" spans="1:25" x14ac:dyDescent="0.25">
      <c r="A606" t="s">
        <v>774</v>
      </c>
      <c r="B606" t="s">
        <v>710</v>
      </c>
      <c r="C606" t="s">
        <v>910</v>
      </c>
      <c r="E606" t="s">
        <v>14</v>
      </c>
      <c r="F606" t="s">
        <v>33</v>
      </c>
      <c r="G606" t="s">
        <v>1079</v>
      </c>
      <c r="H606" t="s">
        <v>1080</v>
      </c>
      <c r="K606" t="s">
        <v>42</v>
      </c>
      <c r="L606" t="s">
        <v>92</v>
      </c>
      <c r="M606" t="s">
        <v>29</v>
      </c>
      <c r="N606" s="4">
        <v>30460</v>
      </c>
      <c r="O606" s="4">
        <v>95</v>
      </c>
      <c r="P606" s="4">
        <v>21830</v>
      </c>
      <c r="Q606" s="4">
        <v>27750</v>
      </c>
      <c r="R606" s="4">
        <v>25</v>
      </c>
      <c r="S606" s="3">
        <v>6643.9665420000001</v>
      </c>
      <c r="T606" s="3">
        <f t="shared" si="56"/>
        <v>265.75866167999999</v>
      </c>
      <c r="U606" s="5">
        <f t="shared" si="60"/>
        <v>0.26315789473684209</v>
      </c>
      <c r="V606" s="5">
        <f t="shared" si="57"/>
        <v>3.1188443860801049E-3</v>
      </c>
      <c r="W606" s="3">
        <f t="shared" si="58"/>
        <v>69.93648991578948</v>
      </c>
      <c r="X606" s="3">
        <f t="shared" si="59"/>
        <v>218.12102895600788</v>
      </c>
      <c r="Y606" s="7">
        <f t="shared" si="61"/>
        <v>0.78666666666666663</v>
      </c>
    </row>
    <row r="607" spans="1:25" x14ac:dyDescent="0.25">
      <c r="A607" t="s">
        <v>774</v>
      </c>
      <c r="B607" t="s">
        <v>710</v>
      </c>
      <c r="C607" t="s">
        <v>911</v>
      </c>
      <c r="E607" t="s">
        <v>19</v>
      </c>
      <c r="F607" t="s">
        <v>33</v>
      </c>
      <c r="G607" t="s">
        <v>1121</v>
      </c>
      <c r="H607" t="s">
        <v>1122</v>
      </c>
      <c r="K607" t="s">
        <v>912</v>
      </c>
      <c r="L607" t="s">
        <v>115</v>
      </c>
      <c r="M607" t="s">
        <v>21</v>
      </c>
      <c r="N607" s="4">
        <v>117879</v>
      </c>
      <c r="O607" s="4">
        <v>390</v>
      </c>
      <c r="P607" s="4">
        <v>52098</v>
      </c>
      <c r="Q607" s="4">
        <v>86127</v>
      </c>
      <c r="R607" s="4">
        <v>1</v>
      </c>
      <c r="S607" s="3">
        <v>5102.7067290000005</v>
      </c>
      <c r="T607" s="3">
        <f t="shared" si="56"/>
        <v>5102.7067290000005</v>
      </c>
      <c r="U607" s="5">
        <f t="shared" si="60"/>
        <v>2.5641025641025641E-3</v>
      </c>
      <c r="V607" s="5">
        <f t="shared" si="57"/>
        <v>3.3084773369302422E-3</v>
      </c>
      <c r="W607" s="3">
        <f t="shared" si="58"/>
        <v>13.083863407692309</v>
      </c>
      <c r="X607" s="3">
        <f t="shared" si="59"/>
        <v>43.287665563840896</v>
      </c>
      <c r="Y607" s="7">
        <f t="shared" si="61"/>
        <v>0.60489741892786231</v>
      </c>
    </row>
    <row r="608" spans="1:25" x14ac:dyDescent="0.25">
      <c r="A608" t="s">
        <v>774</v>
      </c>
      <c r="B608" t="s">
        <v>907</v>
      </c>
      <c r="C608" t="s">
        <v>845</v>
      </c>
      <c r="E608" t="s">
        <v>19</v>
      </c>
      <c r="F608" t="s">
        <v>26</v>
      </c>
      <c r="G608" t="s">
        <v>1066</v>
      </c>
      <c r="H608" t="s">
        <v>1067</v>
      </c>
      <c r="K608" t="s">
        <v>913</v>
      </c>
      <c r="L608" t="s">
        <v>783</v>
      </c>
      <c r="M608" t="s">
        <v>21</v>
      </c>
      <c r="N608" s="4">
        <v>13655</v>
      </c>
      <c r="O608" s="4">
        <v>66</v>
      </c>
      <c r="P608" s="4">
        <v>9519</v>
      </c>
      <c r="Q608" s="4">
        <v>13041</v>
      </c>
      <c r="R608" s="4">
        <v>3</v>
      </c>
      <c r="S608" s="3">
        <v>1475.2451189999999</v>
      </c>
      <c r="T608" s="3">
        <f t="shared" si="56"/>
        <v>491.74837299999996</v>
      </c>
      <c r="U608" s="5">
        <f t="shared" si="60"/>
        <v>4.5454545454545456E-2</v>
      </c>
      <c r="V608" s="5">
        <f t="shared" si="57"/>
        <v>4.8333943610399119E-3</v>
      </c>
      <c r="W608" s="3">
        <f t="shared" si="58"/>
        <v>22.35219877272727</v>
      </c>
      <c r="X608" s="3">
        <f t="shared" si="59"/>
        <v>108.03699150494324</v>
      </c>
      <c r="Y608" s="7">
        <f t="shared" si="61"/>
        <v>0.72992868645042563</v>
      </c>
    </row>
    <row r="609" spans="1:25" x14ac:dyDescent="0.25">
      <c r="A609" t="s">
        <v>774</v>
      </c>
      <c r="B609" t="s">
        <v>710</v>
      </c>
      <c r="C609" t="s">
        <v>914</v>
      </c>
      <c r="E609" t="s">
        <v>19</v>
      </c>
      <c r="F609" t="s">
        <v>44</v>
      </c>
      <c r="G609" t="s">
        <v>1070</v>
      </c>
      <c r="H609" t="s">
        <v>1071</v>
      </c>
      <c r="K609" t="s">
        <v>42</v>
      </c>
      <c r="L609" t="s">
        <v>17</v>
      </c>
      <c r="M609" t="s">
        <v>21</v>
      </c>
      <c r="N609" s="4">
        <v>7514</v>
      </c>
      <c r="O609" s="4">
        <v>20</v>
      </c>
      <c r="P609" s="4">
        <v>2646</v>
      </c>
      <c r="Q609" s="4">
        <v>3373</v>
      </c>
      <c r="R609" s="4">
        <v>3</v>
      </c>
      <c r="S609" s="3">
        <v>6756.2951789999997</v>
      </c>
      <c r="T609" s="3">
        <f t="shared" si="56"/>
        <v>2252.0983929999998</v>
      </c>
      <c r="U609" s="5">
        <f t="shared" si="60"/>
        <v>0.15</v>
      </c>
      <c r="V609" s="5">
        <f t="shared" si="57"/>
        <v>2.6616981634282671E-3</v>
      </c>
      <c r="W609" s="3">
        <f t="shared" si="58"/>
        <v>337.81475895</v>
      </c>
      <c r="X609" s="3">
        <f t="shared" si="59"/>
        <v>899.1609234761778</v>
      </c>
      <c r="Y609" s="7">
        <f t="shared" si="61"/>
        <v>0.7844648680699674</v>
      </c>
    </row>
    <row r="610" spans="1:25" x14ac:dyDescent="0.25">
      <c r="A610" t="s">
        <v>774</v>
      </c>
      <c r="B610" t="s">
        <v>710</v>
      </c>
      <c r="C610" t="s">
        <v>915</v>
      </c>
      <c r="E610" t="s">
        <v>14</v>
      </c>
      <c r="F610" t="s">
        <v>26</v>
      </c>
      <c r="G610" t="s">
        <v>1087</v>
      </c>
      <c r="H610" t="s">
        <v>1074</v>
      </c>
      <c r="K610" t="s">
        <v>24</v>
      </c>
      <c r="L610" t="s">
        <v>64</v>
      </c>
      <c r="M610" t="s">
        <v>29</v>
      </c>
      <c r="N610" s="4">
        <v>117518</v>
      </c>
      <c r="O610" s="4">
        <v>299</v>
      </c>
      <c r="P610" s="4">
        <v>66458</v>
      </c>
      <c r="Q610" s="4">
        <v>86571</v>
      </c>
      <c r="R610" s="4">
        <v>1</v>
      </c>
      <c r="S610" s="3">
        <v>5999.9937810000001</v>
      </c>
      <c r="T610" s="3">
        <f t="shared" si="56"/>
        <v>5999.9937810000001</v>
      </c>
      <c r="U610" s="5">
        <f t="shared" si="60"/>
        <v>3.3444816053511705E-3</v>
      </c>
      <c r="V610" s="5">
        <f t="shared" si="57"/>
        <v>2.5442910873227933E-3</v>
      </c>
      <c r="W610" s="3">
        <f t="shared" si="58"/>
        <v>20.066868832775921</v>
      </c>
      <c r="X610" s="3">
        <f t="shared" si="59"/>
        <v>51.055955521707318</v>
      </c>
      <c r="Y610" s="7">
        <f t="shared" si="61"/>
        <v>0.76767046701551322</v>
      </c>
    </row>
    <row r="611" spans="1:25" x14ac:dyDescent="0.25">
      <c r="A611" t="s">
        <v>774</v>
      </c>
      <c r="B611" t="s">
        <v>916</v>
      </c>
      <c r="E611" t="s">
        <v>19</v>
      </c>
      <c r="F611" t="s">
        <v>33</v>
      </c>
      <c r="G611" t="s">
        <v>1100</v>
      </c>
      <c r="H611" t="s">
        <v>1071</v>
      </c>
      <c r="K611" t="s">
        <v>798</v>
      </c>
      <c r="L611" t="s">
        <v>17</v>
      </c>
      <c r="M611" t="s">
        <v>21</v>
      </c>
      <c r="N611" s="4">
        <v>22180</v>
      </c>
      <c r="O611" s="4">
        <v>60</v>
      </c>
      <c r="P611" s="4">
        <v>4835</v>
      </c>
      <c r="Q611" s="4">
        <v>19291</v>
      </c>
      <c r="R611" s="4">
        <v>9</v>
      </c>
      <c r="S611" s="3">
        <v>1441.631095</v>
      </c>
      <c r="T611" s="3">
        <f t="shared" si="56"/>
        <v>160.18123277777778</v>
      </c>
      <c r="U611" s="5">
        <f t="shared" si="60"/>
        <v>0.15</v>
      </c>
      <c r="V611" s="5">
        <f t="shared" si="57"/>
        <v>2.7051397655545538E-3</v>
      </c>
      <c r="W611" s="3">
        <f t="shared" si="58"/>
        <v>24.027184916666666</v>
      </c>
      <c r="X611" s="3">
        <f t="shared" si="59"/>
        <v>64.996893372407584</v>
      </c>
      <c r="Y611" s="7">
        <f t="shared" si="61"/>
        <v>0.25063501114509357</v>
      </c>
    </row>
    <row r="612" spans="1:25" x14ac:dyDescent="0.25">
      <c r="A612" t="s">
        <v>774</v>
      </c>
      <c r="B612" t="s">
        <v>917</v>
      </c>
      <c r="E612" t="s">
        <v>19</v>
      </c>
      <c r="F612" t="s">
        <v>44</v>
      </c>
      <c r="G612" t="s">
        <v>1096</v>
      </c>
      <c r="H612" t="s">
        <v>1097</v>
      </c>
      <c r="K612" t="s">
        <v>249</v>
      </c>
      <c r="L612" t="s">
        <v>25</v>
      </c>
      <c r="M612" t="s">
        <v>21</v>
      </c>
      <c r="N612" s="4">
        <v>8204</v>
      </c>
      <c r="O612" s="4">
        <v>20</v>
      </c>
      <c r="P612" s="4">
        <v>1348</v>
      </c>
      <c r="Q612" s="4">
        <v>7832</v>
      </c>
      <c r="R612" s="4">
        <v>1</v>
      </c>
      <c r="S612" s="3">
        <v>5973.3798919999999</v>
      </c>
      <c r="T612" s="3">
        <f t="shared" si="56"/>
        <v>5973.3798919999999</v>
      </c>
      <c r="U612" s="5">
        <f t="shared" si="60"/>
        <v>0.05</v>
      </c>
      <c r="V612" s="5">
        <f t="shared" si="57"/>
        <v>2.4378352023403218E-3</v>
      </c>
      <c r="W612" s="3">
        <f t="shared" si="58"/>
        <v>298.66899460000002</v>
      </c>
      <c r="X612" s="3">
        <f t="shared" si="59"/>
        <v>728.1057888834714</v>
      </c>
      <c r="Y612" s="7">
        <f t="shared" si="61"/>
        <v>0.1721144024514811</v>
      </c>
    </row>
    <row r="613" spans="1:25" x14ac:dyDescent="0.25">
      <c r="A613" t="s">
        <v>774</v>
      </c>
      <c r="B613" t="s">
        <v>702</v>
      </c>
      <c r="C613" t="s">
        <v>918</v>
      </c>
      <c r="E613" t="s">
        <v>14</v>
      </c>
      <c r="F613" t="s">
        <v>15</v>
      </c>
      <c r="G613" t="s">
        <v>1073</v>
      </c>
      <c r="H613" t="s">
        <v>1074</v>
      </c>
      <c r="K613" t="s">
        <v>515</v>
      </c>
      <c r="L613" t="s">
        <v>145</v>
      </c>
      <c r="M613" t="s">
        <v>18</v>
      </c>
      <c r="N613" s="4">
        <v>10066</v>
      </c>
      <c r="O613" s="4">
        <v>63</v>
      </c>
      <c r="P613" s="4">
        <v>6978</v>
      </c>
      <c r="Q613" s="4">
        <v>9369</v>
      </c>
      <c r="R613" s="4">
        <v>19</v>
      </c>
      <c r="S613" s="3">
        <v>6879.5870969999996</v>
      </c>
      <c r="T613" s="3">
        <f t="shared" si="56"/>
        <v>362.08353142105261</v>
      </c>
      <c r="U613" s="5">
        <f t="shared" si="60"/>
        <v>0.30158730158730157</v>
      </c>
      <c r="V613" s="5">
        <f t="shared" si="57"/>
        <v>6.2586926286509036E-3</v>
      </c>
      <c r="W613" s="3">
        <f t="shared" si="58"/>
        <v>109.19979519047618</v>
      </c>
      <c r="X613" s="3">
        <f t="shared" si="59"/>
        <v>683.44795320882179</v>
      </c>
      <c r="Y613" s="7">
        <f t="shared" si="61"/>
        <v>0.74479666986871595</v>
      </c>
    </row>
    <row r="614" spans="1:25" x14ac:dyDescent="0.25">
      <c r="A614" t="s">
        <v>774</v>
      </c>
      <c r="B614" t="s">
        <v>702</v>
      </c>
      <c r="C614" t="s">
        <v>919</v>
      </c>
      <c r="E614" t="s">
        <v>14</v>
      </c>
      <c r="F614" t="s">
        <v>33</v>
      </c>
      <c r="G614" t="s">
        <v>1066</v>
      </c>
      <c r="H614" t="s">
        <v>1067</v>
      </c>
      <c r="K614" t="s">
        <v>610</v>
      </c>
      <c r="L614" t="s">
        <v>89</v>
      </c>
      <c r="M614" t="s">
        <v>29</v>
      </c>
      <c r="N614" s="4">
        <v>19379</v>
      </c>
      <c r="O614" s="4">
        <v>49</v>
      </c>
      <c r="P614" s="4">
        <v>12168</v>
      </c>
      <c r="Q614" s="4">
        <v>16616</v>
      </c>
      <c r="R614" s="4">
        <v>97</v>
      </c>
      <c r="S614" s="3">
        <v>7294.1000009999998</v>
      </c>
      <c r="T614" s="3">
        <f t="shared" si="56"/>
        <v>75.196907226804115</v>
      </c>
      <c r="U614" s="5">
        <f t="shared" si="60"/>
        <v>1.9795918367346939</v>
      </c>
      <c r="V614" s="5">
        <f t="shared" si="57"/>
        <v>2.528510243046597E-3</v>
      </c>
      <c r="W614" s="3">
        <f t="shared" si="58"/>
        <v>148.85918369387755</v>
      </c>
      <c r="X614" s="3">
        <f t="shared" si="59"/>
        <v>376.39197074152429</v>
      </c>
      <c r="Y614" s="7">
        <f t="shared" si="61"/>
        <v>0.7323062108810785</v>
      </c>
    </row>
    <row r="615" spans="1:25" x14ac:dyDescent="0.25">
      <c r="A615" t="s">
        <v>774</v>
      </c>
      <c r="B615" t="s">
        <v>702</v>
      </c>
      <c r="C615" t="s">
        <v>920</v>
      </c>
      <c r="E615" t="s">
        <v>14</v>
      </c>
      <c r="F615" t="s">
        <v>26</v>
      </c>
      <c r="G615" t="s">
        <v>1066</v>
      </c>
      <c r="H615" t="s">
        <v>1067</v>
      </c>
      <c r="K615" t="s">
        <v>191</v>
      </c>
      <c r="L615" t="s">
        <v>25</v>
      </c>
      <c r="M615" t="s">
        <v>21</v>
      </c>
      <c r="N615" s="4">
        <v>1956642</v>
      </c>
      <c r="O615" s="4">
        <v>4563</v>
      </c>
      <c r="P615" s="4">
        <v>981461</v>
      </c>
      <c r="Q615" s="4">
        <v>1731673</v>
      </c>
      <c r="R615" s="4">
        <v>106</v>
      </c>
      <c r="S615" s="3">
        <v>7730.240616</v>
      </c>
      <c r="T615" s="3">
        <f t="shared" si="56"/>
        <v>72.926798264150946</v>
      </c>
      <c r="U615" s="5">
        <f t="shared" si="60"/>
        <v>2.3230330922638615E-2</v>
      </c>
      <c r="V615" s="5">
        <f t="shared" si="57"/>
        <v>2.3320566562508626E-3</v>
      </c>
      <c r="W615" s="3">
        <f t="shared" si="58"/>
        <v>1.6941136568047337</v>
      </c>
      <c r="X615" s="3">
        <f t="shared" si="59"/>
        <v>3.9507690297969686</v>
      </c>
      <c r="Y615" s="7">
        <f t="shared" si="61"/>
        <v>0.56677040064723538</v>
      </c>
    </row>
    <row r="616" spans="1:25" x14ac:dyDescent="0.25">
      <c r="A616" t="s">
        <v>774</v>
      </c>
      <c r="B616" t="s">
        <v>702</v>
      </c>
      <c r="C616" t="s">
        <v>921</v>
      </c>
      <c r="E616" t="s">
        <v>19</v>
      </c>
      <c r="F616" t="s">
        <v>33</v>
      </c>
      <c r="G616" t="s">
        <v>1073</v>
      </c>
      <c r="H616" t="s">
        <v>1074</v>
      </c>
      <c r="K616" t="s">
        <v>24</v>
      </c>
      <c r="L616" t="s">
        <v>89</v>
      </c>
      <c r="M616" t="s">
        <v>21</v>
      </c>
      <c r="N616" s="4">
        <v>458931</v>
      </c>
      <c r="O616" s="4">
        <v>974</v>
      </c>
      <c r="P616" s="4">
        <v>264325</v>
      </c>
      <c r="Q616" s="4">
        <v>378011</v>
      </c>
      <c r="R616" s="4">
        <v>30</v>
      </c>
      <c r="S616" s="3">
        <v>7462.6779349999997</v>
      </c>
      <c r="T616" s="3">
        <f t="shared" si="56"/>
        <v>248.75593116666667</v>
      </c>
      <c r="U616" s="5">
        <f t="shared" si="60"/>
        <v>3.0800821355236138E-2</v>
      </c>
      <c r="V616" s="5">
        <f t="shared" si="57"/>
        <v>2.1223233993781202E-3</v>
      </c>
      <c r="W616" s="3">
        <f t="shared" si="58"/>
        <v>7.6618869969199173</v>
      </c>
      <c r="X616" s="3">
        <f t="shared" si="59"/>
        <v>16.261002056954094</v>
      </c>
      <c r="Y616" s="7">
        <f t="shared" si="61"/>
        <v>0.69925213816529153</v>
      </c>
    </row>
    <row r="617" spans="1:25" x14ac:dyDescent="0.25">
      <c r="A617" t="s">
        <v>774</v>
      </c>
      <c r="B617" t="s">
        <v>702</v>
      </c>
      <c r="C617" t="s">
        <v>703</v>
      </c>
      <c r="E617" t="s">
        <v>19</v>
      </c>
      <c r="F617" t="s">
        <v>44</v>
      </c>
      <c r="G617" t="s">
        <v>1066</v>
      </c>
      <c r="H617" t="s">
        <v>1067</v>
      </c>
      <c r="K617" t="s">
        <v>317</v>
      </c>
      <c r="L617" t="s">
        <v>92</v>
      </c>
      <c r="M617" t="s">
        <v>21</v>
      </c>
      <c r="N617" s="4">
        <v>19334</v>
      </c>
      <c r="O617" s="4">
        <v>40</v>
      </c>
      <c r="P617" s="4">
        <v>8673</v>
      </c>
      <c r="Q617" s="4">
        <v>18578</v>
      </c>
      <c r="R617" s="4">
        <v>11</v>
      </c>
      <c r="S617" s="3">
        <v>7292.1350590000002</v>
      </c>
      <c r="T617" s="3">
        <f t="shared" si="56"/>
        <v>662.92136900000003</v>
      </c>
      <c r="U617" s="5">
        <f t="shared" si="60"/>
        <v>0.27500000000000002</v>
      </c>
      <c r="V617" s="5">
        <f t="shared" si="57"/>
        <v>2.0688941760628942E-3</v>
      </c>
      <c r="W617" s="3">
        <f t="shared" si="58"/>
        <v>182.30337647499999</v>
      </c>
      <c r="X617" s="3">
        <f t="shared" si="59"/>
        <v>377.16639386572876</v>
      </c>
      <c r="Y617" s="7">
        <f t="shared" si="61"/>
        <v>0.46684250188394877</v>
      </c>
    </row>
    <row r="618" spans="1:25" x14ac:dyDescent="0.25">
      <c r="A618" t="s">
        <v>774</v>
      </c>
      <c r="B618" t="s">
        <v>917</v>
      </c>
      <c r="C618" t="s">
        <v>922</v>
      </c>
      <c r="E618" t="s">
        <v>19</v>
      </c>
      <c r="F618" t="s">
        <v>44</v>
      </c>
      <c r="G618" t="s">
        <v>1106</v>
      </c>
      <c r="H618" t="s">
        <v>1097</v>
      </c>
      <c r="K618" t="s">
        <v>117</v>
      </c>
      <c r="L618" t="s">
        <v>17</v>
      </c>
      <c r="M618" t="s">
        <v>21</v>
      </c>
      <c r="N618" s="4">
        <v>74516</v>
      </c>
      <c r="O618" s="4">
        <v>200</v>
      </c>
      <c r="P618" s="4">
        <v>23985</v>
      </c>
      <c r="Q618" s="4">
        <v>63853</v>
      </c>
      <c r="R618" s="4">
        <v>24</v>
      </c>
      <c r="S618" s="3">
        <v>1523.783909</v>
      </c>
      <c r="T618" s="3">
        <f t="shared" si="56"/>
        <v>63.490996208333335</v>
      </c>
      <c r="U618" s="5">
        <f t="shared" si="60"/>
        <v>0.12</v>
      </c>
      <c r="V618" s="5">
        <f t="shared" si="57"/>
        <v>2.683987331579795E-3</v>
      </c>
      <c r="W618" s="3">
        <f t="shared" si="58"/>
        <v>7.6189195449999998</v>
      </c>
      <c r="X618" s="3">
        <f t="shared" si="59"/>
        <v>20.449083539105693</v>
      </c>
      <c r="Y618" s="7">
        <f t="shared" si="61"/>
        <v>0.37562839647314927</v>
      </c>
    </row>
    <row r="619" spans="1:25" x14ac:dyDescent="0.25">
      <c r="A619" t="s">
        <v>774</v>
      </c>
      <c r="B619" t="s">
        <v>923</v>
      </c>
      <c r="C619" t="s">
        <v>924</v>
      </c>
      <c r="E619" t="s">
        <v>19</v>
      </c>
      <c r="F619" t="s">
        <v>26</v>
      </c>
      <c r="G619" t="s">
        <v>1075</v>
      </c>
      <c r="H619" t="s">
        <v>1074</v>
      </c>
      <c r="K619" t="s">
        <v>747</v>
      </c>
      <c r="L619" t="s">
        <v>17</v>
      </c>
      <c r="M619" t="s">
        <v>21</v>
      </c>
      <c r="N619" s="4">
        <v>29251</v>
      </c>
      <c r="O619" s="4">
        <v>95</v>
      </c>
      <c r="P619" s="4">
        <v>25060</v>
      </c>
      <c r="Q619" s="4">
        <v>28038</v>
      </c>
      <c r="R619" s="4">
        <v>8</v>
      </c>
      <c r="S619" s="3">
        <v>5994.7468339999996</v>
      </c>
      <c r="T619" s="3">
        <f t="shared" si="56"/>
        <v>749.34335424999995</v>
      </c>
      <c r="U619" s="5">
        <f t="shared" si="60"/>
        <v>8.4210526315789472E-2</v>
      </c>
      <c r="V619" s="5">
        <f t="shared" si="57"/>
        <v>3.2477522135995352E-3</v>
      </c>
      <c r="W619" s="3">
        <f t="shared" si="58"/>
        <v>63.102598252631573</v>
      </c>
      <c r="X619" s="3">
        <f t="shared" si="59"/>
        <v>204.94160315886634</v>
      </c>
      <c r="Y619" s="7">
        <f t="shared" si="61"/>
        <v>0.89378700335259287</v>
      </c>
    </row>
    <row r="620" spans="1:25" x14ac:dyDescent="0.25">
      <c r="A620" t="s">
        <v>774</v>
      </c>
      <c r="B620" t="s">
        <v>923</v>
      </c>
      <c r="C620" t="s">
        <v>925</v>
      </c>
      <c r="E620" t="s">
        <v>14</v>
      </c>
      <c r="F620" t="s">
        <v>44</v>
      </c>
      <c r="G620" t="s">
        <v>1070</v>
      </c>
      <c r="H620" t="s">
        <v>1071</v>
      </c>
      <c r="K620" t="s">
        <v>191</v>
      </c>
      <c r="L620" t="s">
        <v>17</v>
      </c>
      <c r="M620" t="s">
        <v>21</v>
      </c>
      <c r="N620" s="4">
        <v>470192</v>
      </c>
      <c r="O620" s="4">
        <v>940</v>
      </c>
      <c r="P620" s="4">
        <v>336480</v>
      </c>
      <c r="Q620" s="4">
        <v>443202</v>
      </c>
      <c r="R620" s="4">
        <v>3</v>
      </c>
      <c r="S620" s="3">
        <v>4963.9662509999998</v>
      </c>
      <c r="T620" s="3">
        <f t="shared" si="56"/>
        <v>1654.6554169999999</v>
      </c>
      <c r="U620" s="5">
        <f t="shared" si="60"/>
        <v>3.1914893617021275E-3</v>
      </c>
      <c r="V620" s="5">
        <f t="shared" si="57"/>
        <v>1.9991833123489977E-3</v>
      </c>
      <c r="W620" s="3">
        <f t="shared" si="58"/>
        <v>5.2808151606382978</v>
      </c>
      <c r="X620" s="3">
        <f t="shared" si="59"/>
        <v>10.557317544747677</v>
      </c>
      <c r="Y620" s="7">
        <f t="shared" si="61"/>
        <v>0.75920235016990001</v>
      </c>
    </row>
    <row r="621" spans="1:25" x14ac:dyDescent="0.25">
      <c r="A621" t="s">
        <v>774</v>
      </c>
      <c r="B621" t="s">
        <v>710</v>
      </c>
      <c r="C621" t="s">
        <v>926</v>
      </c>
      <c r="E621" t="s">
        <v>14</v>
      </c>
      <c r="F621" t="s">
        <v>33</v>
      </c>
      <c r="G621" t="s">
        <v>1078</v>
      </c>
      <c r="H621" t="s">
        <v>1065</v>
      </c>
      <c r="K621" t="s">
        <v>85</v>
      </c>
      <c r="L621" t="s">
        <v>68</v>
      </c>
      <c r="M621" t="s">
        <v>21</v>
      </c>
      <c r="N621" s="4">
        <v>69928</v>
      </c>
      <c r="O621" s="4">
        <v>210</v>
      </c>
      <c r="P621" s="4">
        <v>30196</v>
      </c>
      <c r="Q621" s="4">
        <v>62327</v>
      </c>
      <c r="R621" s="4">
        <v>9</v>
      </c>
      <c r="S621" s="3">
        <v>6318.4130850000001</v>
      </c>
      <c r="T621" s="3">
        <f t="shared" si="56"/>
        <v>702.0458983333333</v>
      </c>
      <c r="U621" s="5">
        <f t="shared" si="60"/>
        <v>4.2857142857142858E-2</v>
      </c>
      <c r="V621" s="5">
        <f t="shared" si="57"/>
        <v>3.0030888914311864E-3</v>
      </c>
      <c r="W621" s="3">
        <f t="shared" si="58"/>
        <v>30.087681357142859</v>
      </c>
      <c r="X621" s="3">
        <f t="shared" si="59"/>
        <v>90.355981652556906</v>
      </c>
      <c r="Y621" s="7">
        <f t="shared" si="61"/>
        <v>0.48447703242575446</v>
      </c>
    </row>
    <row r="622" spans="1:25" x14ac:dyDescent="0.25">
      <c r="A622" t="s">
        <v>774</v>
      </c>
      <c r="B622" t="s">
        <v>919</v>
      </c>
      <c r="C622" t="s">
        <v>927</v>
      </c>
      <c r="E622" t="s">
        <v>14</v>
      </c>
      <c r="F622" t="s">
        <v>15</v>
      </c>
      <c r="G622" t="s">
        <v>1066</v>
      </c>
      <c r="H622" t="s">
        <v>1067</v>
      </c>
      <c r="K622" t="s">
        <v>928</v>
      </c>
      <c r="L622" t="s">
        <v>28</v>
      </c>
      <c r="M622" t="s">
        <v>21</v>
      </c>
      <c r="N622" s="4">
        <v>13642</v>
      </c>
      <c r="O622" s="4">
        <v>40</v>
      </c>
      <c r="P622" s="4">
        <v>9830</v>
      </c>
      <c r="Q622" s="4">
        <v>11658</v>
      </c>
      <c r="R622" s="4">
        <v>3</v>
      </c>
      <c r="S622" s="3">
        <v>1731.2718480000001</v>
      </c>
      <c r="T622" s="3">
        <f t="shared" si="56"/>
        <v>577.09061600000007</v>
      </c>
      <c r="U622" s="5">
        <f t="shared" si="60"/>
        <v>7.4999999999999997E-2</v>
      </c>
      <c r="V622" s="5">
        <f t="shared" si="57"/>
        <v>2.9321213898255388E-3</v>
      </c>
      <c r="W622" s="3">
        <f t="shared" si="58"/>
        <v>43.281796200000002</v>
      </c>
      <c r="X622" s="3">
        <f t="shared" si="59"/>
        <v>126.90748042808971</v>
      </c>
      <c r="Y622" s="7">
        <f t="shared" si="61"/>
        <v>0.84319780408303313</v>
      </c>
    </row>
    <row r="623" spans="1:25" x14ac:dyDescent="0.25">
      <c r="A623" t="s">
        <v>774</v>
      </c>
      <c r="B623" t="s">
        <v>929</v>
      </c>
      <c r="E623" t="s">
        <v>14</v>
      </c>
      <c r="F623" t="s">
        <v>15</v>
      </c>
      <c r="G623" t="s">
        <v>1078</v>
      </c>
      <c r="H623" t="s">
        <v>1065</v>
      </c>
      <c r="K623" t="s">
        <v>480</v>
      </c>
      <c r="L623" t="s">
        <v>115</v>
      </c>
      <c r="M623" t="s">
        <v>21</v>
      </c>
      <c r="N623" s="4">
        <v>14599</v>
      </c>
      <c r="O623" s="4">
        <v>33</v>
      </c>
      <c r="P623" s="4">
        <v>1779</v>
      </c>
      <c r="Q623" s="4">
        <v>12458</v>
      </c>
      <c r="R623" s="4">
        <v>4</v>
      </c>
      <c r="S623" s="3">
        <v>5092.5592150000002</v>
      </c>
      <c r="T623" s="3">
        <f t="shared" si="56"/>
        <v>1273.1398037500001</v>
      </c>
      <c r="U623" s="5">
        <f t="shared" si="60"/>
        <v>0.12121212121212122</v>
      </c>
      <c r="V623" s="5">
        <f t="shared" si="57"/>
        <v>2.2604287964929103E-3</v>
      </c>
      <c r="W623" s="3">
        <f t="shared" si="58"/>
        <v>154.31997621212122</v>
      </c>
      <c r="X623" s="3">
        <f t="shared" si="59"/>
        <v>348.82931810397969</v>
      </c>
      <c r="Y623" s="7">
        <f t="shared" si="61"/>
        <v>0.14279980735270509</v>
      </c>
    </row>
    <row r="624" spans="1:25" x14ac:dyDescent="0.25">
      <c r="A624" t="s">
        <v>774</v>
      </c>
      <c r="B624" t="s">
        <v>930</v>
      </c>
      <c r="E624" t="s">
        <v>19</v>
      </c>
      <c r="F624" t="s">
        <v>44</v>
      </c>
      <c r="G624" t="s">
        <v>1088</v>
      </c>
      <c r="H624" t="s">
        <v>1065</v>
      </c>
      <c r="I624" t="s">
        <v>1089</v>
      </c>
      <c r="J624" t="s">
        <v>1090</v>
      </c>
      <c r="K624" t="s">
        <v>114</v>
      </c>
      <c r="L624" t="s">
        <v>68</v>
      </c>
      <c r="M624" t="s">
        <v>21</v>
      </c>
      <c r="N624" s="4">
        <v>45285</v>
      </c>
      <c r="O624" s="4">
        <v>190</v>
      </c>
      <c r="P624" s="4">
        <v>30225</v>
      </c>
      <c r="Q624" s="4">
        <v>43298</v>
      </c>
      <c r="R624" s="4">
        <v>11</v>
      </c>
      <c r="S624" s="3">
        <v>4728.0124059999998</v>
      </c>
      <c r="T624" s="3">
        <f t="shared" si="56"/>
        <v>429.81930963636364</v>
      </c>
      <c r="U624" s="5">
        <f t="shared" si="60"/>
        <v>5.7894736842105263E-2</v>
      </c>
      <c r="V624" s="5">
        <f t="shared" si="57"/>
        <v>4.1956497736557359E-3</v>
      </c>
      <c r="W624" s="3">
        <f t="shared" si="58"/>
        <v>24.884275821052629</v>
      </c>
      <c r="X624" s="3">
        <f t="shared" si="59"/>
        <v>104.40570621618637</v>
      </c>
      <c r="Y624" s="7">
        <f t="shared" si="61"/>
        <v>0.69806919488198071</v>
      </c>
    </row>
    <row r="625" spans="1:25" x14ac:dyDescent="0.25">
      <c r="A625" t="s">
        <v>774</v>
      </c>
      <c r="B625" t="s">
        <v>931</v>
      </c>
      <c r="E625" t="s">
        <v>14</v>
      </c>
      <c r="F625" t="s">
        <v>44</v>
      </c>
      <c r="G625" t="s">
        <v>1062</v>
      </c>
      <c r="H625" t="s">
        <v>1063</v>
      </c>
      <c r="K625" t="s">
        <v>91</v>
      </c>
      <c r="L625" t="s">
        <v>28</v>
      </c>
      <c r="M625" t="s">
        <v>21</v>
      </c>
      <c r="N625" s="4">
        <v>1109184</v>
      </c>
      <c r="O625" s="4">
        <v>3142</v>
      </c>
      <c r="P625" s="4">
        <v>83035</v>
      </c>
      <c r="Q625" s="4">
        <v>782482</v>
      </c>
      <c r="R625" s="4">
        <v>25</v>
      </c>
      <c r="S625" s="3">
        <v>7490.8607789999996</v>
      </c>
      <c r="T625" s="3">
        <f t="shared" si="56"/>
        <v>299.63443115999996</v>
      </c>
      <c r="U625" s="5">
        <f t="shared" si="60"/>
        <v>7.9567154678548691E-3</v>
      </c>
      <c r="V625" s="5">
        <f t="shared" si="57"/>
        <v>2.8327130575269747E-3</v>
      </c>
      <c r="W625" s="3">
        <f t="shared" si="58"/>
        <v>2.3841059131126672</v>
      </c>
      <c r="X625" s="3">
        <f t="shared" si="59"/>
        <v>6.7534879506015226</v>
      </c>
      <c r="Y625" s="7">
        <f t="shared" si="61"/>
        <v>0.10611745701498565</v>
      </c>
    </row>
    <row r="626" spans="1:25" x14ac:dyDescent="0.25">
      <c r="A626" t="s">
        <v>932</v>
      </c>
      <c r="E626" t="s">
        <v>19</v>
      </c>
      <c r="F626" t="s">
        <v>33</v>
      </c>
      <c r="G626" t="s">
        <v>1078</v>
      </c>
      <c r="H626" t="s">
        <v>1065</v>
      </c>
      <c r="K626" t="s">
        <v>184</v>
      </c>
      <c r="L626" t="s">
        <v>17</v>
      </c>
      <c r="M626" t="s">
        <v>21</v>
      </c>
      <c r="N626" s="4">
        <v>29092</v>
      </c>
      <c r="O626" s="4">
        <v>75</v>
      </c>
      <c r="P626" s="4">
        <v>16986</v>
      </c>
      <c r="Q626" s="4">
        <v>26606</v>
      </c>
      <c r="R626" s="4">
        <v>15</v>
      </c>
      <c r="S626" s="3">
        <v>1801.0581110000001</v>
      </c>
      <c r="T626" s="3">
        <f t="shared" si="56"/>
        <v>120.07054073333333</v>
      </c>
      <c r="U626" s="5">
        <f t="shared" si="60"/>
        <v>0.2</v>
      </c>
      <c r="V626" s="5">
        <f t="shared" si="57"/>
        <v>2.5780283239378522E-3</v>
      </c>
      <c r="W626" s="3">
        <f t="shared" si="58"/>
        <v>24.014108146666668</v>
      </c>
      <c r="X626" s="3">
        <f t="shared" si="59"/>
        <v>61.909050976213393</v>
      </c>
      <c r="Y626" s="7">
        <f t="shared" si="61"/>
        <v>0.63842742238592798</v>
      </c>
    </row>
    <row r="627" spans="1:25" x14ac:dyDescent="0.25">
      <c r="A627" t="s">
        <v>681</v>
      </c>
      <c r="B627" t="s">
        <v>663</v>
      </c>
      <c r="C627" t="s">
        <v>933</v>
      </c>
      <c r="D627" t="s">
        <v>934</v>
      </c>
      <c r="E627" t="s">
        <v>14</v>
      </c>
      <c r="F627" t="s">
        <v>26</v>
      </c>
      <c r="G627" t="s">
        <v>1066</v>
      </c>
      <c r="H627" t="s">
        <v>1067</v>
      </c>
      <c r="K627" t="s">
        <v>16</v>
      </c>
      <c r="L627" t="s">
        <v>17</v>
      </c>
      <c r="M627" t="s">
        <v>21</v>
      </c>
      <c r="N627" s="4">
        <v>312206</v>
      </c>
      <c r="O627" s="4">
        <v>841</v>
      </c>
      <c r="P627" s="4">
        <v>35661</v>
      </c>
      <c r="Q627" s="4">
        <v>292992</v>
      </c>
      <c r="R627" s="4">
        <v>5</v>
      </c>
      <c r="S627" s="3">
        <v>1550.938318</v>
      </c>
      <c r="T627" s="3">
        <f t="shared" si="56"/>
        <v>310.18766360000001</v>
      </c>
      <c r="U627" s="5">
        <f t="shared" si="60"/>
        <v>5.945303210463734E-3</v>
      </c>
      <c r="V627" s="5">
        <f t="shared" si="57"/>
        <v>2.6937342651966972E-3</v>
      </c>
      <c r="W627" s="3">
        <f t="shared" si="58"/>
        <v>1.8441597122473246</v>
      </c>
      <c r="X627" s="3">
        <f t="shared" si="59"/>
        <v>4.9676762073758995</v>
      </c>
      <c r="Y627" s="7">
        <f t="shared" si="61"/>
        <v>0.12171322083879424</v>
      </c>
    </row>
    <row r="628" spans="1:25" x14ac:dyDescent="0.25">
      <c r="A628" t="s">
        <v>935</v>
      </c>
      <c r="E628" t="s">
        <v>19</v>
      </c>
      <c r="F628" t="s">
        <v>44</v>
      </c>
      <c r="G628" t="s">
        <v>1140</v>
      </c>
      <c r="H628" t="s">
        <v>1095</v>
      </c>
      <c r="K628" t="s">
        <v>215</v>
      </c>
      <c r="L628" t="s">
        <v>17</v>
      </c>
      <c r="M628" t="s">
        <v>21</v>
      </c>
      <c r="N628" s="4">
        <v>65380</v>
      </c>
      <c r="O628" s="4">
        <v>208</v>
      </c>
      <c r="P628" s="4">
        <v>30039</v>
      </c>
      <c r="Q628" s="4">
        <v>60482</v>
      </c>
      <c r="R628" s="4">
        <v>5</v>
      </c>
      <c r="S628" s="3">
        <v>2905.8841619999998</v>
      </c>
      <c r="T628" s="3">
        <f t="shared" si="56"/>
        <v>581.17683239999997</v>
      </c>
      <c r="U628" s="5">
        <f t="shared" si="60"/>
        <v>2.403846153846154E-2</v>
      </c>
      <c r="V628" s="5">
        <f t="shared" si="57"/>
        <v>3.1814010400734167E-3</v>
      </c>
      <c r="W628" s="3">
        <f t="shared" si="58"/>
        <v>13.970596932692306</v>
      </c>
      <c r="X628" s="3">
        <f t="shared" si="59"/>
        <v>44.446071612113791</v>
      </c>
      <c r="Y628" s="7">
        <f t="shared" si="61"/>
        <v>0.49666016335438645</v>
      </c>
    </row>
    <row r="629" spans="1:25" x14ac:dyDescent="0.25">
      <c r="A629" t="s">
        <v>935</v>
      </c>
      <c r="B629" t="s">
        <v>936</v>
      </c>
      <c r="E629" t="s">
        <v>19</v>
      </c>
      <c r="F629" t="s">
        <v>33</v>
      </c>
      <c r="G629" t="s">
        <v>1088</v>
      </c>
      <c r="H629" t="s">
        <v>1065</v>
      </c>
      <c r="I629" t="s">
        <v>1089</v>
      </c>
      <c r="J629" t="s">
        <v>1090</v>
      </c>
      <c r="K629" t="s">
        <v>937</v>
      </c>
      <c r="L629" t="s">
        <v>17</v>
      </c>
      <c r="M629" t="s">
        <v>21</v>
      </c>
      <c r="N629" s="4">
        <v>29393</v>
      </c>
      <c r="O629" s="4">
        <v>70</v>
      </c>
      <c r="P629" s="4">
        <v>3277</v>
      </c>
      <c r="Q629" s="4">
        <v>25959</v>
      </c>
      <c r="R629" s="4">
        <v>19</v>
      </c>
      <c r="S629" s="3">
        <v>2120.7576979999999</v>
      </c>
      <c r="T629" s="3">
        <f t="shared" si="56"/>
        <v>111.61882621052631</v>
      </c>
      <c r="U629" s="5">
        <f t="shared" si="60"/>
        <v>0.27142857142857141</v>
      </c>
      <c r="V629" s="5">
        <f t="shared" si="57"/>
        <v>2.3815194093831865E-3</v>
      </c>
      <c r="W629" s="3">
        <f t="shared" si="58"/>
        <v>30.296538542857142</v>
      </c>
      <c r="X629" s="3">
        <f t="shared" si="59"/>
        <v>72.151794576940091</v>
      </c>
      <c r="Y629" s="7">
        <f t="shared" si="61"/>
        <v>0.12623752841018529</v>
      </c>
    </row>
    <row r="630" spans="1:25" x14ac:dyDescent="0.25">
      <c r="A630" t="s">
        <v>938</v>
      </c>
      <c r="B630" t="s">
        <v>939</v>
      </c>
      <c r="E630" t="s">
        <v>14</v>
      </c>
      <c r="F630" t="s">
        <v>15</v>
      </c>
      <c r="G630" t="s">
        <v>1079</v>
      </c>
      <c r="H630" t="s">
        <v>1080</v>
      </c>
      <c r="K630" t="s">
        <v>85</v>
      </c>
      <c r="L630" t="s">
        <v>89</v>
      </c>
      <c r="M630" t="s">
        <v>18</v>
      </c>
      <c r="N630" s="4">
        <v>11269</v>
      </c>
      <c r="O630" s="4">
        <v>63</v>
      </c>
      <c r="P630" s="4">
        <v>4992</v>
      </c>
      <c r="Q630" s="4">
        <v>10245</v>
      </c>
      <c r="R630" s="4">
        <v>3</v>
      </c>
      <c r="S630" s="3">
        <v>1576.38921</v>
      </c>
      <c r="T630" s="3">
        <f t="shared" si="56"/>
        <v>525.46307000000002</v>
      </c>
      <c r="U630" s="5">
        <f t="shared" si="60"/>
        <v>4.7619047619047616E-2</v>
      </c>
      <c r="V630" s="5">
        <f t="shared" si="57"/>
        <v>5.590558168426657E-3</v>
      </c>
      <c r="W630" s="3">
        <f t="shared" si="58"/>
        <v>25.022050952380955</v>
      </c>
      <c r="X630" s="3">
        <f t="shared" si="59"/>
        <v>139.88723134262136</v>
      </c>
      <c r="Y630" s="7">
        <f t="shared" si="61"/>
        <v>0.48726207906295754</v>
      </c>
    </row>
    <row r="631" spans="1:25" x14ac:dyDescent="0.25">
      <c r="A631" t="s">
        <v>940</v>
      </c>
      <c r="B631" t="s">
        <v>941</v>
      </c>
      <c r="E631" t="s">
        <v>14</v>
      </c>
      <c r="F631" t="s">
        <v>15</v>
      </c>
      <c r="G631" t="s">
        <v>1062</v>
      </c>
      <c r="H631" t="s">
        <v>1063</v>
      </c>
      <c r="K631" t="s">
        <v>42</v>
      </c>
      <c r="L631" t="s">
        <v>89</v>
      </c>
      <c r="M631" t="s">
        <v>21</v>
      </c>
      <c r="N631" s="4">
        <v>103665</v>
      </c>
      <c r="O631" s="4">
        <v>270</v>
      </c>
      <c r="P631" s="4">
        <v>77283</v>
      </c>
      <c r="Q631" s="4">
        <v>94019</v>
      </c>
      <c r="R631" s="4">
        <v>4</v>
      </c>
      <c r="S631" s="3">
        <v>5284.6855649999998</v>
      </c>
      <c r="T631" s="3">
        <f t="shared" si="56"/>
        <v>1321.1713912499999</v>
      </c>
      <c r="U631" s="5">
        <f t="shared" si="60"/>
        <v>1.4814814814814815E-2</v>
      </c>
      <c r="V631" s="5">
        <f t="shared" si="57"/>
        <v>2.6045434814064533E-3</v>
      </c>
      <c r="W631" s="3">
        <f t="shared" si="58"/>
        <v>19.572909499999998</v>
      </c>
      <c r="X631" s="3">
        <f t="shared" si="59"/>
        <v>50.978493850383444</v>
      </c>
      <c r="Y631" s="7">
        <f t="shared" si="61"/>
        <v>0.82199342686052823</v>
      </c>
    </row>
    <row r="632" spans="1:25" x14ac:dyDescent="0.25">
      <c r="A632" t="s">
        <v>940</v>
      </c>
      <c r="B632" t="s">
        <v>942</v>
      </c>
      <c r="E632" t="s">
        <v>19</v>
      </c>
      <c r="F632" t="s">
        <v>33</v>
      </c>
      <c r="G632" t="s">
        <v>1112</v>
      </c>
      <c r="H632" t="s">
        <v>1074</v>
      </c>
      <c r="K632" t="s">
        <v>906</v>
      </c>
      <c r="L632" t="s">
        <v>64</v>
      </c>
      <c r="M632" t="s">
        <v>21</v>
      </c>
      <c r="N632" s="4">
        <v>7530</v>
      </c>
      <c r="O632" s="4">
        <v>20</v>
      </c>
      <c r="P632" s="4">
        <v>5468</v>
      </c>
      <c r="Q632" s="4">
        <v>7298</v>
      </c>
      <c r="R632" s="4">
        <v>3</v>
      </c>
      <c r="S632" s="3">
        <v>5038.7140669999999</v>
      </c>
      <c r="T632" s="3">
        <f t="shared" si="56"/>
        <v>1679.5713556666667</v>
      </c>
      <c r="U632" s="5">
        <f t="shared" si="60"/>
        <v>0.15</v>
      </c>
      <c r="V632" s="5">
        <f t="shared" si="57"/>
        <v>2.6560424966799467E-3</v>
      </c>
      <c r="W632" s="3">
        <f t="shared" si="58"/>
        <v>251.93570334999998</v>
      </c>
      <c r="X632" s="3">
        <f t="shared" si="59"/>
        <v>669.15193452855249</v>
      </c>
      <c r="Y632" s="7">
        <f t="shared" si="61"/>
        <v>0.74924636886818308</v>
      </c>
    </row>
    <row r="633" spans="1:25" x14ac:dyDescent="0.25">
      <c r="A633" t="s">
        <v>940</v>
      </c>
      <c r="B633" t="s">
        <v>943</v>
      </c>
      <c r="C633" t="s">
        <v>944</v>
      </c>
      <c r="E633" t="s">
        <v>19</v>
      </c>
      <c r="F633" t="s">
        <v>44</v>
      </c>
      <c r="G633" t="s">
        <v>1066</v>
      </c>
      <c r="H633" t="s">
        <v>1067</v>
      </c>
      <c r="K633" t="s">
        <v>191</v>
      </c>
      <c r="L633" t="s">
        <v>28</v>
      </c>
      <c r="M633" t="s">
        <v>21</v>
      </c>
      <c r="N633" s="4">
        <v>1010148</v>
      </c>
      <c r="O633" s="4">
        <v>2874</v>
      </c>
      <c r="P633" s="4">
        <v>699834</v>
      </c>
      <c r="Q633" s="4">
        <v>955905</v>
      </c>
      <c r="R633" s="4">
        <v>31</v>
      </c>
      <c r="S633" s="3">
        <v>7788.7016210000002</v>
      </c>
      <c r="T633" s="3">
        <f t="shared" si="56"/>
        <v>251.24843938709677</v>
      </c>
      <c r="U633" s="5">
        <f t="shared" si="60"/>
        <v>1.0786360473208072E-2</v>
      </c>
      <c r="V633" s="5">
        <f t="shared" si="57"/>
        <v>2.8451276446619703E-3</v>
      </c>
      <c r="W633" s="3">
        <f t="shared" si="58"/>
        <v>2.7100562355601947</v>
      </c>
      <c r="X633" s="3">
        <f t="shared" si="59"/>
        <v>7.7104559143808631</v>
      </c>
      <c r="Y633" s="7">
        <f t="shared" si="61"/>
        <v>0.73211668523545748</v>
      </c>
    </row>
    <row r="634" spans="1:25" x14ac:dyDescent="0.25">
      <c r="A634" t="s">
        <v>940</v>
      </c>
      <c r="B634" t="s">
        <v>945</v>
      </c>
      <c r="E634" t="s">
        <v>19</v>
      </c>
      <c r="F634" t="s">
        <v>33</v>
      </c>
      <c r="G634" t="s">
        <v>1079</v>
      </c>
      <c r="H634" t="s">
        <v>1080</v>
      </c>
      <c r="K634" t="s">
        <v>946</v>
      </c>
      <c r="L634" t="s">
        <v>17</v>
      </c>
      <c r="M634" t="s">
        <v>21</v>
      </c>
      <c r="N634" s="4">
        <v>12161</v>
      </c>
      <c r="O634" s="4">
        <v>20</v>
      </c>
      <c r="P634" s="4">
        <v>6284</v>
      </c>
      <c r="Q634" s="4">
        <v>10919</v>
      </c>
      <c r="R634" s="4">
        <v>4</v>
      </c>
      <c r="S634" s="3">
        <v>7273.2659880000001</v>
      </c>
      <c r="T634" s="3">
        <f t="shared" si="56"/>
        <v>1818.316497</v>
      </c>
      <c r="U634" s="5">
        <f t="shared" si="60"/>
        <v>0.2</v>
      </c>
      <c r="V634" s="5">
        <f t="shared" si="57"/>
        <v>1.6446015952635473E-3</v>
      </c>
      <c r="W634" s="3">
        <f t="shared" si="58"/>
        <v>363.66329940000003</v>
      </c>
      <c r="X634" s="3">
        <f t="shared" si="59"/>
        <v>598.08124233204512</v>
      </c>
      <c r="Y634" s="7">
        <f t="shared" si="61"/>
        <v>0.57551057789174831</v>
      </c>
    </row>
    <row r="635" spans="1:25" x14ac:dyDescent="0.25">
      <c r="A635" t="s">
        <v>940</v>
      </c>
      <c r="B635" t="s">
        <v>947</v>
      </c>
      <c r="E635" t="s">
        <v>19</v>
      </c>
      <c r="F635" t="s">
        <v>15</v>
      </c>
      <c r="G635" t="s">
        <v>1070</v>
      </c>
      <c r="H635" t="s">
        <v>1071</v>
      </c>
      <c r="K635" t="s">
        <v>449</v>
      </c>
      <c r="L635" t="s">
        <v>17</v>
      </c>
      <c r="M635" t="s">
        <v>21</v>
      </c>
      <c r="N635" s="4">
        <v>42759</v>
      </c>
      <c r="O635" s="4">
        <v>177</v>
      </c>
      <c r="P635" s="4">
        <v>17744</v>
      </c>
      <c r="Q635" s="4">
        <v>34812</v>
      </c>
      <c r="R635" s="4">
        <v>12</v>
      </c>
      <c r="S635" s="3">
        <v>6316.4880540000004</v>
      </c>
      <c r="T635" s="3">
        <f t="shared" si="56"/>
        <v>526.37400450000007</v>
      </c>
      <c r="U635" s="5">
        <f t="shared" si="60"/>
        <v>6.7796610169491525E-2</v>
      </c>
      <c r="V635" s="5">
        <f t="shared" si="57"/>
        <v>4.1394794078439623E-3</v>
      </c>
      <c r="W635" s="3">
        <f t="shared" si="58"/>
        <v>35.686373186440683</v>
      </c>
      <c r="X635" s="3">
        <f t="shared" si="59"/>
        <v>147.72300694590612</v>
      </c>
      <c r="Y635" s="7">
        <f t="shared" si="61"/>
        <v>0.50970929564517986</v>
      </c>
    </row>
    <row r="636" spans="1:25" x14ac:dyDescent="0.25">
      <c r="A636" t="s">
        <v>940</v>
      </c>
      <c r="B636" t="s">
        <v>948</v>
      </c>
      <c r="E636" t="s">
        <v>14</v>
      </c>
      <c r="F636" t="s">
        <v>33</v>
      </c>
      <c r="G636" t="s">
        <v>1070</v>
      </c>
      <c r="H636" t="s">
        <v>1071</v>
      </c>
      <c r="K636" t="s">
        <v>167</v>
      </c>
      <c r="L636" t="s">
        <v>115</v>
      </c>
      <c r="M636" t="s">
        <v>18</v>
      </c>
      <c r="N636" s="4">
        <v>42755</v>
      </c>
      <c r="O636" s="4">
        <v>117</v>
      </c>
      <c r="P636" s="4">
        <v>36503</v>
      </c>
      <c r="Q636" s="4">
        <v>40051</v>
      </c>
      <c r="R636" s="4">
        <v>12</v>
      </c>
      <c r="S636" s="3">
        <v>6550.3029699999997</v>
      </c>
      <c r="T636" s="3">
        <f t="shared" si="56"/>
        <v>545.85858083333335</v>
      </c>
      <c r="U636" s="5">
        <f t="shared" si="60"/>
        <v>0.10256410256410256</v>
      </c>
      <c r="V636" s="5">
        <f t="shared" si="57"/>
        <v>2.7365220442053563E-3</v>
      </c>
      <c r="W636" s="3">
        <f t="shared" si="58"/>
        <v>55.985495470085468</v>
      </c>
      <c r="X636" s="3">
        <f t="shared" si="59"/>
        <v>153.20554250964798</v>
      </c>
      <c r="Y636" s="7">
        <f t="shared" si="61"/>
        <v>0.91141294849067434</v>
      </c>
    </row>
    <row r="637" spans="1:25" x14ac:dyDescent="0.25">
      <c r="A637" t="s">
        <v>940</v>
      </c>
      <c r="B637" t="s">
        <v>949</v>
      </c>
      <c r="E637" t="s">
        <v>14</v>
      </c>
      <c r="F637" t="s">
        <v>33</v>
      </c>
      <c r="G637" t="s">
        <v>1086</v>
      </c>
      <c r="H637" t="s">
        <v>1063</v>
      </c>
      <c r="K637" t="s">
        <v>75</v>
      </c>
      <c r="L637" t="s">
        <v>17</v>
      </c>
      <c r="M637" t="s">
        <v>29</v>
      </c>
      <c r="N637" s="4">
        <v>127090</v>
      </c>
      <c r="O637" s="4">
        <v>299</v>
      </c>
      <c r="P637" s="4">
        <v>30178</v>
      </c>
      <c r="Q637" s="4">
        <v>113438</v>
      </c>
      <c r="R637" s="4">
        <v>24</v>
      </c>
      <c r="S637" s="3">
        <v>5808.9112539999996</v>
      </c>
      <c r="T637" s="3">
        <f t="shared" si="56"/>
        <v>242.03796891666664</v>
      </c>
      <c r="U637" s="5">
        <f t="shared" si="60"/>
        <v>8.0267558528428096E-2</v>
      </c>
      <c r="V637" s="5">
        <f t="shared" si="57"/>
        <v>2.3526634668345268E-3</v>
      </c>
      <c r="W637" s="3">
        <f t="shared" si="58"/>
        <v>19.4277968361204</v>
      </c>
      <c r="X637" s="3">
        <f t="shared" si="59"/>
        <v>45.707067857423873</v>
      </c>
      <c r="Y637" s="7">
        <f t="shared" si="61"/>
        <v>0.26603078333539026</v>
      </c>
    </row>
    <row r="638" spans="1:25" x14ac:dyDescent="0.25">
      <c r="A638" t="s">
        <v>940</v>
      </c>
      <c r="B638" t="s">
        <v>950</v>
      </c>
      <c r="E638" t="s">
        <v>23</v>
      </c>
      <c r="F638" t="s">
        <v>33</v>
      </c>
      <c r="G638" t="s">
        <v>1072</v>
      </c>
      <c r="H638" t="s">
        <v>1065</v>
      </c>
      <c r="K638" t="s">
        <v>278</v>
      </c>
      <c r="L638" t="s">
        <v>28</v>
      </c>
      <c r="M638" t="s">
        <v>21</v>
      </c>
      <c r="N638" s="4">
        <v>19408</v>
      </c>
      <c r="O638" s="4">
        <v>58</v>
      </c>
      <c r="P638" s="4">
        <v>6596</v>
      </c>
      <c r="Q638" s="4">
        <v>13880</v>
      </c>
      <c r="R638" s="4">
        <v>2</v>
      </c>
      <c r="S638" s="3">
        <v>5492.8216480000001</v>
      </c>
      <c r="T638" s="3">
        <f t="shared" si="56"/>
        <v>2746.410824</v>
      </c>
      <c r="U638" s="5">
        <f t="shared" si="60"/>
        <v>3.4482758620689655E-2</v>
      </c>
      <c r="V638" s="5">
        <f t="shared" si="57"/>
        <v>2.9884583676834295E-3</v>
      </c>
      <c r="W638" s="3">
        <f t="shared" si="58"/>
        <v>94.70382151724138</v>
      </c>
      <c r="X638" s="3">
        <f t="shared" si="59"/>
        <v>283.01842786479801</v>
      </c>
      <c r="Y638" s="7">
        <f t="shared" si="61"/>
        <v>0.47521613832853027</v>
      </c>
    </row>
    <row r="639" spans="1:25" x14ac:dyDescent="0.25">
      <c r="A639" t="s">
        <v>940</v>
      </c>
      <c r="B639" t="s">
        <v>951</v>
      </c>
      <c r="E639" t="s">
        <v>14</v>
      </c>
      <c r="F639" t="s">
        <v>26</v>
      </c>
      <c r="G639" t="s">
        <v>1070</v>
      </c>
      <c r="H639" t="s">
        <v>1071</v>
      </c>
      <c r="K639" t="s">
        <v>652</v>
      </c>
      <c r="L639" t="s">
        <v>17</v>
      </c>
      <c r="M639" t="s">
        <v>29</v>
      </c>
      <c r="N639" s="4">
        <v>27202</v>
      </c>
      <c r="O639" s="4">
        <v>70</v>
      </c>
      <c r="P639" s="4">
        <v>5202</v>
      </c>
      <c r="Q639" s="4">
        <v>23474</v>
      </c>
      <c r="R639" s="4">
        <v>11</v>
      </c>
      <c r="S639" s="3">
        <v>4253.9791160000004</v>
      </c>
      <c r="T639" s="3">
        <f t="shared" si="56"/>
        <v>386.72537418181821</v>
      </c>
      <c r="U639" s="5">
        <f t="shared" si="60"/>
        <v>0.15714285714285714</v>
      </c>
      <c r="V639" s="5">
        <f t="shared" si="57"/>
        <v>2.5733401955738548E-3</v>
      </c>
      <c r="W639" s="3">
        <f t="shared" si="58"/>
        <v>60.771130228571437</v>
      </c>
      <c r="X639" s="3">
        <f t="shared" si="59"/>
        <v>156.38479214763623</v>
      </c>
      <c r="Y639" s="7">
        <f t="shared" si="61"/>
        <v>0.22160688421232003</v>
      </c>
    </row>
    <row r="640" spans="1:25" x14ac:dyDescent="0.25">
      <c r="A640" t="s">
        <v>940</v>
      </c>
      <c r="B640" t="s">
        <v>952</v>
      </c>
      <c r="E640" t="s">
        <v>19</v>
      </c>
      <c r="F640" t="s">
        <v>33</v>
      </c>
      <c r="G640" t="s">
        <v>1098</v>
      </c>
      <c r="H640" t="s">
        <v>1074</v>
      </c>
      <c r="I640" t="s">
        <v>1099</v>
      </c>
      <c r="K640" t="s">
        <v>156</v>
      </c>
      <c r="L640" t="s">
        <v>28</v>
      </c>
      <c r="M640" t="s">
        <v>21</v>
      </c>
      <c r="N640" s="4">
        <v>27371</v>
      </c>
      <c r="O640" s="4">
        <v>60</v>
      </c>
      <c r="P640" s="4">
        <v>22256</v>
      </c>
      <c r="Q640" s="4">
        <v>25986</v>
      </c>
      <c r="R640" s="4">
        <v>5</v>
      </c>
      <c r="S640" s="3">
        <v>4984.4855829999997</v>
      </c>
      <c r="T640" s="3">
        <f t="shared" si="56"/>
        <v>996.89711659999989</v>
      </c>
      <c r="U640" s="5">
        <f t="shared" si="60"/>
        <v>8.3333333333333329E-2</v>
      </c>
      <c r="V640" s="5">
        <f t="shared" si="57"/>
        <v>2.1921011289320813E-3</v>
      </c>
      <c r="W640" s="3">
        <f t="shared" si="58"/>
        <v>83.074759716666662</v>
      </c>
      <c r="X640" s="3">
        <f t="shared" si="59"/>
        <v>182.10827456066639</v>
      </c>
      <c r="Y640" s="7">
        <f t="shared" si="61"/>
        <v>0.85646117139998457</v>
      </c>
    </row>
    <row r="641" spans="1:25" x14ac:dyDescent="0.25">
      <c r="A641" t="s">
        <v>940</v>
      </c>
      <c r="B641" t="s">
        <v>953</v>
      </c>
      <c r="E641" t="s">
        <v>19</v>
      </c>
      <c r="F641" t="s">
        <v>26</v>
      </c>
      <c r="G641" t="s">
        <v>1072</v>
      </c>
      <c r="H641" t="s">
        <v>1065</v>
      </c>
      <c r="K641" t="s">
        <v>167</v>
      </c>
      <c r="L641" t="s">
        <v>68</v>
      </c>
      <c r="M641" t="s">
        <v>21</v>
      </c>
      <c r="N641" s="4">
        <v>113262</v>
      </c>
      <c r="O641" s="4">
        <v>380</v>
      </c>
      <c r="P641" s="4">
        <v>95762</v>
      </c>
      <c r="Q641" s="4">
        <v>104612</v>
      </c>
      <c r="R641" s="4">
        <v>4</v>
      </c>
      <c r="S641" s="3">
        <v>7443.4832329999999</v>
      </c>
      <c r="T641" s="3">
        <f t="shared" si="56"/>
        <v>1860.87080825</v>
      </c>
      <c r="U641" s="5">
        <f t="shared" si="60"/>
        <v>1.0526315789473684E-2</v>
      </c>
      <c r="V641" s="5">
        <f t="shared" si="57"/>
        <v>3.3550528862283909E-3</v>
      </c>
      <c r="W641" s="3">
        <f t="shared" si="58"/>
        <v>19.58811377105263</v>
      </c>
      <c r="X641" s="3">
        <f t="shared" si="59"/>
        <v>65.71915764334021</v>
      </c>
      <c r="Y641" s="7">
        <f t="shared" si="61"/>
        <v>0.91540167476006573</v>
      </c>
    </row>
    <row r="642" spans="1:25" x14ac:dyDescent="0.25">
      <c r="A642" t="s">
        <v>940</v>
      </c>
      <c r="B642" t="s">
        <v>725</v>
      </c>
      <c r="E642" t="s">
        <v>19</v>
      </c>
      <c r="F642" t="s">
        <v>33</v>
      </c>
      <c r="G642" t="s">
        <v>1072</v>
      </c>
      <c r="H642" t="s">
        <v>1065</v>
      </c>
      <c r="K642" t="s">
        <v>232</v>
      </c>
      <c r="L642" t="s">
        <v>17</v>
      </c>
      <c r="M642" t="s">
        <v>21</v>
      </c>
      <c r="N642" s="4">
        <v>9709</v>
      </c>
      <c r="O642" s="4">
        <v>58</v>
      </c>
      <c r="P642" s="4">
        <v>3339</v>
      </c>
      <c r="Q642" s="4">
        <v>7891</v>
      </c>
      <c r="R642" s="4">
        <v>3</v>
      </c>
      <c r="S642" s="3">
        <v>6994.0853530000004</v>
      </c>
      <c r="T642" s="3">
        <f t="shared" ref="T642:T705" si="62">S642/R642</f>
        <v>2331.3617843333336</v>
      </c>
      <c r="U642" s="5">
        <f t="shared" si="60"/>
        <v>5.1724137931034482E-2</v>
      </c>
      <c r="V642" s="5">
        <f t="shared" ref="V642:V705" si="63">O642/N642</f>
        <v>5.9738387063549281E-3</v>
      </c>
      <c r="W642" s="3">
        <f t="shared" ref="W642:W705" si="64">S642/O642</f>
        <v>120.58767850000001</v>
      </c>
      <c r="X642" s="3">
        <f t="shared" ref="X642:X705" si="65">(S642/N642)*1000</f>
        <v>720.37134133278403</v>
      </c>
      <c r="Y642" s="7">
        <f t="shared" si="61"/>
        <v>0.42314028640223039</v>
      </c>
    </row>
    <row r="643" spans="1:25" x14ac:dyDescent="0.25">
      <c r="A643" t="s">
        <v>940</v>
      </c>
      <c r="B643" t="s">
        <v>954</v>
      </c>
      <c r="E643" t="s">
        <v>19</v>
      </c>
      <c r="F643" t="s">
        <v>44</v>
      </c>
      <c r="G643" t="s">
        <v>1070</v>
      </c>
      <c r="H643" t="s">
        <v>1071</v>
      </c>
      <c r="K643" t="s">
        <v>67</v>
      </c>
      <c r="L643" t="s">
        <v>17</v>
      </c>
      <c r="M643" t="s">
        <v>21</v>
      </c>
      <c r="N643" s="4">
        <v>12209</v>
      </c>
      <c r="O643" s="4">
        <v>147</v>
      </c>
      <c r="P643" s="4">
        <v>3976</v>
      </c>
      <c r="Q643" s="4">
        <v>5219</v>
      </c>
      <c r="R643" s="4">
        <v>4</v>
      </c>
      <c r="S643" s="3">
        <v>3818.9551820000001</v>
      </c>
      <c r="T643" s="3">
        <f t="shared" si="62"/>
        <v>954.73879550000004</v>
      </c>
      <c r="U643" s="5">
        <f t="shared" ref="U643:U706" si="66">R643/O643</f>
        <v>2.7210884353741496E-2</v>
      </c>
      <c r="V643" s="5">
        <f t="shared" si="63"/>
        <v>1.2040298140715866E-2</v>
      </c>
      <c r="W643" s="3">
        <f t="shared" si="64"/>
        <v>25.979286952380953</v>
      </c>
      <c r="X643" s="3">
        <f t="shared" si="65"/>
        <v>312.79836038987634</v>
      </c>
      <c r="Y643" s="7">
        <f t="shared" ref="Y643:Y694" si="67">P643/Q643</f>
        <v>0.76183176853803414</v>
      </c>
    </row>
    <row r="644" spans="1:25" x14ac:dyDescent="0.25">
      <c r="A644" t="s">
        <v>940</v>
      </c>
      <c r="B644" t="s">
        <v>955</v>
      </c>
      <c r="E644" t="s">
        <v>14</v>
      </c>
      <c r="F644" t="s">
        <v>33</v>
      </c>
      <c r="G644" t="s">
        <v>1104</v>
      </c>
      <c r="H644" t="s">
        <v>1080</v>
      </c>
      <c r="K644" t="s">
        <v>191</v>
      </c>
      <c r="L644" t="s">
        <v>17</v>
      </c>
      <c r="M644" t="s">
        <v>21</v>
      </c>
      <c r="N644" s="4">
        <v>14730</v>
      </c>
      <c r="O644" s="4">
        <v>86</v>
      </c>
      <c r="P644" s="4">
        <v>6410</v>
      </c>
      <c r="Q644" s="4">
        <v>10860</v>
      </c>
      <c r="R644" s="4">
        <v>6</v>
      </c>
      <c r="S644" s="3">
        <v>5287.5675279999996</v>
      </c>
      <c r="T644" s="3">
        <f t="shared" si="62"/>
        <v>881.26125466666656</v>
      </c>
      <c r="U644" s="5">
        <f t="shared" si="66"/>
        <v>6.9767441860465115E-2</v>
      </c>
      <c r="V644" s="5">
        <f t="shared" si="63"/>
        <v>5.8384249830278345E-3</v>
      </c>
      <c r="W644" s="3">
        <f t="shared" si="64"/>
        <v>61.483343348837202</v>
      </c>
      <c r="X644" s="3">
        <f t="shared" si="65"/>
        <v>358.96588784792937</v>
      </c>
      <c r="Y644" s="7">
        <f t="shared" si="67"/>
        <v>0.59023941068139962</v>
      </c>
    </row>
    <row r="645" spans="1:25" x14ac:dyDescent="0.25">
      <c r="A645" t="s">
        <v>940</v>
      </c>
      <c r="B645" t="s">
        <v>956</v>
      </c>
      <c r="E645" t="s">
        <v>19</v>
      </c>
      <c r="F645" t="s">
        <v>26</v>
      </c>
      <c r="G645" t="s">
        <v>1066</v>
      </c>
      <c r="H645" t="s">
        <v>1067</v>
      </c>
      <c r="K645" t="s">
        <v>240</v>
      </c>
      <c r="L645" t="s">
        <v>25</v>
      </c>
      <c r="M645" t="s">
        <v>21</v>
      </c>
      <c r="N645" s="4">
        <v>45397</v>
      </c>
      <c r="O645" s="4">
        <v>114</v>
      </c>
      <c r="P645" s="4">
        <v>716</v>
      </c>
      <c r="Q645" s="4">
        <v>6867</v>
      </c>
      <c r="R645" s="4">
        <v>15</v>
      </c>
      <c r="S645" s="3">
        <v>4582.4532909999998</v>
      </c>
      <c r="T645" s="3">
        <f t="shared" si="62"/>
        <v>305.49688606666666</v>
      </c>
      <c r="U645" s="5">
        <f t="shared" si="66"/>
        <v>0.13157894736842105</v>
      </c>
      <c r="V645" s="5">
        <f t="shared" si="63"/>
        <v>2.5111791528074543E-3</v>
      </c>
      <c r="W645" s="3">
        <f t="shared" si="64"/>
        <v>40.196958692982456</v>
      </c>
      <c r="X645" s="3">
        <f t="shared" si="65"/>
        <v>100.94176467607991</v>
      </c>
      <c r="Y645" s="7">
        <f t="shared" si="67"/>
        <v>0.10426678316586574</v>
      </c>
    </row>
    <row r="646" spans="1:25" x14ac:dyDescent="0.25">
      <c r="A646" t="s">
        <v>940</v>
      </c>
      <c r="B646" t="s">
        <v>957</v>
      </c>
      <c r="E646" t="s">
        <v>14</v>
      </c>
      <c r="F646" t="s">
        <v>44</v>
      </c>
      <c r="G646" t="s">
        <v>1062</v>
      </c>
      <c r="H646" t="s">
        <v>1063</v>
      </c>
      <c r="K646" t="s">
        <v>24</v>
      </c>
      <c r="L646" t="s">
        <v>68</v>
      </c>
      <c r="M646" t="s">
        <v>21</v>
      </c>
      <c r="N646" s="4">
        <v>1575592</v>
      </c>
      <c r="O646" s="4">
        <v>3874</v>
      </c>
      <c r="P646" s="4">
        <v>1155869</v>
      </c>
      <c r="Q646" s="4">
        <v>1447900</v>
      </c>
      <c r="R646" s="4">
        <v>88</v>
      </c>
      <c r="S646" s="3">
        <v>7818.6482969999997</v>
      </c>
      <c r="T646" s="3">
        <f t="shared" si="62"/>
        <v>88.84827610227272</v>
      </c>
      <c r="U646" s="5">
        <f t="shared" si="66"/>
        <v>2.2715539494062985E-2</v>
      </c>
      <c r="V646" s="5">
        <f t="shared" si="63"/>
        <v>2.4587583587629283E-3</v>
      </c>
      <c r="W646" s="3">
        <f t="shared" si="64"/>
        <v>2.0182365247805887</v>
      </c>
      <c r="X646" s="3">
        <f t="shared" si="65"/>
        <v>4.9623559252649159</v>
      </c>
      <c r="Y646" s="7">
        <f t="shared" si="67"/>
        <v>0.79830720353615581</v>
      </c>
    </row>
    <row r="647" spans="1:25" x14ac:dyDescent="0.25">
      <c r="A647" t="s">
        <v>940</v>
      </c>
      <c r="B647" t="s">
        <v>958</v>
      </c>
      <c r="E647" t="s">
        <v>23</v>
      </c>
      <c r="F647" t="s">
        <v>26</v>
      </c>
      <c r="G647" t="s">
        <v>1066</v>
      </c>
      <c r="H647" t="s">
        <v>1067</v>
      </c>
      <c r="K647" t="s">
        <v>160</v>
      </c>
      <c r="L647" t="s">
        <v>17</v>
      </c>
      <c r="M647" t="s">
        <v>21</v>
      </c>
      <c r="N647" s="4">
        <v>58938</v>
      </c>
      <c r="O647" s="4">
        <v>175</v>
      </c>
      <c r="P647" s="4">
        <v>41861</v>
      </c>
      <c r="Q647" s="4">
        <v>55929</v>
      </c>
      <c r="R647" s="4">
        <v>9</v>
      </c>
      <c r="S647" s="3">
        <v>4881.1982690000004</v>
      </c>
      <c r="T647" s="3">
        <f t="shared" si="62"/>
        <v>542.35536322222231</v>
      </c>
      <c r="U647" s="5">
        <f t="shared" si="66"/>
        <v>5.1428571428571428E-2</v>
      </c>
      <c r="V647" s="5">
        <f t="shared" si="63"/>
        <v>2.9692218941938988E-3</v>
      </c>
      <c r="W647" s="3">
        <f t="shared" si="64"/>
        <v>27.892561537142861</v>
      </c>
      <c r="X647" s="3">
        <f t="shared" si="65"/>
        <v>82.819204401235211</v>
      </c>
      <c r="Y647" s="7">
        <f t="shared" si="67"/>
        <v>0.74846680612919947</v>
      </c>
    </row>
    <row r="648" spans="1:25" x14ac:dyDescent="0.25">
      <c r="A648" t="s">
        <v>940</v>
      </c>
      <c r="B648" t="s">
        <v>959</v>
      </c>
      <c r="E648" t="s">
        <v>14</v>
      </c>
      <c r="F648" t="s">
        <v>15</v>
      </c>
      <c r="G648" t="s">
        <v>1073</v>
      </c>
      <c r="H648" t="s">
        <v>1074</v>
      </c>
      <c r="K648" t="s">
        <v>85</v>
      </c>
      <c r="L648" t="s">
        <v>17</v>
      </c>
      <c r="M648" t="s">
        <v>21</v>
      </c>
      <c r="N648" s="4">
        <v>224877</v>
      </c>
      <c r="O648" s="4">
        <v>805</v>
      </c>
      <c r="P648" s="4">
        <v>121175</v>
      </c>
      <c r="Q648" s="4">
        <v>213280</v>
      </c>
      <c r="R648" s="4">
        <v>11</v>
      </c>
      <c r="S648" s="3">
        <v>7360.9929689999999</v>
      </c>
      <c r="T648" s="3">
        <f t="shared" si="62"/>
        <v>669.18117900000004</v>
      </c>
      <c r="U648" s="5">
        <f t="shared" si="66"/>
        <v>1.3664596273291925E-2</v>
      </c>
      <c r="V648" s="5">
        <f t="shared" si="63"/>
        <v>3.5797346994134571E-3</v>
      </c>
      <c r="W648" s="3">
        <f t="shared" si="64"/>
        <v>9.1440906447204959</v>
      </c>
      <c r="X648" s="3">
        <f t="shared" si="65"/>
        <v>32.733418575487939</v>
      </c>
      <c r="Y648" s="7">
        <f t="shared" si="67"/>
        <v>0.56814984996249063</v>
      </c>
    </row>
    <row r="649" spans="1:25" x14ac:dyDescent="0.25">
      <c r="A649" t="s">
        <v>940</v>
      </c>
      <c r="B649" t="s">
        <v>960</v>
      </c>
      <c r="E649" t="s">
        <v>14</v>
      </c>
      <c r="F649" t="s">
        <v>15</v>
      </c>
      <c r="G649" t="s">
        <v>1085</v>
      </c>
      <c r="H649" t="s">
        <v>1065</v>
      </c>
      <c r="K649" t="s">
        <v>91</v>
      </c>
      <c r="L649" t="s">
        <v>17</v>
      </c>
      <c r="M649" t="s">
        <v>18</v>
      </c>
      <c r="N649" s="4">
        <v>45668</v>
      </c>
      <c r="O649" s="4">
        <v>130</v>
      </c>
      <c r="P649" s="4">
        <v>16872</v>
      </c>
      <c r="Q649" s="4">
        <v>32085</v>
      </c>
      <c r="R649" s="4">
        <v>9</v>
      </c>
      <c r="S649" s="3">
        <v>3444.2029459999999</v>
      </c>
      <c r="T649" s="3">
        <f t="shared" si="62"/>
        <v>382.68921622222223</v>
      </c>
      <c r="U649" s="5">
        <f t="shared" si="66"/>
        <v>6.9230769230769235E-2</v>
      </c>
      <c r="V649" s="5">
        <f t="shared" si="63"/>
        <v>2.8466322151178068E-3</v>
      </c>
      <c r="W649" s="3">
        <f t="shared" si="64"/>
        <v>26.493868815384616</v>
      </c>
      <c r="X649" s="3">
        <f t="shared" si="65"/>
        <v>75.418300472978885</v>
      </c>
      <c r="Y649" s="7">
        <f t="shared" si="67"/>
        <v>0.5258532024310425</v>
      </c>
    </row>
    <row r="650" spans="1:25" x14ac:dyDescent="0.25">
      <c r="A650" t="s">
        <v>940</v>
      </c>
      <c r="B650" t="s">
        <v>961</v>
      </c>
      <c r="E650" t="s">
        <v>19</v>
      </c>
      <c r="F650" t="s">
        <v>26</v>
      </c>
      <c r="G650" t="s">
        <v>1078</v>
      </c>
      <c r="H650" t="s">
        <v>1065</v>
      </c>
      <c r="K650" t="s">
        <v>117</v>
      </c>
      <c r="L650" t="s">
        <v>17</v>
      </c>
      <c r="M650" t="s">
        <v>21</v>
      </c>
      <c r="N650" s="4">
        <v>571090</v>
      </c>
      <c r="O650" s="4">
        <v>1541</v>
      </c>
      <c r="P650" s="4">
        <v>246243</v>
      </c>
      <c r="Q650" s="4">
        <v>532325</v>
      </c>
      <c r="R650" s="4">
        <v>11</v>
      </c>
      <c r="S650" s="3">
        <v>4733.6187829999999</v>
      </c>
      <c r="T650" s="3">
        <f t="shared" si="62"/>
        <v>430.32898027272728</v>
      </c>
      <c r="U650" s="5">
        <f t="shared" si="66"/>
        <v>7.138221933809215E-3</v>
      </c>
      <c r="V650" s="5">
        <f t="shared" si="63"/>
        <v>2.6983487716472012E-3</v>
      </c>
      <c r="W650" s="3">
        <f t="shared" si="64"/>
        <v>3.0717837657365346</v>
      </c>
      <c r="X650" s="3">
        <f t="shared" si="65"/>
        <v>8.2887439510409919</v>
      </c>
      <c r="Y650" s="7">
        <f t="shared" si="67"/>
        <v>0.46258019067299111</v>
      </c>
    </row>
    <row r="651" spans="1:25" x14ac:dyDescent="0.25">
      <c r="A651" t="s">
        <v>940</v>
      </c>
      <c r="B651" t="s">
        <v>962</v>
      </c>
      <c r="E651" t="s">
        <v>19</v>
      </c>
      <c r="F651" t="s">
        <v>33</v>
      </c>
      <c r="G651" t="s">
        <v>1070</v>
      </c>
      <c r="H651" t="s">
        <v>1071</v>
      </c>
      <c r="K651" t="s">
        <v>963</v>
      </c>
      <c r="L651" t="s">
        <v>89</v>
      </c>
      <c r="M651" t="s">
        <v>21</v>
      </c>
      <c r="N651" s="4">
        <v>27032</v>
      </c>
      <c r="O651" s="4">
        <v>110</v>
      </c>
      <c r="P651" s="4">
        <v>21893</v>
      </c>
      <c r="Q651" s="4">
        <v>26127</v>
      </c>
      <c r="R651" s="4">
        <v>5</v>
      </c>
      <c r="S651" s="3">
        <v>5292.8969129999996</v>
      </c>
      <c r="T651" s="3">
        <f t="shared" si="62"/>
        <v>1058.5793825999999</v>
      </c>
      <c r="U651" s="5">
        <f t="shared" si="66"/>
        <v>4.5454545454545456E-2</v>
      </c>
      <c r="V651" s="5">
        <f t="shared" si="63"/>
        <v>4.0692512577685707E-3</v>
      </c>
      <c r="W651" s="3">
        <f t="shared" si="64"/>
        <v>48.117244663636363</v>
      </c>
      <c r="X651" s="3">
        <f t="shared" si="65"/>
        <v>195.8011583678603</v>
      </c>
      <c r="Y651" s="7">
        <f t="shared" si="67"/>
        <v>0.83794542044628162</v>
      </c>
    </row>
    <row r="652" spans="1:25" x14ac:dyDescent="0.25">
      <c r="A652" t="s">
        <v>964</v>
      </c>
      <c r="B652" t="s">
        <v>965</v>
      </c>
      <c r="E652" t="s">
        <v>14</v>
      </c>
      <c r="F652" t="s">
        <v>33</v>
      </c>
      <c r="G652" t="s">
        <v>1062</v>
      </c>
      <c r="H652" t="s">
        <v>1063</v>
      </c>
      <c r="K652" t="s">
        <v>45</v>
      </c>
      <c r="L652" t="s">
        <v>68</v>
      </c>
      <c r="M652" t="s">
        <v>21</v>
      </c>
      <c r="N652" s="4">
        <v>144088</v>
      </c>
      <c r="O652" s="4">
        <v>490</v>
      </c>
      <c r="P652" s="4">
        <v>26416</v>
      </c>
      <c r="Q652" s="4">
        <v>137369</v>
      </c>
      <c r="R652" s="4">
        <v>7</v>
      </c>
      <c r="S652" s="3">
        <v>1464.0642350000001</v>
      </c>
      <c r="T652" s="3">
        <f t="shared" si="62"/>
        <v>209.15203357142857</v>
      </c>
      <c r="U652" s="5">
        <f t="shared" si="66"/>
        <v>1.4285714285714285E-2</v>
      </c>
      <c r="V652" s="5">
        <f t="shared" si="63"/>
        <v>3.4006995724834821E-3</v>
      </c>
      <c r="W652" s="3">
        <f t="shared" si="64"/>
        <v>2.9878861938775509</v>
      </c>
      <c r="X652" s="3">
        <f t="shared" si="65"/>
        <v>10.160903302148688</v>
      </c>
      <c r="Y652" s="7">
        <f t="shared" si="67"/>
        <v>0.19229957268379327</v>
      </c>
    </row>
    <row r="653" spans="1:25" x14ac:dyDescent="0.25">
      <c r="A653" t="s">
        <v>964</v>
      </c>
      <c r="B653" t="s">
        <v>966</v>
      </c>
      <c r="E653" t="s">
        <v>14</v>
      </c>
      <c r="F653" t="s">
        <v>33</v>
      </c>
      <c r="G653" t="s">
        <v>1086</v>
      </c>
      <c r="H653" t="s">
        <v>1063</v>
      </c>
      <c r="K653" t="s">
        <v>167</v>
      </c>
      <c r="L653" t="s">
        <v>17</v>
      </c>
      <c r="M653" t="s">
        <v>21</v>
      </c>
      <c r="N653" s="4">
        <v>284783</v>
      </c>
      <c r="O653" s="4">
        <v>756</v>
      </c>
      <c r="P653" s="4">
        <v>239363</v>
      </c>
      <c r="Q653" s="4">
        <v>261467</v>
      </c>
      <c r="R653" s="4">
        <v>9</v>
      </c>
      <c r="S653" s="3">
        <v>1605.5380720000001</v>
      </c>
      <c r="T653" s="3">
        <f t="shared" si="62"/>
        <v>178.3931191111111</v>
      </c>
      <c r="U653" s="5">
        <f t="shared" si="66"/>
        <v>1.1904761904761904E-2</v>
      </c>
      <c r="V653" s="5">
        <f t="shared" si="63"/>
        <v>2.6546528409350277E-3</v>
      </c>
      <c r="W653" s="3">
        <f t="shared" si="64"/>
        <v>2.1237276084656087</v>
      </c>
      <c r="X653" s="3">
        <f t="shared" si="65"/>
        <v>5.6377595291853799</v>
      </c>
      <c r="Y653" s="7">
        <f t="shared" si="67"/>
        <v>0.91546160700968005</v>
      </c>
    </row>
    <row r="654" spans="1:25" x14ac:dyDescent="0.25">
      <c r="A654" t="s">
        <v>964</v>
      </c>
      <c r="B654" t="s">
        <v>967</v>
      </c>
      <c r="E654" t="s">
        <v>23</v>
      </c>
      <c r="F654" t="s">
        <v>33</v>
      </c>
      <c r="G654" t="s">
        <v>1104</v>
      </c>
      <c r="H654" t="s">
        <v>1080</v>
      </c>
      <c r="K654" t="s">
        <v>16</v>
      </c>
      <c r="L654" t="s">
        <v>272</v>
      </c>
      <c r="M654" t="s">
        <v>21</v>
      </c>
      <c r="N654" s="4">
        <v>130602</v>
      </c>
      <c r="O654" s="4">
        <v>269</v>
      </c>
      <c r="P654" s="4">
        <v>11736</v>
      </c>
      <c r="Q654" s="4">
        <v>113735</v>
      </c>
      <c r="R654" s="4">
        <v>4</v>
      </c>
      <c r="S654" s="3">
        <v>1507.8471199999999</v>
      </c>
      <c r="T654" s="3">
        <f t="shared" si="62"/>
        <v>376.96177999999998</v>
      </c>
      <c r="U654" s="5">
        <f t="shared" si="66"/>
        <v>1.4869888475836431E-2</v>
      </c>
      <c r="V654" s="5">
        <f t="shared" si="63"/>
        <v>2.0596928071545612E-3</v>
      </c>
      <c r="W654" s="3">
        <f t="shared" si="64"/>
        <v>5.6053796282527877</v>
      </c>
      <c r="X654" s="3">
        <f t="shared" si="65"/>
        <v>11.545360101682975</v>
      </c>
      <c r="Y654" s="7">
        <f t="shared" si="67"/>
        <v>0.10318723348133819</v>
      </c>
    </row>
    <row r="655" spans="1:25" x14ac:dyDescent="0.25">
      <c r="A655" t="s">
        <v>964</v>
      </c>
      <c r="B655" t="s">
        <v>968</v>
      </c>
      <c r="E655" t="s">
        <v>14</v>
      </c>
      <c r="F655" t="s">
        <v>26</v>
      </c>
      <c r="G655" t="s">
        <v>1086</v>
      </c>
      <c r="H655" t="s">
        <v>1063</v>
      </c>
      <c r="K655" t="s">
        <v>83</v>
      </c>
      <c r="L655" t="s">
        <v>17</v>
      </c>
      <c r="M655" t="s">
        <v>21</v>
      </c>
      <c r="N655" s="4">
        <v>14763</v>
      </c>
      <c r="O655" s="4">
        <v>40</v>
      </c>
      <c r="P655" s="4">
        <v>8955</v>
      </c>
      <c r="Q655" s="4">
        <v>13829</v>
      </c>
      <c r="R655" s="4">
        <v>2</v>
      </c>
      <c r="S655" s="3">
        <v>1531.9268850000001</v>
      </c>
      <c r="T655" s="3">
        <f t="shared" si="62"/>
        <v>765.96344250000004</v>
      </c>
      <c r="U655" s="5">
        <f t="shared" si="66"/>
        <v>0.05</v>
      </c>
      <c r="V655" s="5">
        <f t="shared" si="63"/>
        <v>2.70947639368692E-3</v>
      </c>
      <c r="W655" s="3">
        <f t="shared" si="64"/>
        <v>38.298172125000001</v>
      </c>
      <c r="X655" s="3">
        <f t="shared" si="65"/>
        <v>103.76799329404592</v>
      </c>
      <c r="Y655" s="7">
        <f t="shared" si="67"/>
        <v>0.64755224528165445</v>
      </c>
    </row>
    <row r="656" spans="1:25" x14ac:dyDescent="0.25">
      <c r="A656" t="s">
        <v>964</v>
      </c>
      <c r="B656" t="s">
        <v>969</v>
      </c>
      <c r="E656" t="s">
        <v>19</v>
      </c>
      <c r="F656" t="s">
        <v>15</v>
      </c>
      <c r="G656" t="s">
        <v>1062</v>
      </c>
      <c r="H656" t="s">
        <v>1063</v>
      </c>
      <c r="K656" t="s">
        <v>191</v>
      </c>
      <c r="L656" t="s">
        <v>89</v>
      </c>
      <c r="M656" t="s">
        <v>21</v>
      </c>
      <c r="N656" s="4">
        <v>50838</v>
      </c>
      <c r="O656" s="4">
        <v>130</v>
      </c>
      <c r="P656" s="4">
        <v>23274</v>
      </c>
      <c r="Q656" s="4">
        <v>35934</v>
      </c>
      <c r="R656" s="4">
        <v>11</v>
      </c>
      <c r="S656" s="3">
        <v>1521.372273</v>
      </c>
      <c r="T656" s="3">
        <f t="shared" si="62"/>
        <v>138.30657027272727</v>
      </c>
      <c r="U656" s="5">
        <f t="shared" si="66"/>
        <v>8.461538461538462E-2</v>
      </c>
      <c r="V656" s="5">
        <f t="shared" si="63"/>
        <v>2.5571422951335613E-3</v>
      </c>
      <c r="W656" s="3">
        <f t="shared" si="64"/>
        <v>11.702863638461539</v>
      </c>
      <c r="X656" s="3">
        <f t="shared" si="65"/>
        <v>29.925887584090638</v>
      </c>
      <c r="Y656" s="7">
        <f t="shared" si="67"/>
        <v>0.64768742694940729</v>
      </c>
    </row>
    <row r="657" spans="1:25" x14ac:dyDescent="0.25">
      <c r="A657" t="s">
        <v>172</v>
      </c>
      <c r="B657" t="s">
        <v>970</v>
      </c>
      <c r="C657" t="s">
        <v>971</v>
      </c>
      <c r="E657" t="s">
        <v>19</v>
      </c>
      <c r="F657" t="s">
        <v>15</v>
      </c>
      <c r="G657" t="s">
        <v>1084</v>
      </c>
      <c r="H657" t="s">
        <v>1065</v>
      </c>
      <c r="K657" t="s">
        <v>223</v>
      </c>
      <c r="L657" t="s">
        <v>25</v>
      </c>
      <c r="M657" t="s">
        <v>21</v>
      </c>
      <c r="N657" s="4">
        <v>35178</v>
      </c>
      <c r="O657" s="4">
        <v>155</v>
      </c>
      <c r="P657" s="4">
        <v>23374</v>
      </c>
      <c r="Q657" s="4">
        <v>33779</v>
      </c>
      <c r="R657" s="4">
        <v>8</v>
      </c>
      <c r="S657" s="3">
        <v>5738.8090890000003</v>
      </c>
      <c r="T657" s="3">
        <f t="shared" si="62"/>
        <v>717.35113612500004</v>
      </c>
      <c r="U657" s="5">
        <f t="shared" si="66"/>
        <v>5.1612903225806452E-2</v>
      </c>
      <c r="V657" s="5">
        <f t="shared" si="63"/>
        <v>4.406162942748309E-3</v>
      </c>
      <c r="W657" s="3">
        <f t="shared" si="64"/>
        <v>37.024574767741939</v>
      </c>
      <c r="X657" s="3">
        <f t="shared" si="65"/>
        <v>163.13630931263859</v>
      </c>
      <c r="Y657" s="7">
        <f t="shared" si="67"/>
        <v>0.69196838272299355</v>
      </c>
    </row>
    <row r="658" spans="1:25" x14ac:dyDescent="0.25">
      <c r="A658" t="s">
        <v>172</v>
      </c>
      <c r="E658" t="s">
        <v>14</v>
      </c>
      <c r="F658" t="s">
        <v>33</v>
      </c>
      <c r="G658" t="s">
        <v>1078</v>
      </c>
      <c r="H658" t="s">
        <v>1065</v>
      </c>
      <c r="K658" t="s">
        <v>67</v>
      </c>
      <c r="L658" t="s">
        <v>25</v>
      </c>
      <c r="M658" t="s">
        <v>21</v>
      </c>
      <c r="N658" s="4">
        <v>12319</v>
      </c>
      <c r="O658" s="4">
        <v>40</v>
      </c>
      <c r="P658" s="4">
        <v>7028</v>
      </c>
      <c r="Q658" s="4">
        <v>10191</v>
      </c>
      <c r="R658" s="4">
        <v>7</v>
      </c>
      <c r="S658" s="3">
        <v>1668.0160000000001</v>
      </c>
      <c r="T658" s="3">
        <f t="shared" si="62"/>
        <v>238.28800000000001</v>
      </c>
      <c r="U658" s="5">
        <f t="shared" si="66"/>
        <v>0.17499999999999999</v>
      </c>
      <c r="V658" s="5">
        <f t="shared" si="63"/>
        <v>3.247016803311957E-3</v>
      </c>
      <c r="W658" s="3">
        <f t="shared" si="64"/>
        <v>41.700400000000002</v>
      </c>
      <c r="X658" s="3">
        <f t="shared" si="65"/>
        <v>135.40189950482994</v>
      </c>
      <c r="Y658" s="7">
        <f t="shared" si="67"/>
        <v>0.68962810322833878</v>
      </c>
    </row>
    <row r="659" spans="1:25" x14ac:dyDescent="0.25">
      <c r="A659" t="s">
        <v>172</v>
      </c>
      <c r="B659" t="s">
        <v>970</v>
      </c>
      <c r="C659" t="s">
        <v>972</v>
      </c>
      <c r="E659" t="s">
        <v>19</v>
      </c>
      <c r="F659" t="s">
        <v>26</v>
      </c>
      <c r="G659" t="s">
        <v>1070</v>
      </c>
      <c r="H659" t="s">
        <v>1071</v>
      </c>
      <c r="K659" t="s">
        <v>215</v>
      </c>
      <c r="L659" t="s">
        <v>68</v>
      </c>
      <c r="M659" t="s">
        <v>21</v>
      </c>
      <c r="N659" s="4">
        <v>106151</v>
      </c>
      <c r="O659" s="4">
        <v>299</v>
      </c>
      <c r="P659" s="4">
        <v>75304</v>
      </c>
      <c r="Q659" s="4">
        <v>99311</v>
      </c>
      <c r="R659" s="4">
        <v>9</v>
      </c>
      <c r="S659" s="3">
        <v>6616.8806599999998</v>
      </c>
      <c r="T659" s="3">
        <f t="shared" si="62"/>
        <v>735.20896222222223</v>
      </c>
      <c r="U659" s="5">
        <f t="shared" si="66"/>
        <v>3.0100334448160536E-2</v>
      </c>
      <c r="V659" s="5">
        <f t="shared" si="63"/>
        <v>2.816742188015186E-3</v>
      </c>
      <c r="W659" s="3">
        <f t="shared" si="64"/>
        <v>22.130035652173913</v>
      </c>
      <c r="X659" s="3">
        <f t="shared" si="65"/>
        <v>62.334605043758415</v>
      </c>
      <c r="Y659" s="7">
        <f t="shared" si="67"/>
        <v>0.75826444200541732</v>
      </c>
    </row>
    <row r="660" spans="1:25" x14ac:dyDescent="0.25">
      <c r="A660" t="s">
        <v>172</v>
      </c>
      <c r="B660" t="s">
        <v>970</v>
      </c>
      <c r="C660" t="s">
        <v>973</v>
      </c>
      <c r="E660" t="s">
        <v>14</v>
      </c>
      <c r="F660" t="s">
        <v>15</v>
      </c>
      <c r="G660" t="s">
        <v>1070</v>
      </c>
      <c r="H660" t="s">
        <v>1071</v>
      </c>
      <c r="K660" t="s">
        <v>802</v>
      </c>
      <c r="L660" t="s">
        <v>68</v>
      </c>
      <c r="M660" t="s">
        <v>21</v>
      </c>
      <c r="N660" s="4">
        <v>12710</v>
      </c>
      <c r="O660" s="4">
        <v>10</v>
      </c>
      <c r="P660" s="4">
        <v>8159</v>
      </c>
      <c r="Q660" s="4">
        <v>11984</v>
      </c>
      <c r="R660" s="4">
        <v>11</v>
      </c>
      <c r="S660" s="3">
        <v>7851.3974779999999</v>
      </c>
      <c r="T660" s="3">
        <f t="shared" si="62"/>
        <v>713.76340709090903</v>
      </c>
      <c r="U660" s="5">
        <f t="shared" si="66"/>
        <v>1.1000000000000001</v>
      </c>
      <c r="V660" s="5">
        <f t="shared" si="63"/>
        <v>7.8678206136900079E-4</v>
      </c>
      <c r="W660" s="3">
        <f t="shared" si="64"/>
        <v>785.13974780000001</v>
      </c>
      <c r="X660" s="3">
        <f t="shared" si="65"/>
        <v>617.73386923682142</v>
      </c>
      <c r="Y660" s="7">
        <f t="shared" si="67"/>
        <v>0.68082443257676906</v>
      </c>
    </row>
    <row r="661" spans="1:25" x14ac:dyDescent="0.25">
      <c r="A661" t="s">
        <v>172</v>
      </c>
      <c r="B661" t="s">
        <v>970</v>
      </c>
      <c r="C661" t="s">
        <v>974</v>
      </c>
      <c r="E661" t="s">
        <v>14</v>
      </c>
      <c r="F661" t="s">
        <v>15</v>
      </c>
      <c r="G661" t="s">
        <v>1062</v>
      </c>
      <c r="H661" t="s">
        <v>1063</v>
      </c>
      <c r="K661" t="s">
        <v>223</v>
      </c>
      <c r="L661" t="s">
        <v>17</v>
      </c>
      <c r="M661" t="s">
        <v>29</v>
      </c>
      <c r="N661" s="4">
        <v>48211</v>
      </c>
      <c r="O661" s="4">
        <v>160</v>
      </c>
      <c r="P661" s="4">
        <v>30157</v>
      </c>
      <c r="Q661" s="4">
        <v>43810</v>
      </c>
      <c r="R661" s="4">
        <v>14</v>
      </c>
      <c r="S661" s="3">
        <v>6708.4633510000003</v>
      </c>
      <c r="T661" s="3">
        <f t="shared" si="62"/>
        <v>479.17595364285717</v>
      </c>
      <c r="U661" s="5">
        <f t="shared" si="66"/>
        <v>8.7499999999999994E-2</v>
      </c>
      <c r="V661" s="5">
        <f t="shared" si="63"/>
        <v>3.3187446848229659E-3</v>
      </c>
      <c r="W661" s="3">
        <f t="shared" si="64"/>
        <v>41.927895943750002</v>
      </c>
      <c r="X661" s="3">
        <f t="shared" si="65"/>
        <v>139.1479818091307</v>
      </c>
      <c r="Y661" s="7">
        <f t="shared" si="67"/>
        <v>0.6883588221867154</v>
      </c>
    </row>
    <row r="662" spans="1:25" x14ac:dyDescent="0.25">
      <c r="A662" t="s">
        <v>172</v>
      </c>
      <c r="B662" t="s">
        <v>970</v>
      </c>
      <c r="C662" t="s">
        <v>975</v>
      </c>
      <c r="E662" t="s">
        <v>23</v>
      </c>
      <c r="F662" t="s">
        <v>26</v>
      </c>
      <c r="G662" t="s">
        <v>1070</v>
      </c>
      <c r="H662" t="s">
        <v>1071</v>
      </c>
      <c r="K662" t="s">
        <v>963</v>
      </c>
      <c r="L662" t="s">
        <v>17</v>
      </c>
      <c r="M662" t="s">
        <v>21</v>
      </c>
      <c r="N662" s="4">
        <v>19461</v>
      </c>
      <c r="O662" s="4">
        <v>74</v>
      </c>
      <c r="P662" s="4">
        <v>14647</v>
      </c>
      <c r="Q662" s="4">
        <v>18731</v>
      </c>
      <c r="R662" s="4">
        <v>9</v>
      </c>
      <c r="S662" s="3">
        <v>7311.9987499999997</v>
      </c>
      <c r="T662" s="3">
        <f t="shared" si="62"/>
        <v>812.4443055555555</v>
      </c>
      <c r="U662" s="5">
        <f t="shared" si="66"/>
        <v>0.12162162162162163</v>
      </c>
      <c r="V662" s="5">
        <f t="shared" si="63"/>
        <v>3.802476748368532E-3</v>
      </c>
      <c r="W662" s="3">
        <f t="shared" si="64"/>
        <v>98.810793918918918</v>
      </c>
      <c r="X662" s="3">
        <f t="shared" si="65"/>
        <v>375.7257463645239</v>
      </c>
      <c r="Y662" s="7">
        <f t="shared" si="67"/>
        <v>0.78196572526827179</v>
      </c>
    </row>
    <row r="663" spans="1:25" x14ac:dyDescent="0.25">
      <c r="A663" t="s">
        <v>172</v>
      </c>
      <c r="B663" t="s">
        <v>976</v>
      </c>
      <c r="C663" t="s">
        <v>977</v>
      </c>
      <c r="D663" t="s">
        <v>978</v>
      </c>
      <c r="E663" t="s">
        <v>14</v>
      </c>
      <c r="F663" t="s">
        <v>33</v>
      </c>
      <c r="G663" t="s">
        <v>1066</v>
      </c>
      <c r="H663" t="s">
        <v>1067</v>
      </c>
      <c r="K663" t="s">
        <v>215</v>
      </c>
      <c r="L663" t="s">
        <v>92</v>
      </c>
      <c r="M663" t="s">
        <v>18</v>
      </c>
      <c r="N663" s="4">
        <v>18313</v>
      </c>
      <c r="O663" s="4">
        <v>60</v>
      </c>
      <c r="P663" s="4">
        <v>9481</v>
      </c>
      <c r="Q663" s="4">
        <v>16300</v>
      </c>
      <c r="R663" s="4">
        <v>4</v>
      </c>
      <c r="S663" s="3">
        <v>1456.9341870000001</v>
      </c>
      <c r="T663" s="3">
        <f t="shared" si="62"/>
        <v>364.23354675000002</v>
      </c>
      <c r="U663" s="5">
        <f t="shared" si="66"/>
        <v>6.6666666666666666E-2</v>
      </c>
      <c r="V663" s="5">
        <f t="shared" si="63"/>
        <v>3.2763610549882598E-3</v>
      </c>
      <c r="W663" s="3">
        <f t="shared" si="64"/>
        <v>24.282236450000003</v>
      </c>
      <c r="X663" s="3">
        <f t="shared" si="65"/>
        <v>79.557373832796372</v>
      </c>
      <c r="Y663" s="7">
        <f t="shared" si="67"/>
        <v>0.58165644171779141</v>
      </c>
    </row>
    <row r="664" spans="1:25" x14ac:dyDescent="0.25">
      <c r="A664" t="s">
        <v>172</v>
      </c>
      <c r="B664" t="s">
        <v>970</v>
      </c>
      <c r="C664" t="s">
        <v>979</v>
      </c>
      <c r="E664" t="s">
        <v>19</v>
      </c>
      <c r="F664" t="s">
        <v>26</v>
      </c>
      <c r="G664" t="s">
        <v>1086</v>
      </c>
      <c r="H664" t="s">
        <v>1063</v>
      </c>
      <c r="K664" t="s">
        <v>278</v>
      </c>
      <c r="L664" t="s">
        <v>68</v>
      </c>
      <c r="M664" t="s">
        <v>21</v>
      </c>
      <c r="N664" s="4">
        <v>47360</v>
      </c>
      <c r="O664" s="4">
        <v>126</v>
      </c>
      <c r="P664" s="4">
        <v>8047</v>
      </c>
      <c r="Q664" s="4">
        <v>33641</v>
      </c>
      <c r="R664" s="4">
        <v>9</v>
      </c>
      <c r="S664" s="3">
        <v>6502.2749329999997</v>
      </c>
      <c r="T664" s="3">
        <f t="shared" si="62"/>
        <v>722.47499255555556</v>
      </c>
      <c r="U664" s="5">
        <f t="shared" si="66"/>
        <v>7.1428571428571425E-2</v>
      </c>
      <c r="V664" s="5">
        <f t="shared" si="63"/>
        <v>2.6604729729729731E-3</v>
      </c>
      <c r="W664" s="3">
        <f t="shared" si="64"/>
        <v>51.605356611111105</v>
      </c>
      <c r="X664" s="3">
        <f t="shared" si="65"/>
        <v>137.29465652449323</v>
      </c>
      <c r="Y664" s="7">
        <f t="shared" si="67"/>
        <v>0.23920216402603967</v>
      </c>
    </row>
    <row r="665" spans="1:25" x14ac:dyDescent="0.25">
      <c r="A665" t="s">
        <v>172</v>
      </c>
      <c r="B665" t="s">
        <v>970</v>
      </c>
      <c r="E665" t="s">
        <v>14</v>
      </c>
      <c r="F665" t="s">
        <v>44</v>
      </c>
      <c r="G665" t="s">
        <v>1066</v>
      </c>
      <c r="H665" t="s">
        <v>1067</v>
      </c>
      <c r="K665" t="s">
        <v>45</v>
      </c>
      <c r="L665" t="s">
        <v>17</v>
      </c>
      <c r="M665" t="s">
        <v>21</v>
      </c>
      <c r="N665" s="4">
        <v>325152</v>
      </c>
      <c r="O665" s="4">
        <v>854</v>
      </c>
      <c r="P665" s="4">
        <v>138319</v>
      </c>
      <c r="Q665" s="4">
        <v>300133</v>
      </c>
      <c r="R665" s="4">
        <v>55</v>
      </c>
      <c r="S665" s="3">
        <v>7887.6126619999995</v>
      </c>
      <c r="T665" s="3">
        <f t="shared" si="62"/>
        <v>143.41113930909091</v>
      </c>
      <c r="U665" s="5">
        <f t="shared" si="66"/>
        <v>6.4402810304449651E-2</v>
      </c>
      <c r="V665" s="5">
        <f t="shared" si="63"/>
        <v>2.6264639307154807E-3</v>
      </c>
      <c r="W665" s="3">
        <f t="shared" si="64"/>
        <v>9.2360804004683832</v>
      </c>
      <c r="X665" s="3">
        <f t="shared" si="65"/>
        <v>24.258232033018402</v>
      </c>
      <c r="Y665" s="7">
        <f t="shared" si="67"/>
        <v>0.46085901916816879</v>
      </c>
    </row>
    <row r="666" spans="1:25" x14ac:dyDescent="0.25">
      <c r="A666" t="s">
        <v>172</v>
      </c>
      <c r="B666" t="s">
        <v>970</v>
      </c>
      <c r="C666" t="s">
        <v>980</v>
      </c>
      <c r="E666" t="s">
        <v>19</v>
      </c>
      <c r="F666" t="s">
        <v>44</v>
      </c>
      <c r="G666" t="s">
        <v>1062</v>
      </c>
      <c r="H666" t="s">
        <v>1063</v>
      </c>
      <c r="K666" t="s">
        <v>16</v>
      </c>
      <c r="L666" t="s">
        <v>17</v>
      </c>
      <c r="M666" t="s">
        <v>21</v>
      </c>
      <c r="N666" s="4">
        <v>318269</v>
      </c>
      <c r="O666" s="4">
        <v>914</v>
      </c>
      <c r="P666" s="4">
        <v>33355</v>
      </c>
      <c r="Q666" s="4">
        <v>295405</v>
      </c>
      <c r="R666" s="4">
        <v>44</v>
      </c>
      <c r="S666" s="3">
        <v>7854.7319909999997</v>
      </c>
      <c r="T666" s="3">
        <f t="shared" si="62"/>
        <v>178.51663615909089</v>
      </c>
      <c r="U666" s="5">
        <f t="shared" si="66"/>
        <v>4.8140043763676151E-2</v>
      </c>
      <c r="V666" s="5">
        <f t="shared" si="63"/>
        <v>2.8717845596020978E-3</v>
      </c>
      <c r="W666" s="3">
        <f t="shared" si="64"/>
        <v>8.5937986772428872</v>
      </c>
      <c r="X666" s="3">
        <f t="shared" si="65"/>
        <v>24.679538349635056</v>
      </c>
      <c r="Y666" s="7">
        <f t="shared" si="67"/>
        <v>0.11291278075861952</v>
      </c>
    </row>
    <row r="667" spans="1:25" x14ac:dyDescent="0.25">
      <c r="A667" t="s">
        <v>172</v>
      </c>
      <c r="B667" t="s">
        <v>981</v>
      </c>
      <c r="E667" t="s">
        <v>14</v>
      </c>
      <c r="F667" t="s">
        <v>44</v>
      </c>
      <c r="G667" t="s">
        <v>1070</v>
      </c>
      <c r="H667" t="s">
        <v>1071</v>
      </c>
      <c r="K667" t="s">
        <v>75</v>
      </c>
      <c r="L667" t="s">
        <v>17</v>
      </c>
      <c r="M667" t="s">
        <v>29</v>
      </c>
      <c r="N667" s="4">
        <v>27394</v>
      </c>
      <c r="O667" s="4">
        <v>74</v>
      </c>
      <c r="P667" s="4">
        <v>16144</v>
      </c>
      <c r="Q667" s="4">
        <v>24752</v>
      </c>
      <c r="R667" s="4">
        <v>78</v>
      </c>
      <c r="S667" s="3">
        <v>7264.5876099999996</v>
      </c>
      <c r="T667" s="3">
        <f t="shared" si="62"/>
        <v>93.135738589743582</v>
      </c>
      <c r="U667" s="5">
        <f t="shared" si="66"/>
        <v>1.0540540540540539</v>
      </c>
      <c r="V667" s="5">
        <f t="shared" si="63"/>
        <v>2.7013214572534131E-3</v>
      </c>
      <c r="W667" s="3">
        <f t="shared" si="64"/>
        <v>98.170102837837831</v>
      </c>
      <c r="X667" s="3">
        <f t="shared" si="65"/>
        <v>265.18900525662553</v>
      </c>
      <c r="Y667" s="7">
        <f t="shared" si="67"/>
        <v>0.65223012281835813</v>
      </c>
    </row>
    <row r="668" spans="1:25" x14ac:dyDescent="0.25">
      <c r="A668" t="s">
        <v>172</v>
      </c>
      <c r="B668" t="s">
        <v>982</v>
      </c>
      <c r="C668" t="s">
        <v>983</v>
      </c>
      <c r="E668" t="s">
        <v>19</v>
      </c>
      <c r="F668" t="s">
        <v>26</v>
      </c>
      <c r="G668" t="s">
        <v>1070</v>
      </c>
      <c r="H668" t="s">
        <v>1071</v>
      </c>
      <c r="K668" t="s">
        <v>215</v>
      </c>
      <c r="L668" t="s">
        <v>17</v>
      </c>
      <c r="M668" t="s">
        <v>21</v>
      </c>
      <c r="N668" s="4">
        <v>108559</v>
      </c>
      <c r="O668" s="4">
        <v>212</v>
      </c>
      <c r="P668" s="4">
        <v>79254</v>
      </c>
      <c r="Q668" s="4">
        <v>100563</v>
      </c>
      <c r="R668" s="4">
        <v>7</v>
      </c>
      <c r="S668" s="3">
        <v>6850.5764829999998</v>
      </c>
      <c r="T668" s="3">
        <f t="shared" si="62"/>
        <v>978.65378328571421</v>
      </c>
      <c r="U668" s="5">
        <f t="shared" si="66"/>
        <v>3.3018867924528301E-2</v>
      </c>
      <c r="V668" s="5">
        <f t="shared" si="63"/>
        <v>1.952855129468768E-3</v>
      </c>
      <c r="W668" s="3">
        <f t="shared" si="64"/>
        <v>32.31404001415094</v>
      </c>
      <c r="X668" s="3">
        <f t="shared" si="65"/>
        <v>63.104638795493692</v>
      </c>
      <c r="Y668" s="7">
        <f t="shared" si="67"/>
        <v>0.78810298022135383</v>
      </c>
    </row>
    <row r="669" spans="1:25" x14ac:dyDescent="0.25">
      <c r="A669" t="s">
        <v>172</v>
      </c>
      <c r="B669" t="s">
        <v>984</v>
      </c>
      <c r="C669" t="s">
        <v>985</v>
      </c>
      <c r="D669" t="s">
        <v>986</v>
      </c>
      <c r="E669" t="s">
        <v>23</v>
      </c>
      <c r="F669" t="s">
        <v>33</v>
      </c>
      <c r="G669" t="s">
        <v>1092</v>
      </c>
      <c r="H669" t="s">
        <v>1065</v>
      </c>
      <c r="K669" t="s">
        <v>629</v>
      </c>
      <c r="L669" t="s">
        <v>17</v>
      </c>
      <c r="M669" t="s">
        <v>21</v>
      </c>
      <c r="N669" s="4">
        <v>81054</v>
      </c>
      <c r="O669" s="4">
        <v>265</v>
      </c>
      <c r="P669" s="4">
        <v>56762</v>
      </c>
      <c r="Q669" s="4">
        <v>76198</v>
      </c>
      <c r="R669" s="4">
        <v>16</v>
      </c>
      <c r="S669" s="3">
        <v>1532.357841</v>
      </c>
      <c r="T669" s="3">
        <f t="shared" si="62"/>
        <v>95.7723650625</v>
      </c>
      <c r="U669" s="5">
        <f t="shared" si="66"/>
        <v>6.0377358490566038E-2</v>
      </c>
      <c r="V669" s="5">
        <f t="shared" si="63"/>
        <v>3.2694253213906778E-3</v>
      </c>
      <c r="W669" s="3">
        <f t="shared" si="64"/>
        <v>5.7824824188679242</v>
      </c>
      <c r="X669" s="3">
        <f t="shared" si="65"/>
        <v>18.905394440743208</v>
      </c>
      <c r="Y669" s="7">
        <f t="shared" si="67"/>
        <v>0.74492768839077139</v>
      </c>
    </row>
    <row r="670" spans="1:25" x14ac:dyDescent="0.25">
      <c r="A670" t="s">
        <v>172</v>
      </c>
      <c r="B670" t="s">
        <v>987</v>
      </c>
      <c r="E670" t="s">
        <v>23</v>
      </c>
      <c r="F670" t="s">
        <v>15</v>
      </c>
      <c r="G670" t="s">
        <v>1066</v>
      </c>
      <c r="H670" t="s">
        <v>1067</v>
      </c>
      <c r="K670" t="s">
        <v>191</v>
      </c>
      <c r="L670" t="s">
        <v>17</v>
      </c>
      <c r="M670" t="s">
        <v>21</v>
      </c>
      <c r="N670" s="4">
        <v>184622</v>
      </c>
      <c r="O670" s="4">
        <v>180</v>
      </c>
      <c r="P670" s="4">
        <v>98938</v>
      </c>
      <c r="Q670" s="4">
        <v>161848</v>
      </c>
      <c r="R670" s="4">
        <v>13</v>
      </c>
      <c r="S670" s="3">
        <v>7149.8160749999997</v>
      </c>
      <c r="T670" s="3">
        <f t="shared" si="62"/>
        <v>549.98585192307689</v>
      </c>
      <c r="U670" s="5">
        <f t="shared" si="66"/>
        <v>7.2222222222222215E-2</v>
      </c>
      <c r="V670" s="5">
        <f t="shared" si="63"/>
        <v>9.7496506375188219E-4</v>
      </c>
      <c r="W670" s="3">
        <f t="shared" si="64"/>
        <v>39.721200416666662</v>
      </c>
      <c r="X670" s="3">
        <f t="shared" si="65"/>
        <v>38.726782696536702</v>
      </c>
      <c r="Y670" s="7">
        <f t="shared" si="67"/>
        <v>0.61130196233503042</v>
      </c>
    </row>
    <row r="671" spans="1:25" x14ac:dyDescent="0.25">
      <c r="A671" t="s">
        <v>172</v>
      </c>
      <c r="B671" t="s">
        <v>982</v>
      </c>
      <c r="C671" t="s">
        <v>988</v>
      </c>
      <c r="E671" t="s">
        <v>14</v>
      </c>
      <c r="F671" t="s">
        <v>15</v>
      </c>
      <c r="G671" t="s">
        <v>1062</v>
      </c>
      <c r="H671" t="s">
        <v>1063</v>
      </c>
      <c r="K671" t="s">
        <v>191</v>
      </c>
      <c r="L671" t="s">
        <v>89</v>
      </c>
      <c r="M671" t="s">
        <v>21</v>
      </c>
      <c r="N671" s="4">
        <v>1720462</v>
      </c>
      <c r="O671" s="4">
        <v>4865</v>
      </c>
      <c r="P671" s="4">
        <v>940296</v>
      </c>
      <c r="Q671" s="4">
        <v>1516537</v>
      </c>
      <c r="R671" s="4">
        <v>20</v>
      </c>
      <c r="S671" s="3">
        <v>5906.4649669999999</v>
      </c>
      <c r="T671" s="3">
        <f t="shared" si="62"/>
        <v>295.32324834999997</v>
      </c>
      <c r="U671" s="5">
        <f t="shared" si="66"/>
        <v>4.1109969167523125E-3</v>
      </c>
      <c r="V671" s="5">
        <f t="shared" si="63"/>
        <v>2.8277288309767959E-3</v>
      </c>
      <c r="W671" s="3">
        <f t="shared" si="64"/>
        <v>1.2140729634121274</v>
      </c>
      <c r="X671" s="3">
        <f t="shared" si="65"/>
        <v>3.433069121549909</v>
      </c>
      <c r="Y671" s="7">
        <f t="shared" si="67"/>
        <v>0.62002839363629114</v>
      </c>
    </row>
    <row r="672" spans="1:25" x14ac:dyDescent="0.25">
      <c r="A672" t="s">
        <v>172</v>
      </c>
      <c r="B672" t="s">
        <v>976</v>
      </c>
      <c r="C672" t="s">
        <v>977</v>
      </c>
      <c r="D672" t="s">
        <v>190</v>
      </c>
      <c r="E672" t="s">
        <v>19</v>
      </c>
      <c r="F672" t="s">
        <v>33</v>
      </c>
      <c r="G672" t="s">
        <v>1086</v>
      </c>
      <c r="H672" t="s">
        <v>1063</v>
      </c>
      <c r="K672" t="s">
        <v>42</v>
      </c>
      <c r="L672" t="s">
        <v>25</v>
      </c>
      <c r="M672" t="s">
        <v>21</v>
      </c>
      <c r="N672" s="4">
        <v>69136</v>
      </c>
      <c r="O672" s="4">
        <v>190</v>
      </c>
      <c r="P672" s="4">
        <v>40571</v>
      </c>
      <c r="Q672" s="4">
        <v>63614</v>
      </c>
      <c r="R672" s="4">
        <v>3</v>
      </c>
      <c r="S672" s="3">
        <v>1507.9468509999999</v>
      </c>
      <c r="T672" s="3">
        <f t="shared" si="62"/>
        <v>502.64895033333329</v>
      </c>
      <c r="U672" s="5">
        <f t="shared" si="66"/>
        <v>1.5789473684210527E-2</v>
      </c>
      <c r="V672" s="5">
        <f t="shared" si="63"/>
        <v>2.7482064336959038E-3</v>
      </c>
      <c r="W672" s="3">
        <f t="shared" si="64"/>
        <v>7.9365623736842101</v>
      </c>
      <c r="X672" s="3">
        <f t="shared" si="65"/>
        <v>21.811311776787779</v>
      </c>
      <c r="Y672" s="7">
        <f t="shared" si="67"/>
        <v>0.63776841575753762</v>
      </c>
    </row>
    <row r="673" spans="1:25" x14ac:dyDescent="0.25">
      <c r="A673" t="s">
        <v>172</v>
      </c>
      <c r="B673" t="s">
        <v>989</v>
      </c>
      <c r="C673" t="s">
        <v>990</v>
      </c>
      <c r="E673" t="s">
        <v>19</v>
      </c>
      <c r="F673" t="s">
        <v>33</v>
      </c>
      <c r="G673" t="s">
        <v>1112</v>
      </c>
      <c r="H673" t="s">
        <v>1074</v>
      </c>
      <c r="K673" t="s">
        <v>100</v>
      </c>
      <c r="L673" t="s">
        <v>17</v>
      </c>
      <c r="M673" t="s">
        <v>21</v>
      </c>
      <c r="N673" s="4">
        <v>91593</v>
      </c>
      <c r="O673" s="4">
        <v>40</v>
      </c>
      <c r="P673" s="4">
        <v>51004</v>
      </c>
      <c r="Q673" s="4">
        <v>82985</v>
      </c>
      <c r="R673" s="4">
        <v>18</v>
      </c>
      <c r="S673" s="3">
        <v>1731.5848619999999</v>
      </c>
      <c r="T673" s="3">
        <f t="shared" si="62"/>
        <v>96.199158999999995</v>
      </c>
      <c r="U673" s="5">
        <f t="shared" si="66"/>
        <v>0.45</v>
      </c>
      <c r="V673" s="5">
        <f t="shared" si="63"/>
        <v>4.3671459609358795E-4</v>
      </c>
      <c r="W673" s="3">
        <f t="shared" si="64"/>
        <v>43.28962155</v>
      </c>
      <c r="X673" s="3">
        <f t="shared" si="65"/>
        <v>18.905209590252529</v>
      </c>
      <c r="Y673" s="7">
        <f t="shared" si="67"/>
        <v>0.61461709947580889</v>
      </c>
    </row>
    <row r="674" spans="1:25" x14ac:dyDescent="0.25">
      <c r="A674" t="s">
        <v>172</v>
      </c>
      <c r="B674" t="s">
        <v>991</v>
      </c>
      <c r="E674" t="s">
        <v>14</v>
      </c>
      <c r="F674" t="s">
        <v>44</v>
      </c>
      <c r="G674" t="s">
        <v>1062</v>
      </c>
      <c r="H674" t="s">
        <v>1063</v>
      </c>
      <c r="K674" t="s">
        <v>45</v>
      </c>
      <c r="L674" t="s">
        <v>28</v>
      </c>
      <c r="M674" t="s">
        <v>18</v>
      </c>
      <c r="N674" s="4">
        <v>161222</v>
      </c>
      <c r="O674" s="4">
        <v>500</v>
      </c>
      <c r="P674" s="4">
        <v>66740</v>
      </c>
      <c r="Q674" s="4">
        <v>149743</v>
      </c>
      <c r="R674" s="4">
        <v>19</v>
      </c>
      <c r="S674" s="3">
        <v>5767.7973810000003</v>
      </c>
      <c r="T674" s="3">
        <f t="shared" si="62"/>
        <v>303.56828321052632</v>
      </c>
      <c r="U674" s="5">
        <f t="shared" si="66"/>
        <v>3.7999999999999999E-2</v>
      </c>
      <c r="V674" s="5">
        <f t="shared" si="63"/>
        <v>3.1013137164903051E-3</v>
      </c>
      <c r="W674" s="3">
        <f t="shared" si="64"/>
        <v>11.535594762000001</v>
      </c>
      <c r="X674" s="3">
        <f t="shared" si="65"/>
        <v>35.775498263264325</v>
      </c>
      <c r="Y674" s="7">
        <f t="shared" si="67"/>
        <v>0.44569696079282506</v>
      </c>
    </row>
    <row r="675" spans="1:25" x14ac:dyDescent="0.25">
      <c r="A675" t="s">
        <v>172</v>
      </c>
      <c r="B675" t="s">
        <v>172</v>
      </c>
      <c r="E675" t="s">
        <v>19</v>
      </c>
      <c r="F675" t="s">
        <v>15</v>
      </c>
      <c r="G675" t="s">
        <v>1066</v>
      </c>
      <c r="H675" t="s">
        <v>1067</v>
      </c>
      <c r="K675" t="s">
        <v>98</v>
      </c>
      <c r="L675" t="s">
        <v>17</v>
      </c>
      <c r="M675" t="s">
        <v>21</v>
      </c>
      <c r="N675" s="4">
        <v>272509</v>
      </c>
      <c r="O675" s="4">
        <v>736</v>
      </c>
      <c r="P675" s="4">
        <v>89526</v>
      </c>
      <c r="Q675" s="4">
        <v>237859</v>
      </c>
      <c r="R675" s="4">
        <v>69</v>
      </c>
      <c r="S675" s="3">
        <v>8168.3470770000004</v>
      </c>
      <c r="T675" s="3">
        <f t="shared" si="62"/>
        <v>118.38184169565218</v>
      </c>
      <c r="U675" s="5">
        <f t="shared" si="66"/>
        <v>9.375E-2</v>
      </c>
      <c r="V675" s="5">
        <f t="shared" si="63"/>
        <v>2.7008282295263642E-3</v>
      </c>
      <c r="W675" s="3">
        <f t="shared" si="64"/>
        <v>11.098297658967391</v>
      </c>
      <c r="X675" s="3">
        <f t="shared" si="65"/>
        <v>29.974595617025493</v>
      </c>
      <c r="Y675" s="7">
        <f t="shared" si="67"/>
        <v>0.37638264686221667</v>
      </c>
    </row>
    <row r="676" spans="1:25" x14ac:dyDescent="0.25">
      <c r="A676" t="s">
        <v>172</v>
      </c>
      <c r="B676" t="s">
        <v>992</v>
      </c>
      <c r="C676" t="s">
        <v>993</v>
      </c>
      <c r="E676" t="s">
        <v>19</v>
      </c>
      <c r="F676" t="s">
        <v>15</v>
      </c>
      <c r="G676" t="s">
        <v>1078</v>
      </c>
      <c r="H676" t="s">
        <v>1065</v>
      </c>
      <c r="K676" t="s">
        <v>256</v>
      </c>
      <c r="L676" t="s">
        <v>17</v>
      </c>
      <c r="M676" t="s">
        <v>21</v>
      </c>
      <c r="N676" s="4">
        <v>16580</v>
      </c>
      <c r="O676" s="4">
        <v>84</v>
      </c>
      <c r="P676" s="4">
        <v>11928</v>
      </c>
      <c r="Q676" s="4">
        <v>14527</v>
      </c>
      <c r="R676" s="4">
        <v>6</v>
      </c>
      <c r="S676" s="3">
        <v>1965.7389470000001</v>
      </c>
      <c r="T676" s="3">
        <f t="shared" si="62"/>
        <v>327.62315783333332</v>
      </c>
      <c r="U676" s="5">
        <f t="shared" si="66"/>
        <v>7.1428571428571425E-2</v>
      </c>
      <c r="V676" s="5">
        <f t="shared" si="63"/>
        <v>5.066344993968637E-3</v>
      </c>
      <c r="W676" s="3">
        <f t="shared" si="64"/>
        <v>23.40165413095238</v>
      </c>
      <c r="X676" s="3">
        <f t="shared" si="65"/>
        <v>118.56085325693607</v>
      </c>
      <c r="Y676" s="7">
        <f t="shared" si="67"/>
        <v>0.82109176017071661</v>
      </c>
    </row>
    <row r="677" spans="1:25" x14ac:dyDescent="0.25">
      <c r="A677" t="s">
        <v>172</v>
      </c>
      <c r="B677" t="s">
        <v>994</v>
      </c>
      <c r="E677" t="s">
        <v>14</v>
      </c>
      <c r="F677" t="s">
        <v>44</v>
      </c>
      <c r="G677" t="s">
        <v>1066</v>
      </c>
      <c r="H677" t="s">
        <v>1067</v>
      </c>
      <c r="K677" t="s">
        <v>648</v>
      </c>
      <c r="L677" t="s">
        <v>25</v>
      </c>
      <c r="M677" t="s">
        <v>29</v>
      </c>
      <c r="N677" s="4">
        <v>45711</v>
      </c>
      <c r="O677" s="4">
        <v>130</v>
      </c>
      <c r="P677" s="4">
        <v>23052</v>
      </c>
      <c r="Q677" s="4">
        <v>42375</v>
      </c>
      <c r="R677" s="4">
        <v>11</v>
      </c>
      <c r="S677" s="3">
        <v>6417.8761690000001</v>
      </c>
      <c r="T677" s="3">
        <f t="shared" si="62"/>
        <v>583.44328809090905</v>
      </c>
      <c r="U677" s="5">
        <f t="shared" si="66"/>
        <v>8.461538461538462E-2</v>
      </c>
      <c r="V677" s="5">
        <f t="shared" si="63"/>
        <v>2.8439544092231628E-3</v>
      </c>
      <c r="W677" s="3">
        <f t="shared" si="64"/>
        <v>49.368278223076921</v>
      </c>
      <c r="X677" s="3">
        <f t="shared" si="65"/>
        <v>140.40113252827547</v>
      </c>
      <c r="Y677" s="7">
        <f t="shared" si="67"/>
        <v>0.54400000000000004</v>
      </c>
    </row>
    <row r="678" spans="1:25" x14ac:dyDescent="0.25">
      <c r="A678" t="s">
        <v>172</v>
      </c>
      <c r="B678" t="s">
        <v>987</v>
      </c>
      <c r="C678" t="s">
        <v>995</v>
      </c>
      <c r="E678" t="s">
        <v>19</v>
      </c>
      <c r="F678" t="s">
        <v>33</v>
      </c>
      <c r="G678" t="s">
        <v>1106</v>
      </c>
      <c r="H678" t="s">
        <v>1097</v>
      </c>
      <c r="K678" t="s">
        <v>229</v>
      </c>
      <c r="L678" t="s">
        <v>28</v>
      </c>
      <c r="M678" t="s">
        <v>21</v>
      </c>
      <c r="N678" s="4">
        <v>189571</v>
      </c>
      <c r="O678" s="4">
        <v>500</v>
      </c>
      <c r="P678" s="4">
        <v>130676</v>
      </c>
      <c r="Q678" s="4">
        <v>183688</v>
      </c>
      <c r="R678" s="4">
        <v>39</v>
      </c>
      <c r="S678" s="3">
        <v>6335.9483879999998</v>
      </c>
      <c r="T678" s="3">
        <f t="shared" si="62"/>
        <v>162.46021507692308</v>
      </c>
      <c r="U678" s="5">
        <f t="shared" si="66"/>
        <v>7.8E-2</v>
      </c>
      <c r="V678" s="5">
        <f t="shared" si="63"/>
        <v>2.6375342220065303E-3</v>
      </c>
      <c r="W678" s="3">
        <f t="shared" si="64"/>
        <v>12.671896775999999</v>
      </c>
      <c r="X678" s="3">
        <f t="shared" si="65"/>
        <v>33.422561404434219</v>
      </c>
      <c r="Y678" s="7">
        <f t="shared" si="67"/>
        <v>0.71140194242411048</v>
      </c>
    </row>
    <row r="679" spans="1:25" x14ac:dyDescent="0.25">
      <c r="A679" t="s">
        <v>172</v>
      </c>
      <c r="B679" t="s">
        <v>996</v>
      </c>
      <c r="E679" t="s">
        <v>23</v>
      </c>
      <c r="F679" t="s">
        <v>33</v>
      </c>
      <c r="G679" t="s">
        <v>1078</v>
      </c>
      <c r="H679" t="s">
        <v>1065</v>
      </c>
      <c r="K679" t="s">
        <v>278</v>
      </c>
      <c r="L679" t="s">
        <v>89</v>
      </c>
      <c r="M679" t="s">
        <v>21</v>
      </c>
      <c r="N679" s="4">
        <v>46190</v>
      </c>
      <c r="O679" s="4">
        <v>130</v>
      </c>
      <c r="P679" s="4">
        <v>8618</v>
      </c>
      <c r="Q679" s="4">
        <v>41618</v>
      </c>
      <c r="R679" s="4">
        <v>1</v>
      </c>
      <c r="S679" s="3">
        <v>5464.1098169999996</v>
      </c>
      <c r="T679" s="3">
        <f t="shared" si="62"/>
        <v>5464.1098169999996</v>
      </c>
      <c r="U679" s="5">
        <f t="shared" si="66"/>
        <v>7.6923076923076927E-3</v>
      </c>
      <c r="V679" s="5">
        <f t="shared" si="63"/>
        <v>2.8144620047629355E-3</v>
      </c>
      <c r="W679" s="3">
        <f t="shared" si="64"/>
        <v>42.031613976923076</v>
      </c>
      <c r="X679" s="3">
        <f t="shared" si="65"/>
        <v>118.29638053691275</v>
      </c>
      <c r="Y679" s="7">
        <f t="shared" si="67"/>
        <v>0.20707386227113267</v>
      </c>
    </row>
    <row r="680" spans="1:25" x14ac:dyDescent="0.25">
      <c r="A680" t="s">
        <v>172</v>
      </c>
      <c r="B680" t="s">
        <v>997</v>
      </c>
      <c r="C680" t="s">
        <v>998</v>
      </c>
      <c r="E680" t="s">
        <v>19</v>
      </c>
      <c r="F680" t="s">
        <v>33</v>
      </c>
      <c r="G680" t="s">
        <v>1070</v>
      </c>
      <c r="H680" t="s">
        <v>1071</v>
      </c>
      <c r="K680" t="s">
        <v>45</v>
      </c>
      <c r="L680" t="s">
        <v>25</v>
      </c>
      <c r="M680" t="s">
        <v>21</v>
      </c>
      <c r="N680" s="4">
        <v>87287</v>
      </c>
      <c r="O680" s="4">
        <v>203</v>
      </c>
      <c r="P680" s="4">
        <v>40039</v>
      </c>
      <c r="Q680" s="4">
        <v>80040</v>
      </c>
      <c r="R680" s="4">
        <v>18</v>
      </c>
      <c r="S680" s="3">
        <v>1579.367346</v>
      </c>
      <c r="T680" s="3">
        <f t="shared" si="62"/>
        <v>87.742630333333338</v>
      </c>
      <c r="U680" s="5">
        <f t="shared" si="66"/>
        <v>8.8669950738916259E-2</v>
      </c>
      <c r="V680" s="5">
        <f t="shared" si="63"/>
        <v>2.3256613241376149E-3</v>
      </c>
      <c r="W680" s="3">
        <f t="shared" si="64"/>
        <v>7.780134709359606</v>
      </c>
      <c r="X680" s="3">
        <f t="shared" si="65"/>
        <v>18.09395839013828</v>
      </c>
      <c r="Y680" s="7">
        <f t="shared" si="67"/>
        <v>0.50023738130934536</v>
      </c>
    </row>
    <row r="681" spans="1:25" x14ac:dyDescent="0.25">
      <c r="A681" t="s">
        <v>172</v>
      </c>
      <c r="B681" t="s">
        <v>185</v>
      </c>
      <c r="E681" t="s">
        <v>19</v>
      </c>
      <c r="F681" t="s">
        <v>33</v>
      </c>
      <c r="G681" t="s">
        <v>1070</v>
      </c>
      <c r="H681" t="s">
        <v>1071</v>
      </c>
      <c r="K681" t="s">
        <v>999</v>
      </c>
      <c r="L681" t="s">
        <v>17</v>
      </c>
      <c r="M681" t="s">
        <v>21</v>
      </c>
      <c r="N681" s="4">
        <v>45965</v>
      </c>
      <c r="O681" s="4">
        <v>190</v>
      </c>
      <c r="P681" s="4">
        <v>10028</v>
      </c>
      <c r="Q681" s="4">
        <v>37295</v>
      </c>
      <c r="R681" s="4">
        <v>1</v>
      </c>
      <c r="S681" s="3">
        <v>4718.8361139999997</v>
      </c>
      <c r="T681" s="3">
        <f t="shared" si="62"/>
        <v>4718.8361139999997</v>
      </c>
      <c r="U681" s="5">
        <f t="shared" si="66"/>
        <v>5.263157894736842E-3</v>
      </c>
      <c r="V681" s="5">
        <f t="shared" si="63"/>
        <v>4.1335798977482864E-3</v>
      </c>
      <c r="W681" s="3">
        <f t="shared" si="64"/>
        <v>24.835979547368421</v>
      </c>
      <c r="X681" s="3">
        <f t="shared" si="65"/>
        <v>102.6615057978897</v>
      </c>
      <c r="Y681" s="7">
        <f t="shared" si="67"/>
        <v>0.2688832283147875</v>
      </c>
    </row>
    <row r="682" spans="1:25" x14ac:dyDescent="0.25">
      <c r="A682" t="s">
        <v>172</v>
      </c>
      <c r="B682" t="s">
        <v>1000</v>
      </c>
      <c r="E682" t="s">
        <v>14</v>
      </c>
      <c r="F682" t="s">
        <v>44</v>
      </c>
      <c r="G682" t="s">
        <v>1086</v>
      </c>
      <c r="H682" t="s">
        <v>1063</v>
      </c>
      <c r="K682" t="s">
        <v>167</v>
      </c>
      <c r="L682" t="s">
        <v>17</v>
      </c>
      <c r="M682" t="s">
        <v>21</v>
      </c>
      <c r="N682" s="4">
        <v>75531</v>
      </c>
      <c r="O682" s="4">
        <v>200</v>
      </c>
      <c r="P682" s="4">
        <v>63816</v>
      </c>
      <c r="Q682" s="4">
        <v>70011</v>
      </c>
      <c r="R682" s="4">
        <v>9</v>
      </c>
      <c r="S682" s="3">
        <v>7261.8650399999997</v>
      </c>
      <c r="T682" s="3">
        <f t="shared" si="62"/>
        <v>806.87389333333329</v>
      </c>
      <c r="U682" s="5">
        <f t="shared" si="66"/>
        <v>4.4999999999999998E-2</v>
      </c>
      <c r="V682" s="5">
        <f t="shared" si="63"/>
        <v>2.6479193973335453E-3</v>
      </c>
      <c r="W682" s="3">
        <f t="shared" si="64"/>
        <v>36.309325199999996</v>
      </c>
      <c r="X682" s="3">
        <f t="shared" si="65"/>
        <v>96.144166501171711</v>
      </c>
      <c r="Y682" s="7">
        <f t="shared" si="67"/>
        <v>0.91151390495779239</v>
      </c>
    </row>
    <row r="683" spans="1:25" x14ac:dyDescent="0.25">
      <c r="A683" t="s">
        <v>172</v>
      </c>
      <c r="B683" t="s">
        <v>1001</v>
      </c>
      <c r="E683" t="s">
        <v>19</v>
      </c>
      <c r="F683" t="s">
        <v>15</v>
      </c>
      <c r="G683" t="s">
        <v>1086</v>
      </c>
      <c r="H683" t="s">
        <v>1063</v>
      </c>
      <c r="K683" t="s">
        <v>91</v>
      </c>
      <c r="L683" t="s">
        <v>17</v>
      </c>
      <c r="M683" t="s">
        <v>21</v>
      </c>
      <c r="N683" s="4">
        <v>212009</v>
      </c>
      <c r="O683" s="4">
        <v>555</v>
      </c>
      <c r="P683" s="4">
        <v>16903</v>
      </c>
      <c r="Q683" s="4">
        <v>149653</v>
      </c>
      <c r="R683" s="4">
        <v>15</v>
      </c>
      <c r="S683" s="3">
        <v>3983.6217969999998</v>
      </c>
      <c r="T683" s="3">
        <f t="shared" si="62"/>
        <v>265.57478646666664</v>
      </c>
      <c r="U683" s="5">
        <f t="shared" si="66"/>
        <v>2.7027027027027029E-2</v>
      </c>
      <c r="V683" s="5">
        <f t="shared" si="63"/>
        <v>2.6178133947143754E-3</v>
      </c>
      <c r="W683" s="3">
        <f t="shared" si="64"/>
        <v>7.1776969315315311</v>
      </c>
      <c r="X683" s="3">
        <f t="shared" si="65"/>
        <v>18.789871170563515</v>
      </c>
      <c r="Y683" s="7">
        <f t="shared" si="67"/>
        <v>0.11294795293111398</v>
      </c>
    </row>
    <row r="684" spans="1:25" x14ac:dyDescent="0.25">
      <c r="A684" t="s">
        <v>172</v>
      </c>
      <c r="B684" t="s">
        <v>1002</v>
      </c>
      <c r="E684" t="s">
        <v>23</v>
      </c>
      <c r="F684" t="s">
        <v>15</v>
      </c>
      <c r="G684" t="s">
        <v>1062</v>
      </c>
      <c r="H684" t="s">
        <v>1063</v>
      </c>
      <c r="K684" t="s">
        <v>511</v>
      </c>
      <c r="L684" t="s">
        <v>89</v>
      </c>
      <c r="M684" t="s">
        <v>21</v>
      </c>
      <c r="N684" s="4">
        <v>10350</v>
      </c>
      <c r="O684" s="4">
        <v>66</v>
      </c>
      <c r="P684" s="4">
        <v>723</v>
      </c>
      <c r="Q684" s="4">
        <v>8720</v>
      </c>
      <c r="R684" s="4">
        <v>14</v>
      </c>
      <c r="S684" s="3">
        <v>6774.202636</v>
      </c>
      <c r="T684" s="3">
        <f t="shared" si="62"/>
        <v>483.87161685714284</v>
      </c>
      <c r="U684" s="5">
        <f t="shared" si="66"/>
        <v>0.21212121212121213</v>
      </c>
      <c r="V684" s="5">
        <f t="shared" si="63"/>
        <v>6.3768115942028983E-3</v>
      </c>
      <c r="W684" s="3">
        <f t="shared" si="64"/>
        <v>102.63943387878788</v>
      </c>
      <c r="X684" s="3">
        <f t="shared" si="65"/>
        <v>654.51233198067632</v>
      </c>
      <c r="Y684" s="7">
        <f t="shared" si="67"/>
        <v>8.2912844036697242E-2</v>
      </c>
    </row>
    <row r="685" spans="1:25" x14ac:dyDescent="0.25">
      <c r="A685" t="s">
        <v>172</v>
      </c>
      <c r="B685" t="s">
        <v>982</v>
      </c>
      <c r="E685" t="s">
        <v>14</v>
      </c>
      <c r="F685" t="s">
        <v>33</v>
      </c>
      <c r="G685" t="s">
        <v>1070</v>
      </c>
      <c r="H685" t="s">
        <v>1071</v>
      </c>
      <c r="K685" t="s">
        <v>91</v>
      </c>
      <c r="L685" t="s">
        <v>17</v>
      </c>
      <c r="M685" t="s">
        <v>21</v>
      </c>
      <c r="N685" s="4">
        <v>182114</v>
      </c>
      <c r="O685" s="4">
        <v>500</v>
      </c>
      <c r="P685" s="4">
        <v>14477</v>
      </c>
      <c r="Q685" s="4">
        <v>139167</v>
      </c>
      <c r="R685" s="4">
        <v>29</v>
      </c>
      <c r="S685" s="3">
        <v>6307.9007510000001</v>
      </c>
      <c r="T685" s="3">
        <f t="shared" si="62"/>
        <v>217.51381900000001</v>
      </c>
      <c r="U685" s="5">
        <f t="shared" si="66"/>
        <v>5.8000000000000003E-2</v>
      </c>
      <c r="V685" s="5">
        <f t="shared" si="63"/>
        <v>2.7455330177800718E-3</v>
      </c>
      <c r="W685" s="3">
        <f t="shared" si="64"/>
        <v>12.615801502</v>
      </c>
      <c r="X685" s="3">
        <f t="shared" si="65"/>
        <v>34.637099569500421</v>
      </c>
      <c r="Y685" s="7">
        <f t="shared" si="67"/>
        <v>0.1040260981410823</v>
      </c>
    </row>
    <row r="686" spans="1:25" x14ac:dyDescent="0.25">
      <c r="A686" t="s">
        <v>172</v>
      </c>
      <c r="B686" t="s">
        <v>981</v>
      </c>
      <c r="C686" t="s">
        <v>1003</v>
      </c>
      <c r="E686" t="s">
        <v>14</v>
      </c>
      <c r="F686" t="s">
        <v>15</v>
      </c>
      <c r="G686" t="s">
        <v>1078</v>
      </c>
      <c r="H686" t="s">
        <v>1065</v>
      </c>
      <c r="K686" t="s">
        <v>42</v>
      </c>
      <c r="L686" t="s">
        <v>17</v>
      </c>
      <c r="M686" t="s">
        <v>29</v>
      </c>
      <c r="N686" s="4">
        <v>141165</v>
      </c>
      <c r="O686" s="4">
        <v>250</v>
      </c>
      <c r="P686" s="4">
        <v>102776</v>
      </c>
      <c r="Q686" s="4">
        <v>128004</v>
      </c>
      <c r="R686" s="4">
        <v>28</v>
      </c>
      <c r="S686" s="3">
        <v>7222.2114080000001</v>
      </c>
      <c r="T686" s="3">
        <f t="shared" si="62"/>
        <v>257.93612171428572</v>
      </c>
      <c r="U686" s="5">
        <f t="shared" si="66"/>
        <v>0.112</v>
      </c>
      <c r="V686" s="5">
        <f t="shared" si="63"/>
        <v>1.7709772252328835E-3</v>
      </c>
      <c r="W686" s="3">
        <f t="shared" si="64"/>
        <v>28.888845631999999</v>
      </c>
      <c r="X686" s="3">
        <f t="shared" si="65"/>
        <v>51.161487677540464</v>
      </c>
      <c r="Y686" s="7">
        <f t="shared" si="67"/>
        <v>0.80291240898721916</v>
      </c>
    </row>
    <row r="687" spans="1:25" x14ac:dyDescent="0.25">
      <c r="A687" t="s">
        <v>172</v>
      </c>
      <c r="B687" t="s">
        <v>700</v>
      </c>
      <c r="C687" t="s">
        <v>1004</v>
      </c>
      <c r="D687" t="s">
        <v>1005</v>
      </c>
      <c r="E687" t="s">
        <v>19</v>
      </c>
      <c r="F687" t="s">
        <v>26</v>
      </c>
      <c r="G687" t="s">
        <v>1064</v>
      </c>
      <c r="H687" t="s">
        <v>1065</v>
      </c>
      <c r="K687" t="s">
        <v>1006</v>
      </c>
      <c r="L687" t="s">
        <v>28</v>
      </c>
      <c r="M687" t="s">
        <v>21</v>
      </c>
      <c r="N687" s="4">
        <v>31243</v>
      </c>
      <c r="O687" s="4">
        <v>100</v>
      </c>
      <c r="P687" s="4">
        <v>16326</v>
      </c>
      <c r="Q687" s="4">
        <v>25991</v>
      </c>
      <c r="R687" s="4">
        <v>21</v>
      </c>
      <c r="S687" s="3">
        <v>1452.5905600000001</v>
      </c>
      <c r="T687" s="3">
        <f t="shared" si="62"/>
        <v>69.170979047619056</v>
      </c>
      <c r="U687" s="5">
        <f t="shared" si="66"/>
        <v>0.21</v>
      </c>
      <c r="V687" s="5">
        <f t="shared" si="63"/>
        <v>3.2007169605991741E-3</v>
      </c>
      <c r="W687" s="3">
        <f t="shared" si="64"/>
        <v>14.525905600000002</v>
      </c>
      <c r="X687" s="3">
        <f t="shared" si="65"/>
        <v>46.49331242198253</v>
      </c>
      <c r="Y687" s="7">
        <f t="shared" si="67"/>
        <v>0.62814051017659955</v>
      </c>
    </row>
    <row r="688" spans="1:25" x14ac:dyDescent="0.25">
      <c r="A688" t="s">
        <v>172</v>
      </c>
      <c r="B688" t="s">
        <v>700</v>
      </c>
      <c r="C688" t="s">
        <v>1004</v>
      </c>
      <c r="D688" t="s">
        <v>1007</v>
      </c>
      <c r="E688" t="s">
        <v>19</v>
      </c>
      <c r="F688" t="s">
        <v>44</v>
      </c>
      <c r="G688" t="s">
        <v>1096</v>
      </c>
      <c r="H688" t="s">
        <v>1097</v>
      </c>
      <c r="K688" t="s">
        <v>213</v>
      </c>
      <c r="L688" t="s">
        <v>28</v>
      </c>
      <c r="M688" t="s">
        <v>21</v>
      </c>
      <c r="N688" s="4">
        <v>12354</v>
      </c>
      <c r="O688" s="4">
        <v>10</v>
      </c>
      <c r="P688" s="4">
        <v>8561</v>
      </c>
      <c r="Q688" s="4">
        <v>11782</v>
      </c>
      <c r="R688" s="4">
        <v>5</v>
      </c>
      <c r="S688" s="3">
        <v>1808.307918</v>
      </c>
      <c r="T688" s="3">
        <f t="shared" si="62"/>
        <v>361.66158359999997</v>
      </c>
      <c r="U688" s="5">
        <f t="shared" si="66"/>
        <v>0.5</v>
      </c>
      <c r="V688" s="5">
        <f t="shared" si="63"/>
        <v>8.0945442771571965E-4</v>
      </c>
      <c r="W688" s="3">
        <f t="shared" si="64"/>
        <v>180.83079179999999</v>
      </c>
      <c r="X688" s="3">
        <f t="shared" si="65"/>
        <v>146.37428508984942</v>
      </c>
      <c r="Y688" s="7">
        <f t="shared" si="67"/>
        <v>0.72661687319640134</v>
      </c>
    </row>
    <row r="689" spans="1:25" x14ac:dyDescent="0.25">
      <c r="A689" t="s">
        <v>172</v>
      </c>
      <c r="B689" t="s">
        <v>700</v>
      </c>
      <c r="C689" t="s">
        <v>1004</v>
      </c>
      <c r="D689" t="s">
        <v>1007</v>
      </c>
      <c r="E689" t="s">
        <v>23</v>
      </c>
      <c r="F689" t="s">
        <v>15</v>
      </c>
      <c r="G689" t="s">
        <v>1062</v>
      </c>
      <c r="H689" t="s">
        <v>1063</v>
      </c>
      <c r="K689" t="s">
        <v>648</v>
      </c>
      <c r="L689" t="s">
        <v>17</v>
      </c>
      <c r="M689" t="s">
        <v>21</v>
      </c>
      <c r="N689" s="4">
        <v>9730</v>
      </c>
      <c r="O689" s="4">
        <v>45</v>
      </c>
      <c r="P689" s="4">
        <v>2971</v>
      </c>
      <c r="Q689" s="4">
        <v>5102</v>
      </c>
      <c r="R689" s="4">
        <v>3</v>
      </c>
      <c r="S689" s="3">
        <v>1778.9379349999999</v>
      </c>
      <c r="T689" s="3">
        <f t="shared" si="62"/>
        <v>592.9793116666666</v>
      </c>
      <c r="U689" s="5">
        <f t="shared" si="66"/>
        <v>6.6666666666666666E-2</v>
      </c>
      <c r="V689" s="5">
        <f t="shared" si="63"/>
        <v>4.6248715313463515E-3</v>
      </c>
      <c r="W689" s="3">
        <f t="shared" si="64"/>
        <v>39.531954111111112</v>
      </c>
      <c r="X689" s="3">
        <f t="shared" si="65"/>
        <v>182.83020914696812</v>
      </c>
      <c r="Y689" s="7">
        <f t="shared" si="67"/>
        <v>0.58232065856526849</v>
      </c>
    </row>
    <row r="690" spans="1:25" x14ac:dyDescent="0.25">
      <c r="A690" t="s">
        <v>172</v>
      </c>
      <c r="B690" t="s">
        <v>700</v>
      </c>
      <c r="C690" t="s">
        <v>1008</v>
      </c>
      <c r="D690" t="s">
        <v>981</v>
      </c>
      <c r="E690" t="s">
        <v>14</v>
      </c>
      <c r="F690" t="s">
        <v>26</v>
      </c>
      <c r="G690" t="s">
        <v>1120</v>
      </c>
      <c r="H690" t="s">
        <v>1097</v>
      </c>
      <c r="K690" t="s">
        <v>117</v>
      </c>
      <c r="L690" t="s">
        <v>25</v>
      </c>
      <c r="M690" t="s">
        <v>29</v>
      </c>
      <c r="N690" s="4">
        <v>307888</v>
      </c>
      <c r="O690" s="4">
        <v>863</v>
      </c>
      <c r="P690" s="4">
        <v>134959</v>
      </c>
      <c r="Q690" s="4">
        <v>274790</v>
      </c>
      <c r="R690" s="4">
        <v>11</v>
      </c>
      <c r="S690" s="3">
        <v>1559.643865</v>
      </c>
      <c r="T690" s="3">
        <f t="shared" si="62"/>
        <v>141.7858059090909</v>
      </c>
      <c r="U690" s="5">
        <f t="shared" si="66"/>
        <v>1.2746234067207415E-2</v>
      </c>
      <c r="V690" s="5">
        <f t="shared" si="63"/>
        <v>2.8029673127890663E-3</v>
      </c>
      <c r="W690" s="3">
        <f t="shared" si="64"/>
        <v>1.8072350695249131</v>
      </c>
      <c r="X690" s="3">
        <f t="shared" si="65"/>
        <v>5.0656208264044063</v>
      </c>
      <c r="Y690" s="7">
        <f t="shared" si="67"/>
        <v>0.49113504858255397</v>
      </c>
    </row>
    <row r="691" spans="1:25" x14ac:dyDescent="0.25">
      <c r="A691" t="s">
        <v>172</v>
      </c>
      <c r="B691" t="s">
        <v>700</v>
      </c>
      <c r="C691" t="s">
        <v>1004</v>
      </c>
      <c r="D691" t="s">
        <v>1009</v>
      </c>
      <c r="E691" t="s">
        <v>19</v>
      </c>
      <c r="F691" t="s">
        <v>33</v>
      </c>
      <c r="G691" t="s">
        <v>1064</v>
      </c>
      <c r="H691" t="s">
        <v>1065</v>
      </c>
      <c r="K691" t="s">
        <v>42</v>
      </c>
      <c r="L691" t="s">
        <v>28</v>
      </c>
      <c r="M691" t="s">
        <v>21</v>
      </c>
      <c r="N691" s="4">
        <v>88819</v>
      </c>
      <c r="O691" s="4">
        <v>200</v>
      </c>
      <c r="P691" s="4">
        <v>65488</v>
      </c>
      <c r="Q691" s="4">
        <v>80451</v>
      </c>
      <c r="R691" s="4">
        <v>6</v>
      </c>
      <c r="S691" s="3">
        <v>1442.2279900000001</v>
      </c>
      <c r="T691" s="3">
        <f t="shared" si="62"/>
        <v>240.37133166666669</v>
      </c>
      <c r="U691" s="5">
        <f t="shared" si="66"/>
        <v>0.03</v>
      </c>
      <c r="V691" s="5">
        <f t="shared" si="63"/>
        <v>2.2517704545198663E-3</v>
      </c>
      <c r="W691" s="3">
        <f t="shared" si="64"/>
        <v>7.2111399500000006</v>
      </c>
      <c r="X691" s="3">
        <f t="shared" si="65"/>
        <v>16.237831882817865</v>
      </c>
      <c r="Y691" s="7">
        <f t="shared" si="67"/>
        <v>0.81401101291469347</v>
      </c>
    </row>
    <row r="692" spans="1:25" x14ac:dyDescent="0.25">
      <c r="A692" t="s">
        <v>172</v>
      </c>
      <c r="B692" t="s">
        <v>700</v>
      </c>
      <c r="C692" t="s">
        <v>1008</v>
      </c>
      <c r="D692" t="s">
        <v>1010</v>
      </c>
      <c r="E692" t="s">
        <v>14</v>
      </c>
      <c r="F692" t="s">
        <v>33</v>
      </c>
      <c r="G692" t="s">
        <v>1078</v>
      </c>
      <c r="H692" t="s">
        <v>1065</v>
      </c>
      <c r="K692" t="s">
        <v>191</v>
      </c>
      <c r="L692" t="s">
        <v>92</v>
      </c>
      <c r="M692" t="s">
        <v>21</v>
      </c>
      <c r="N692" s="4">
        <v>679098</v>
      </c>
      <c r="O692" s="4">
        <v>1984</v>
      </c>
      <c r="P692" s="4">
        <v>467726</v>
      </c>
      <c r="Q692" s="4">
        <v>634589</v>
      </c>
      <c r="R692" s="4">
        <v>9</v>
      </c>
      <c r="S692" s="3">
        <v>1477.4248560000001</v>
      </c>
      <c r="T692" s="3">
        <f t="shared" si="62"/>
        <v>164.15831733333334</v>
      </c>
      <c r="U692" s="5">
        <f t="shared" si="66"/>
        <v>4.5362903225806455E-3</v>
      </c>
      <c r="V692" s="5">
        <f t="shared" si="63"/>
        <v>2.9215223723232878E-3</v>
      </c>
      <c r="W692" s="3">
        <f t="shared" si="64"/>
        <v>0.74466978629032266</v>
      </c>
      <c r="X692" s="3">
        <f t="shared" si="65"/>
        <v>2.1755694406403787</v>
      </c>
      <c r="Y692" s="7">
        <f t="shared" si="67"/>
        <v>0.73705343143357349</v>
      </c>
    </row>
    <row r="693" spans="1:25" x14ac:dyDescent="0.25">
      <c r="A693" t="s">
        <v>172</v>
      </c>
      <c r="B693" t="s">
        <v>700</v>
      </c>
      <c r="E693" t="s">
        <v>19</v>
      </c>
      <c r="F693" t="s">
        <v>15</v>
      </c>
      <c r="G693" t="s">
        <v>1086</v>
      </c>
      <c r="H693" t="s">
        <v>1063</v>
      </c>
      <c r="K693" t="s">
        <v>349</v>
      </c>
      <c r="L693" t="s">
        <v>17</v>
      </c>
      <c r="M693" t="s">
        <v>21</v>
      </c>
      <c r="N693" s="4">
        <v>14890</v>
      </c>
      <c r="O693" s="4">
        <v>60</v>
      </c>
      <c r="P693" s="4">
        <v>6248</v>
      </c>
      <c r="Q693" s="4">
        <v>11493</v>
      </c>
      <c r="R693" s="4">
        <v>6</v>
      </c>
      <c r="S693" s="3">
        <v>1982.4164840000001</v>
      </c>
      <c r="T693" s="3">
        <f t="shared" si="62"/>
        <v>330.40274733333337</v>
      </c>
      <c r="U693" s="5">
        <f t="shared" si="66"/>
        <v>0.1</v>
      </c>
      <c r="V693" s="5">
        <f t="shared" si="63"/>
        <v>4.0295500335795834E-3</v>
      </c>
      <c r="W693" s="3">
        <f t="shared" si="64"/>
        <v>33.040274733333334</v>
      </c>
      <c r="X693" s="3">
        <f t="shared" si="65"/>
        <v>133.13744016118201</v>
      </c>
      <c r="Y693" s="7">
        <f t="shared" si="67"/>
        <v>0.54363525624293052</v>
      </c>
    </row>
    <row r="694" spans="1:25" x14ac:dyDescent="0.25">
      <c r="A694" t="s">
        <v>172</v>
      </c>
      <c r="B694" t="s">
        <v>723</v>
      </c>
      <c r="E694" t="s">
        <v>14</v>
      </c>
      <c r="F694" t="s">
        <v>44</v>
      </c>
      <c r="G694" t="s">
        <v>1070</v>
      </c>
      <c r="H694" t="s">
        <v>1071</v>
      </c>
      <c r="K694" t="s">
        <v>85</v>
      </c>
      <c r="L694" t="s">
        <v>17</v>
      </c>
      <c r="M694" t="s">
        <v>18</v>
      </c>
      <c r="N694" s="4">
        <v>48892</v>
      </c>
      <c r="O694" s="4">
        <v>110</v>
      </c>
      <c r="P694" s="4">
        <v>32060</v>
      </c>
      <c r="Q694" s="4">
        <v>45251</v>
      </c>
      <c r="R694" s="4">
        <v>9</v>
      </c>
      <c r="S694" s="3">
        <v>1978.609661</v>
      </c>
      <c r="T694" s="3">
        <f t="shared" si="62"/>
        <v>219.84551788888888</v>
      </c>
      <c r="U694" s="5">
        <f t="shared" si="66"/>
        <v>8.1818181818181818E-2</v>
      </c>
      <c r="V694" s="5">
        <f t="shared" si="63"/>
        <v>2.2498568272928086E-3</v>
      </c>
      <c r="W694" s="3">
        <f t="shared" si="64"/>
        <v>17.987360554545454</v>
      </c>
      <c r="X694" s="3">
        <f t="shared" si="65"/>
        <v>40.468985948621452</v>
      </c>
      <c r="Y694" s="7">
        <f t="shared" si="67"/>
        <v>0.70849262999712714</v>
      </c>
    </row>
    <row r="695" spans="1:25" x14ac:dyDescent="0.25">
      <c r="A695" t="s">
        <v>172</v>
      </c>
      <c r="B695" t="s">
        <v>700</v>
      </c>
      <c r="C695" t="s">
        <v>1004</v>
      </c>
      <c r="D695" t="s">
        <v>1011</v>
      </c>
      <c r="E695" t="s">
        <v>14</v>
      </c>
      <c r="F695" t="s">
        <v>15</v>
      </c>
      <c r="G695" t="s">
        <v>1078</v>
      </c>
      <c r="H695" t="s">
        <v>1065</v>
      </c>
      <c r="K695" t="s">
        <v>91</v>
      </c>
      <c r="L695" t="s">
        <v>92</v>
      </c>
      <c r="M695" t="s">
        <v>21</v>
      </c>
      <c r="N695" s="4">
        <v>253577</v>
      </c>
      <c r="O695" s="4">
        <v>890</v>
      </c>
      <c r="P695" s="4">
        <v>66972</v>
      </c>
      <c r="Q695" s="4">
        <v>191183</v>
      </c>
      <c r="R695" s="4">
        <v>44</v>
      </c>
      <c r="S695" s="3">
        <v>1493.074494</v>
      </c>
      <c r="T695" s="3">
        <f t="shared" si="62"/>
        <v>33.933511227272724</v>
      </c>
      <c r="U695" s="5">
        <f t="shared" si="66"/>
        <v>4.9438202247191011E-2</v>
      </c>
      <c r="V695" s="5">
        <f t="shared" si="63"/>
        <v>3.509782038591828E-3</v>
      </c>
      <c r="W695" s="3">
        <f t="shared" si="64"/>
        <v>1.6776117910112358</v>
      </c>
      <c r="X695" s="3">
        <f t="shared" si="65"/>
        <v>5.8880517318211041</v>
      </c>
    </row>
    <row r="696" spans="1:25" x14ac:dyDescent="0.25">
      <c r="A696" t="s">
        <v>1012</v>
      </c>
      <c r="B696" t="s">
        <v>408</v>
      </c>
      <c r="C696" t="s">
        <v>1013</v>
      </c>
      <c r="E696" t="s">
        <v>14</v>
      </c>
      <c r="F696" t="s">
        <v>26</v>
      </c>
      <c r="G696" t="s">
        <v>1079</v>
      </c>
      <c r="H696" t="s">
        <v>1080</v>
      </c>
      <c r="K696" t="s">
        <v>648</v>
      </c>
      <c r="L696" t="s">
        <v>89</v>
      </c>
      <c r="M696" t="s">
        <v>29</v>
      </c>
      <c r="N696" s="4">
        <v>48562</v>
      </c>
      <c r="O696" s="4">
        <v>150</v>
      </c>
      <c r="P696" s="4">
        <v>29108</v>
      </c>
      <c r="Q696" s="4">
        <v>45570</v>
      </c>
      <c r="R696" s="4">
        <v>11</v>
      </c>
      <c r="S696" s="3">
        <v>6346.6330239999998</v>
      </c>
      <c r="T696" s="3">
        <f t="shared" si="62"/>
        <v>576.96663854545454</v>
      </c>
      <c r="U696" s="5">
        <f t="shared" si="66"/>
        <v>7.3333333333333334E-2</v>
      </c>
      <c r="V696" s="5">
        <f t="shared" si="63"/>
        <v>3.088834891478934E-3</v>
      </c>
      <c r="W696" s="3">
        <f t="shared" si="64"/>
        <v>42.310886826666668</v>
      </c>
      <c r="X696" s="3">
        <f t="shared" si="65"/>
        <v>130.69134351962438</v>
      </c>
    </row>
    <row r="697" spans="1:25" x14ac:dyDescent="0.25">
      <c r="A697" t="s">
        <v>1012</v>
      </c>
      <c r="B697" t="s">
        <v>1014</v>
      </c>
      <c r="C697" t="s">
        <v>1015</v>
      </c>
      <c r="E697" t="s">
        <v>14</v>
      </c>
      <c r="F697" t="s">
        <v>15</v>
      </c>
      <c r="G697" t="s">
        <v>1062</v>
      </c>
      <c r="H697" t="s">
        <v>1063</v>
      </c>
      <c r="K697" t="s">
        <v>557</v>
      </c>
      <c r="L697" t="s">
        <v>17</v>
      </c>
      <c r="M697" t="s">
        <v>21</v>
      </c>
      <c r="N697" s="4">
        <v>52006</v>
      </c>
      <c r="O697" s="4">
        <v>160</v>
      </c>
      <c r="P697" s="4">
        <v>24711</v>
      </c>
      <c r="Q697" s="4">
        <v>48019</v>
      </c>
      <c r="R697" s="4">
        <v>12</v>
      </c>
      <c r="S697" s="3">
        <v>5200.0101180000001</v>
      </c>
      <c r="T697" s="3">
        <f t="shared" si="62"/>
        <v>433.33417650000001</v>
      </c>
      <c r="U697" s="5">
        <f t="shared" si="66"/>
        <v>7.4999999999999997E-2</v>
      </c>
      <c r="V697" s="5">
        <f t="shared" si="63"/>
        <v>3.0765680882975043E-3</v>
      </c>
      <c r="W697" s="3">
        <f t="shared" si="64"/>
        <v>32.500063237500001</v>
      </c>
      <c r="X697" s="3">
        <f t="shared" si="65"/>
        <v>99.988657424143369</v>
      </c>
    </row>
    <row r="698" spans="1:25" x14ac:dyDescent="0.25">
      <c r="A698" t="s">
        <v>1012</v>
      </c>
      <c r="B698" t="s">
        <v>1014</v>
      </c>
      <c r="C698" t="s">
        <v>1016</v>
      </c>
      <c r="E698" t="s">
        <v>19</v>
      </c>
      <c r="F698" t="s">
        <v>44</v>
      </c>
      <c r="G698" t="s">
        <v>1078</v>
      </c>
      <c r="H698" t="s">
        <v>1065</v>
      </c>
      <c r="K698" t="s">
        <v>167</v>
      </c>
      <c r="L698" t="s">
        <v>25</v>
      </c>
      <c r="M698" t="s">
        <v>21</v>
      </c>
      <c r="N698" s="4">
        <v>264580</v>
      </c>
      <c r="O698" s="4">
        <v>691</v>
      </c>
      <c r="P698" s="4">
        <v>217526</v>
      </c>
      <c r="Q698" s="4">
        <v>240731</v>
      </c>
      <c r="R698" s="4">
        <v>9</v>
      </c>
      <c r="S698" s="3">
        <v>4874.6517219999996</v>
      </c>
      <c r="T698" s="3">
        <f t="shared" si="62"/>
        <v>541.62796911111104</v>
      </c>
      <c r="U698" s="5">
        <f t="shared" si="66"/>
        <v>1.3024602026049204E-2</v>
      </c>
      <c r="V698" s="5">
        <f t="shared" si="63"/>
        <v>2.6116864464434198E-3</v>
      </c>
      <c r="W698" s="3">
        <f t="shared" si="64"/>
        <v>7.0544887438494932</v>
      </c>
      <c r="X698" s="3">
        <f t="shared" si="65"/>
        <v>18.424112638899388</v>
      </c>
    </row>
    <row r="699" spans="1:25" x14ac:dyDescent="0.25">
      <c r="A699" t="s">
        <v>1012</v>
      </c>
      <c r="B699" t="s">
        <v>1014</v>
      </c>
      <c r="C699" t="s">
        <v>1017</v>
      </c>
      <c r="E699" t="s">
        <v>14</v>
      </c>
      <c r="F699" t="s">
        <v>44</v>
      </c>
      <c r="G699" t="s">
        <v>1073</v>
      </c>
      <c r="H699" t="s">
        <v>1074</v>
      </c>
      <c r="K699" t="s">
        <v>648</v>
      </c>
      <c r="L699" t="s">
        <v>17</v>
      </c>
      <c r="M699" t="s">
        <v>18</v>
      </c>
      <c r="N699" s="4">
        <v>47394</v>
      </c>
      <c r="O699" s="4">
        <v>184</v>
      </c>
      <c r="P699" s="4">
        <v>22712</v>
      </c>
      <c r="Q699" s="4">
        <v>41918</v>
      </c>
      <c r="R699" s="4">
        <v>24</v>
      </c>
      <c r="S699" s="3">
        <v>4701.4962370000003</v>
      </c>
      <c r="T699" s="3">
        <f t="shared" si="62"/>
        <v>195.89567654166669</v>
      </c>
      <c r="U699" s="5">
        <f t="shared" si="66"/>
        <v>0.13043478260869565</v>
      </c>
      <c r="V699" s="5">
        <f t="shared" si="63"/>
        <v>3.8823479765371146E-3</v>
      </c>
      <c r="W699" s="3">
        <f t="shared" si="64"/>
        <v>25.551609983695652</v>
      </c>
      <c r="X699" s="3">
        <f t="shared" si="65"/>
        <v>99.20024131746635</v>
      </c>
    </row>
    <row r="700" spans="1:25" x14ac:dyDescent="0.25">
      <c r="A700" t="s">
        <v>1012</v>
      </c>
      <c r="B700" t="s">
        <v>1014</v>
      </c>
      <c r="C700" t="s">
        <v>1018</v>
      </c>
      <c r="E700" t="s">
        <v>14</v>
      </c>
      <c r="F700" t="s">
        <v>26</v>
      </c>
      <c r="G700" t="s">
        <v>1070</v>
      </c>
      <c r="H700" t="s">
        <v>1071</v>
      </c>
      <c r="K700" t="s">
        <v>85</v>
      </c>
      <c r="L700" t="s">
        <v>25</v>
      </c>
      <c r="M700" t="s">
        <v>18</v>
      </c>
      <c r="N700" s="4">
        <v>10815</v>
      </c>
      <c r="O700" s="4">
        <v>25</v>
      </c>
      <c r="P700" s="4">
        <v>4321</v>
      </c>
      <c r="Q700" s="4">
        <v>9646</v>
      </c>
      <c r="R700" s="4">
        <v>2</v>
      </c>
      <c r="S700" s="3">
        <v>4921.5948429999999</v>
      </c>
      <c r="T700" s="3">
        <f t="shared" si="62"/>
        <v>2460.7974214999999</v>
      </c>
      <c r="U700" s="5">
        <f t="shared" si="66"/>
        <v>0.08</v>
      </c>
      <c r="V700" s="5">
        <f t="shared" si="63"/>
        <v>2.3116042533518262E-3</v>
      </c>
      <c r="W700" s="3">
        <f t="shared" si="64"/>
        <v>196.86379371999999</v>
      </c>
      <c r="X700" s="3">
        <f t="shared" si="65"/>
        <v>455.07118289412853</v>
      </c>
    </row>
    <row r="701" spans="1:25" x14ac:dyDescent="0.25">
      <c r="A701" t="s">
        <v>1012</v>
      </c>
      <c r="B701" t="s">
        <v>1014</v>
      </c>
      <c r="C701" t="s">
        <v>1019</v>
      </c>
      <c r="E701" t="s">
        <v>14</v>
      </c>
      <c r="F701" t="s">
        <v>26</v>
      </c>
      <c r="G701" t="s">
        <v>1062</v>
      </c>
      <c r="H701" t="s">
        <v>1063</v>
      </c>
      <c r="K701" t="s">
        <v>798</v>
      </c>
      <c r="L701" t="s">
        <v>68</v>
      </c>
      <c r="M701" t="s">
        <v>21</v>
      </c>
      <c r="N701" s="4">
        <v>8273</v>
      </c>
      <c r="O701" s="4">
        <v>24</v>
      </c>
      <c r="P701" s="4">
        <v>1929</v>
      </c>
      <c r="Q701" s="4">
        <v>7441</v>
      </c>
      <c r="R701" s="4">
        <v>3</v>
      </c>
      <c r="S701" s="3">
        <v>4689.5210239999997</v>
      </c>
      <c r="T701" s="3">
        <f t="shared" si="62"/>
        <v>1563.1736746666666</v>
      </c>
      <c r="U701" s="5">
        <f t="shared" si="66"/>
        <v>0.125</v>
      </c>
      <c r="V701" s="5">
        <f t="shared" si="63"/>
        <v>2.9010032636286715E-3</v>
      </c>
      <c r="W701" s="3">
        <f t="shared" si="64"/>
        <v>195.39670933333332</v>
      </c>
      <c r="X701" s="3">
        <f t="shared" si="65"/>
        <v>566.84649147830294</v>
      </c>
    </row>
    <row r="702" spans="1:25" x14ac:dyDescent="0.25">
      <c r="A702" t="s">
        <v>1012</v>
      </c>
      <c r="B702" t="s">
        <v>1014</v>
      </c>
      <c r="C702" t="s">
        <v>1020</v>
      </c>
      <c r="E702" t="s">
        <v>19</v>
      </c>
      <c r="F702" t="s">
        <v>26</v>
      </c>
      <c r="G702" t="s">
        <v>1086</v>
      </c>
      <c r="H702" t="s">
        <v>1063</v>
      </c>
      <c r="K702" t="s">
        <v>1021</v>
      </c>
      <c r="L702" t="s">
        <v>25</v>
      </c>
      <c r="M702" t="s">
        <v>21</v>
      </c>
      <c r="N702" s="4">
        <v>10835</v>
      </c>
      <c r="O702" s="4">
        <v>25</v>
      </c>
      <c r="P702" s="4">
        <v>2888</v>
      </c>
      <c r="Q702" s="4">
        <v>10487</v>
      </c>
      <c r="R702" s="4">
        <v>3</v>
      </c>
      <c r="S702" s="3">
        <v>4704.2499559999997</v>
      </c>
      <c r="T702" s="3">
        <f t="shared" si="62"/>
        <v>1568.0833186666666</v>
      </c>
      <c r="U702" s="5">
        <f t="shared" si="66"/>
        <v>0.12</v>
      </c>
      <c r="V702" s="5">
        <f t="shared" si="63"/>
        <v>2.3073373327180432E-3</v>
      </c>
      <c r="W702" s="3">
        <f t="shared" si="64"/>
        <v>188.16999823999998</v>
      </c>
      <c r="X702" s="3">
        <f t="shared" si="65"/>
        <v>434.17166183664045</v>
      </c>
    </row>
    <row r="703" spans="1:25" x14ac:dyDescent="0.25">
      <c r="A703" t="s">
        <v>1012</v>
      </c>
      <c r="B703" t="s">
        <v>1014</v>
      </c>
      <c r="C703" t="s">
        <v>1022</v>
      </c>
      <c r="E703" t="s">
        <v>19</v>
      </c>
      <c r="F703" t="s">
        <v>44</v>
      </c>
      <c r="G703" t="s">
        <v>1070</v>
      </c>
      <c r="H703" t="s">
        <v>1071</v>
      </c>
      <c r="K703" t="s">
        <v>72</v>
      </c>
      <c r="L703" t="s">
        <v>89</v>
      </c>
      <c r="M703" t="s">
        <v>21</v>
      </c>
      <c r="N703" s="4">
        <v>28553</v>
      </c>
      <c r="O703" s="4">
        <v>90</v>
      </c>
      <c r="P703" s="4">
        <v>11390</v>
      </c>
      <c r="Q703" s="4">
        <v>23355</v>
      </c>
      <c r="R703" s="4">
        <v>13</v>
      </c>
      <c r="S703" s="3">
        <v>5573.1123960000004</v>
      </c>
      <c r="T703" s="3">
        <f t="shared" si="62"/>
        <v>428.70095353846159</v>
      </c>
      <c r="U703" s="5">
        <f t="shared" si="66"/>
        <v>0.14444444444444443</v>
      </c>
      <c r="V703" s="5">
        <f t="shared" si="63"/>
        <v>3.1520330613245542E-3</v>
      </c>
      <c r="W703" s="3">
        <f t="shared" si="64"/>
        <v>61.923471066666671</v>
      </c>
      <c r="X703" s="3">
        <f t="shared" si="65"/>
        <v>195.1848280741078</v>
      </c>
    </row>
    <row r="704" spans="1:25" x14ac:dyDescent="0.25">
      <c r="A704" t="s">
        <v>1012</v>
      </c>
      <c r="B704" t="s">
        <v>1014</v>
      </c>
      <c r="C704" t="s">
        <v>1023</v>
      </c>
      <c r="E704" t="s">
        <v>19</v>
      </c>
      <c r="F704" t="s">
        <v>33</v>
      </c>
      <c r="G704" t="s">
        <v>1066</v>
      </c>
      <c r="H704" t="s">
        <v>1067</v>
      </c>
      <c r="K704" t="s">
        <v>791</v>
      </c>
      <c r="L704" t="s">
        <v>115</v>
      </c>
      <c r="M704" t="s">
        <v>21</v>
      </c>
      <c r="N704" s="4">
        <v>44361</v>
      </c>
      <c r="O704" s="4">
        <v>166</v>
      </c>
      <c r="P704" s="4">
        <v>36040</v>
      </c>
      <c r="Q704" s="4">
        <v>40684</v>
      </c>
      <c r="R704" s="4">
        <v>17</v>
      </c>
      <c r="S704" s="3">
        <v>5048.8525529999997</v>
      </c>
      <c r="T704" s="3">
        <f t="shared" si="62"/>
        <v>296.99132664705883</v>
      </c>
      <c r="U704" s="5">
        <f t="shared" si="66"/>
        <v>0.10240963855421686</v>
      </c>
      <c r="V704" s="5">
        <f t="shared" si="63"/>
        <v>3.7420256531638151E-3</v>
      </c>
      <c r="W704" s="3">
        <f t="shared" si="64"/>
        <v>30.414774415662649</v>
      </c>
      <c r="X704" s="3">
        <f t="shared" si="65"/>
        <v>113.81286609860011</v>
      </c>
    </row>
    <row r="705" spans="1:24" x14ac:dyDescent="0.25">
      <c r="A705" t="s">
        <v>1012</v>
      </c>
      <c r="B705" t="s">
        <v>1014</v>
      </c>
      <c r="C705" t="s">
        <v>1024</v>
      </c>
      <c r="E705" t="s">
        <v>14</v>
      </c>
      <c r="F705" t="s">
        <v>15</v>
      </c>
      <c r="G705" t="s">
        <v>1062</v>
      </c>
      <c r="H705" t="s">
        <v>1063</v>
      </c>
      <c r="K705" t="s">
        <v>1025</v>
      </c>
      <c r="L705" t="s">
        <v>17</v>
      </c>
      <c r="M705" t="s">
        <v>18</v>
      </c>
      <c r="N705" s="4">
        <v>10524</v>
      </c>
      <c r="O705" s="4">
        <v>55</v>
      </c>
      <c r="P705" s="4">
        <v>7601</v>
      </c>
      <c r="Q705" s="4">
        <v>10242</v>
      </c>
      <c r="R705" s="4">
        <v>11</v>
      </c>
      <c r="S705" s="3">
        <v>6136.1339019999996</v>
      </c>
      <c r="T705" s="3">
        <f t="shared" si="62"/>
        <v>557.83035472727272</v>
      </c>
      <c r="U705" s="5">
        <f t="shared" si="66"/>
        <v>0.2</v>
      </c>
      <c r="V705" s="5">
        <f t="shared" si="63"/>
        <v>5.2261497529456479E-3</v>
      </c>
      <c r="W705" s="3">
        <f t="shared" si="64"/>
        <v>111.56607094545454</v>
      </c>
      <c r="X705" s="3">
        <f t="shared" si="65"/>
        <v>583.06099410870377</v>
      </c>
    </row>
    <row r="706" spans="1:24" x14ac:dyDescent="0.25">
      <c r="A706" t="s">
        <v>1012</v>
      </c>
      <c r="B706" t="s">
        <v>1014</v>
      </c>
      <c r="C706" t="s">
        <v>1026</v>
      </c>
      <c r="E706" t="s">
        <v>19</v>
      </c>
      <c r="F706" t="s">
        <v>26</v>
      </c>
      <c r="G706" t="s">
        <v>1093</v>
      </c>
      <c r="H706" t="s">
        <v>1090</v>
      </c>
      <c r="K706" t="s">
        <v>191</v>
      </c>
      <c r="L706" t="s">
        <v>89</v>
      </c>
      <c r="M706" t="s">
        <v>21</v>
      </c>
      <c r="N706" s="4">
        <v>207685</v>
      </c>
      <c r="O706" s="4">
        <v>512</v>
      </c>
      <c r="P706" s="4">
        <v>20134</v>
      </c>
      <c r="Q706" s="4">
        <v>30708</v>
      </c>
      <c r="R706" s="4">
        <v>34</v>
      </c>
      <c r="S706" s="3">
        <v>5239.2047869999997</v>
      </c>
      <c r="T706" s="3">
        <f t="shared" ref="T706:T728" si="68">S706/R706</f>
        <v>154.09425844117646</v>
      </c>
      <c r="U706" s="5">
        <f t="shared" si="66"/>
        <v>6.640625E-2</v>
      </c>
      <c r="V706" s="5">
        <f t="shared" ref="V706:V728" si="69">O706/N706</f>
        <v>2.4652719262344418E-3</v>
      </c>
      <c r="W706" s="3">
        <f t="shared" ref="W706:W728" si="70">S706/O706</f>
        <v>10.232821849609374</v>
      </c>
      <c r="X706" s="3">
        <f t="shared" ref="X706:X728" si="71">(S706/N706)*1000</f>
        <v>25.226688432000383</v>
      </c>
    </row>
    <row r="707" spans="1:24" x14ac:dyDescent="0.25">
      <c r="A707" t="s">
        <v>1012</v>
      </c>
      <c r="B707" t="s">
        <v>1014</v>
      </c>
      <c r="C707" t="s">
        <v>1027</v>
      </c>
      <c r="E707" t="s">
        <v>14</v>
      </c>
      <c r="F707" t="s">
        <v>44</v>
      </c>
      <c r="G707" t="s">
        <v>1072</v>
      </c>
      <c r="H707" t="s">
        <v>1065</v>
      </c>
      <c r="K707" t="s">
        <v>298</v>
      </c>
      <c r="L707" t="s">
        <v>89</v>
      </c>
      <c r="M707" t="s">
        <v>21</v>
      </c>
      <c r="N707" s="4">
        <v>121991</v>
      </c>
      <c r="O707" s="4">
        <v>369</v>
      </c>
      <c r="P707" s="4">
        <v>43079</v>
      </c>
      <c r="Q707" s="4">
        <v>99312</v>
      </c>
      <c r="R707" s="4">
        <v>4</v>
      </c>
      <c r="S707" s="3">
        <v>3993.2145850000002</v>
      </c>
      <c r="T707" s="3">
        <f t="shared" si="68"/>
        <v>998.30364625000004</v>
      </c>
      <c r="U707" s="5">
        <f t="shared" ref="U707:U728" si="72">R707/O707</f>
        <v>1.0840108401084011E-2</v>
      </c>
      <c r="V707" s="5">
        <f t="shared" si="69"/>
        <v>3.0248133058996154E-3</v>
      </c>
      <c r="W707" s="3">
        <f t="shared" si="70"/>
        <v>10.821719742547426</v>
      </c>
      <c r="X707" s="3">
        <f t="shared" si="71"/>
        <v>32.733681869974014</v>
      </c>
    </row>
    <row r="708" spans="1:24" x14ac:dyDescent="0.25">
      <c r="A708" t="s">
        <v>1012</v>
      </c>
      <c r="B708" t="s">
        <v>1014</v>
      </c>
      <c r="C708" t="s">
        <v>1028</v>
      </c>
      <c r="E708" t="s">
        <v>14</v>
      </c>
      <c r="F708" t="s">
        <v>15</v>
      </c>
      <c r="G708" t="s">
        <v>1092</v>
      </c>
      <c r="H708" t="s">
        <v>1065</v>
      </c>
      <c r="K708" t="s">
        <v>191</v>
      </c>
      <c r="L708" t="s">
        <v>17</v>
      </c>
      <c r="M708" t="s">
        <v>21</v>
      </c>
      <c r="N708" s="4">
        <v>766674</v>
      </c>
      <c r="O708" s="4">
        <v>1984</v>
      </c>
      <c r="P708" s="4">
        <v>344201</v>
      </c>
      <c r="Q708" s="4">
        <v>720606</v>
      </c>
      <c r="R708" s="4">
        <v>17</v>
      </c>
      <c r="S708" s="3">
        <v>5816.2346189999998</v>
      </c>
      <c r="T708" s="3">
        <f t="shared" si="68"/>
        <v>342.1314481764706</v>
      </c>
      <c r="U708" s="5">
        <f t="shared" si="72"/>
        <v>8.5685483870967735E-3</v>
      </c>
      <c r="V708" s="5">
        <f t="shared" si="69"/>
        <v>2.5878013340741956E-3</v>
      </c>
      <c r="W708" s="3">
        <f t="shared" si="70"/>
        <v>2.9315698684475806</v>
      </c>
      <c r="X708" s="3">
        <f t="shared" si="71"/>
        <v>7.5863204165003637</v>
      </c>
    </row>
    <row r="709" spans="1:24" x14ac:dyDescent="0.25">
      <c r="A709" t="s">
        <v>1012</v>
      </c>
      <c r="B709" t="s">
        <v>1014</v>
      </c>
      <c r="C709" t="s">
        <v>1029</v>
      </c>
      <c r="E709" t="s">
        <v>19</v>
      </c>
      <c r="F709" t="s">
        <v>44</v>
      </c>
      <c r="G709" t="s">
        <v>1070</v>
      </c>
      <c r="H709" t="s">
        <v>1071</v>
      </c>
      <c r="K709" t="s">
        <v>191</v>
      </c>
      <c r="L709" t="s">
        <v>115</v>
      </c>
      <c r="M709" t="s">
        <v>21</v>
      </c>
      <c r="N709" s="4">
        <v>742281</v>
      </c>
      <c r="O709" s="4">
        <v>1999</v>
      </c>
      <c r="P709" s="4">
        <v>432673</v>
      </c>
      <c r="Q709" s="4">
        <v>642404</v>
      </c>
      <c r="R709" s="4">
        <v>11</v>
      </c>
      <c r="S709" s="3">
        <v>6024.4224869999998</v>
      </c>
      <c r="T709" s="3">
        <f t="shared" si="68"/>
        <v>547.67477154545452</v>
      </c>
      <c r="U709" s="5">
        <f t="shared" si="72"/>
        <v>5.5027513756878439E-3</v>
      </c>
      <c r="V709" s="5">
        <f t="shared" si="69"/>
        <v>2.6930502060540417E-3</v>
      </c>
      <c r="W709" s="3">
        <f t="shared" si="70"/>
        <v>3.0137181025512754</v>
      </c>
      <c r="X709" s="3">
        <f t="shared" si="71"/>
        <v>8.1160941570645075</v>
      </c>
    </row>
    <row r="710" spans="1:24" x14ac:dyDescent="0.25">
      <c r="A710" t="s">
        <v>1012</v>
      </c>
      <c r="B710" t="s">
        <v>408</v>
      </c>
      <c r="C710" t="s">
        <v>1030</v>
      </c>
      <c r="E710" t="s">
        <v>19</v>
      </c>
      <c r="F710" t="s">
        <v>26</v>
      </c>
      <c r="G710" t="s">
        <v>1073</v>
      </c>
      <c r="H710" t="s">
        <v>1074</v>
      </c>
      <c r="K710" t="s">
        <v>1031</v>
      </c>
      <c r="L710" t="s">
        <v>145</v>
      </c>
      <c r="M710" t="s">
        <v>21</v>
      </c>
      <c r="N710" s="4">
        <v>10386</v>
      </c>
      <c r="O710" s="4">
        <v>65</v>
      </c>
      <c r="P710" s="4">
        <v>5876</v>
      </c>
      <c r="Q710" s="4">
        <v>10048</v>
      </c>
      <c r="R710" s="4">
        <v>15</v>
      </c>
      <c r="S710" s="3">
        <v>4439.8380639999996</v>
      </c>
      <c r="T710" s="3">
        <f t="shared" si="68"/>
        <v>295.98920426666666</v>
      </c>
      <c r="U710" s="5">
        <f t="shared" si="72"/>
        <v>0.23076923076923078</v>
      </c>
      <c r="V710" s="5">
        <f t="shared" si="69"/>
        <v>6.25842480261891E-3</v>
      </c>
      <c r="W710" s="3">
        <f t="shared" si="70"/>
        <v>68.305200984615382</v>
      </c>
      <c r="X710" s="3">
        <f t="shared" si="71"/>
        <v>427.4829639899865</v>
      </c>
    </row>
    <row r="711" spans="1:24" x14ac:dyDescent="0.25">
      <c r="A711" t="s">
        <v>1012</v>
      </c>
      <c r="B711" t="s">
        <v>408</v>
      </c>
      <c r="C711" t="s">
        <v>1032</v>
      </c>
      <c r="E711" t="s">
        <v>19</v>
      </c>
      <c r="F711" t="s">
        <v>26</v>
      </c>
      <c r="G711" t="s">
        <v>1133</v>
      </c>
      <c r="H711" t="s">
        <v>1065</v>
      </c>
      <c r="K711" t="s">
        <v>526</v>
      </c>
      <c r="L711" t="s">
        <v>73</v>
      </c>
      <c r="M711" t="s">
        <v>21</v>
      </c>
      <c r="N711" s="4">
        <v>190592</v>
      </c>
      <c r="O711" s="4">
        <v>601</v>
      </c>
      <c r="P711" s="4">
        <v>28906</v>
      </c>
      <c r="Q711" s="4">
        <v>172515</v>
      </c>
      <c r="R711" s="4">
        <v>25</v>
      </c>
      <c r="S711" s="3">
        <v>4742.0477659999997</v>
      </c>
      <c r="T711" s="3">
        <f t="shared" si="68"/>
        <v>189.68191063999998</v>
      </c>
      <c r="U711" s="5">
        <f t="shared" si="72"/>
        <v>4.1597337770382693E-2</v>
      </c>
      <c r="V711" s="5">
        <f t="shared" si="69"/>
        <v>3.1533327736736065E-3</v>
      </c>
      <c r="W711" s="3">
        <f t="shared" si="70"/>
        <v>7.8902625058236264</v>
      </c>
      <c r="X711" s="3">
        <f t="shared" si="71"/>
        <v>24.880623352501679</v>
      </c>
    </row>
    <row r="712" spans="1:24" x14ac:dyDescent="0.25">
      <c r="A712" t="s">
        <v>1012</v>
      </c>
      <c r="B712" t="s">
        <v>408</v>
      </c>
      <c r="C712" t="s">
        <v>1033</v>
      </c>
      <c r="E712" t="s">
        <v>14</v>
      </c>
      <c r="F712" t="s">
        <v>15</v>
      </c>
      <c r="G712" t="s">
        <v>1066</v>
      </c>
      <c r="H712" t="s">
        <v>1067</v>
      </c>
      <c r="K712" t="s">
        <v>91</v>
      </c>
      <c r="L712" t="s">
        <v>17</v>
      </c>
      <c r="M712" t="s">
        <v>21</v>
      </c>
      <c r="N712" s="4">
        <v>198163</v>
      </c>
      <c r="O712" s="4">
        <v>469</v>
      </c>
      <c r="P712" s="4">
        <v>76695</v>
      </c>
      <c r="Q712" s="4">
        <v>183585</v>
      </c>
      <c r="R712" s="4">
        <v>31</v>
      </c>
      <c r="S712" s="3">
        <v>5204.313768</v>
      </c>
      <c r="T712" s="3">
        <f t="shared" si="68"/>
        <v>167.88108929032259</v>
      </c>
      <c r="U712" s="5">
        <f t="shared" si="72"/>
        <v>6.6098081023454158E-2</v>
      </c>
      <c r="V712" s="5">
        <f t="shared" si="69"/>
        <v>2.3667384930587446E-3</v>
      </c>
      <c r="W712" s="3">
        <f t="shared" si="70"/>
        <v>11.096617842217483</v>
      </c>
      <c r="X712" s="3">
        <f t="shared" si="71"/>
        <v>26.262792589938584</v>
      </c>
    </row>
    <row r="713" spans="1:24" x14ac:dyDescent="0.25">
      <c r="A713" t="s">
        <v>1012</v>
      </c>
      <c r="B713" t="s">
        <v>408</v>
      </c>
      <c r="C713" t="s">
        <v>1034</v>
      </c>
      <c r="E713" t="s">
        <v>19</v>
      </c>
      <c r="F713" t="s">
        <v>26</v>
      </c>
      <c r="G713" t="s">
        <v>1075</v>
      </c>
      <c r="H713" t="s">
        <v>1074</v>
      </c>
      <c r="K713" t="s">
        <v>531</v>
      </c>
      <c r="L713" t="s">
        <v>89</v>
      </c>
      <c r="M713" t="s">
        <v>21</v>
      </c>
      <c r="N713" s="4">
        <v>12214</v>
      </c>
      <c r="O713" s="4">
        <v>50</v>
      </c>
      <c r="P713" s="4">
        <v>5376</v>
      </c>
      <c r="Q713" s="4">
        <v>11490</v>
      </c>
      <c r="R713" s="4">
        <v>7</v>
      </c>
      <c r="S713" s="3">
        <v>5616.3094019999999</v>
      </c>
      <c r="T713" s="3">
        <f t="shared" si="68"/>
        <v>802.3299145714285</v>
      </c>
      <c r="U713" s="5">
        <f t="shared" si="72"/>
        <v>0.14000000000000001</v>
      </c>
      <c r="V713" s="5">
        <f t="shared" si="69"/>
        <v>4.0936630096610445E-3</v>
      </c>
      <c r="W713" s="3">
        <f t="shared" si="70"/>
        <v>112.32618803999999</v>
      </c>
      <c r="X713" s="3">
        <f t="shared" si="71"/>
        <v>459.82556099557883</v>
      </c>
    </row>
    <row r="714" spans="1:24" x14ac:dyDescent="0.25">
      <c r="A714" t="s">
        <v>1012</v>
      </c>
      <c r="B714" t="s">
        <v>408</v>
      </c>
      <c r="C714" t="s">
        <v>1035</v>
      </c>
      <c r="E714" t="s">
        <v>23</v>
      </c>
      <c r="F714" t="s">
        <v>33</v>
      </c>
      <c r="G714" t="s">
        <v>1079</v>
      </c>
      <c r="H714" t="s">
        <v>1080</v>
      </c>
      <c r="K714" t="s">
        <v>716</v>
      </c>
      <c r="L714" t="s">
        <v>89</v>
      </c>
      <c r="M714" t="s">
        <v>21</v>
      </c>
      <c r="N714" s="4">
        <v>114723</v>
      </c>
      <c r="O714" s="4">
        <v>350</v>
      </c>
      <c r="P714" s="4">
        <v>14623</v>
      </c>
      <c r="Q714" s="4">
        <v>92063</v>
      </c>
      <c r="R714" s="4">
        <v>6</v>
      </c>
      <c r="S714" s="3">
        <v>4742.0086369999999</v>
      </c>
      <c r="T714" s="3">
        <f t="shared" si="68"/>
        <v>790.33477283333332</v>
      </c>
      <c r="U714" s="5">
        <f t="shared" si="72"/>
        <v>1.7142857142857144E-2</v>
      </c>
      <c r="V714" s="5">
        <f t="shared" si="69"/>
        <v>3.0508267740557691E-3</v>
      </c>
      <c r="W714" s="3">
        <f t="shared" si="70"/>
        <v>13.548596105714285</v>
      </c>
      <c r="X714" s="3">
        <f t="shared" si="71"/>
        <v>41.334419750180871</v>
      </c>
    </row>
    <row r="715" spans="1:24" x14ac:dyDescent="0.25">
      <c r="A715" t="s">
        <v>1012</v>
      </c>
      <c r="B715" t="s">
        <v>408</v>
      </c>
      <c r="C715" t="s">
        <v>416</v>
      </c>
      <c r="E715" t="s">
        <v>14</v>
      </c>
      <c r="F715" t="s">
        <v>26</v>
      </c>
      <c r="G715" t="s">
        <v>1082</v>
      </c>
      <c r="H715" t="s">
        <v>1083</v>
      </c>
      <c r="K715" t="s">
        <v>81</v>
      </c>
      <c r="L715" t="s">
        <v>28</v>
      </c>
      <c r="M715" t="s">
        <v>21</v>
      </c>
      <c r="N715" s="4">
        <v>36863</v>
      </c>
      <c r="O715" s="4">
        <v>116</v>
      </c>
      <c r="P715" s="4">
        <v>3570</v>
      </c>
      <c r="Q715" s="4">
        <v>29458</v>
      </c>
      <c r="R715" s="4">
        <v>15</v>
      </c>
      <c r="S715" s="3">
        <v>4752.8166849999998</v>
      </c>
      <c r="T715" s="3">
        <f t="shared" si="68"/>
        <v>316.85444566666666</v>
      </c>
      <c r="U715" s="5">
        <f t="shared" si="72"/>
        <v>0.12931034482758622</v>
      </c>
      <c r="V715" s="5">
        <f t="shared" si="69"/>
        <v>3.1467867509426795E-3</v>
      </c>
      <c r="W715" s="3">
        <f t="shared" si="70"/>
        <v>40.972557629310344</v>
      </c>
      <c r="X715" s="3">
        <f t="shared" si="71"/>
        <v>128.93190150014919</v>
      </c>
    </row>
    <row r="716" spans="1:24" x14ac:dyDescent="0.25">
      <c r="A716" t="s">
        <v>1012</v>
      </c>
      <c r="B716" t="s">
        <v>408</v>
      </c>
      <c r="C716" t="s">
        <v>1036</v>
      </c>
      <c r="E716" t="s">
        <v>14</v>
      </c>
      <c r="F716" t="s">
        <v>26</v>
      </c>
      <c r="G716" t="s">
        <v>1086</v>
      </c>
      <c r="H716" t="s">
        <v>1063</v>
      </c>
      <c r="K716" t="s">
        <v>1037</v>
      </c>
      <c r="L716" t="s">
        <v>17</v>
      </c>
      <c r="M716" t="s">
        <v>29</v>
      </c>
      <c r="N716" s="4">
        <v>27473</v>
      </c>
      <c r="O716" s="4">
        <v>69</v>
      </c>
      <c r="P716" s="4">
        <v>11306</v>
      </c>
      <c r="Q716" s="4">
        <v>20625</v>
      </c>
      <c r="R716" s="4">
        <v>2</v>
      </c>
      <c r="S716" s="3">
        <v>2922.286102</v>
      </c>
      <c r="T716" s="3">
        <f t="shared" si="68"/>
        <v>1461.143051</v>
      </c>
      <c r="U716" s="5">
        <f t="shared" si="72"/>
        <v>2.8985507246376812E-2</v>
      </c>
      <c r="V716" s="5">
        <f t="shared" si="69"/>
        <v>2.5115568012230188E-3</v>
      </c>
      <c r="W716" s="3">
        <f t="shared" si="70"/>
        <v>42.351972492753625</v>
      </c>
      <c r="X716" s="3">
        <f t="shared" si="71"/>
        <v>106.36938455938558</v>
      </c>
    </row>
    <row r="717" spans="1:24" x14ac:dyDescent="0.25">
      <c r="A717" t="s">
        <v>1012</v>
      </c>
      <c r="B717" t="s">
        <v>408</v>
      </c>
      <c r="C717" t="s">
        <v>1038</v>
      </c>
      <c r="E717" t="s">
        <v>14</v>
      </c>
      <c r="F717" t="s">
        <v>33</v>
      </c>
      <c r="G717" t="s">
        <v>1078</v>
      </c>
      <c r="H717" t="s">
        <v>1065</v>
      </c>
      <c r="K717" t="s">
        <v>1039</v>
      </c>
      <c r="L717" t="s">
        <v>17</v>
      </c>
      <c r="M717" t="s">
        <v>29</v>
      </c>
      <c r="N717" s="4">
        <v>219088</v>
      </c>
      <c r="O717" s="4">
        <v>541</v>
      </c>
      <c r="P717" s="4">
        <v>75638</v>
      </c>
      <c r="Q717" s="4">
        <v>153987</v>
      </c>
      <c r="R717" s="4">
        <v>17</v>
      </c>
      <c r="S717" s="3">
        <v>6761.0738240000001</v>
      </c>
      <c r="T717" s="3">
        <f t="shared" si="68"/>
        <v>397.71022494117648</v>
      </c>
      <c r="U717" s="5">
        <f t="shared" si="72"/>
        <v>3.1423290203327174E-2</v>
      </c>
      <c r="V717" s="5">
        <f t="shared" si="69"/>
        <v>2.4693273935587528E-3</v>
      </c>
      <c r="W717" s="3">
        <f t="shared" si="70"/>
        <v>12.497363815157117</v>
      </c>
      <c r="X717" s="3">
        <f t="shared" si="71"/>
        <v>30.860082816037391</v>
      </c>
    </row>
    <row r="718" spans="1:24" x14ac:dyDescent="0.25">
      <c r="A718" t="s">
        <v>1012</v>
      </c>
      <c r="B718" t="s">
        <v>1040</v>
      </c>
      <c r="C718" t="s">
        <v>1041</v>
      </c>
      <c r="E718" t="s">
        <v>23</v>
      </c>
      <c r="F718" t="s">
        <v>15</v>
      </c>
      <c r="G718" t="s">
        <v>1078</v>
      </c>
      <c r="H718" t="s">
        <v>1065</v>
      </c>
      <c r="K718" t="s">
        <v>1042</v>
      </c>
      <c r="L718" t="s">
        <v>17</v>
      </c>
      <c r="M718" t="s">
        <v>21</v>
      </c>
      <c r="N718" s="4">
        <v>10906</v>
      </c>
      <c r="O718" s="4">
        <v>46</v>
      </c>
      <c r="P718" s="4">
        <v>4735</v>
      </c>
      <c r="Q718" s="4">
        <v>6390</v>
      </c>
      <c r="R718" s="4">
        <v>3</v>
      </c>
      <c r="S718" s="3">
        <v>5694.2709400000003</v>
      </c>
      <c r="T718" s="3">
        <f t="shared" si="68"/>
        <v>1898.0903133333334</v>
      </c>
      <c r="U718" s="5">
        <f t="shared" si="72"/>
        <v>6.5217391304347824E-2</v>
      </c>
      <c r="V718" s="5">
        <f t="shared" si="69"/>
        <v>4.2178617274894557E-3</v>
      </c>
      <c r="W718" s="3">
        <f t="shared" si="70"/>
        <v>123.78849869565218</v>
      </c>
      <c r="X718" s="3">
        <f t="shared" si="71"/>
        <v>522.12277095176978</v>
      </c>
    </row>
    <row r="719" spans="1:24" x14ac:dyDescent="0.25">
      <c r="A719" t="s">
        <v>1012</v>
      </c>
      <c r="B719" t="s">
        <v>408</v>
      </c>
      <c r="C719" t="s">
        <v>1043</v>
      </c>
      <c r="E719" t="s">
        <v>19</v>
      </c>
      <c r="F719" t="s">
        <v>26</v>
      </c>
      <c r="G719" t="s">
        <v>1112</v>
      </c>
      <c r="H719" t="s">
        <v>1074</v>
      </c>
      <c r="K719" t="s">
        <v>1044</v>
      </c>
      <c r="L719" t="s">
        <v>73</v>
      </c>
      <c r="M719" t="s">
        <v>21</v>
      </c>
      <c r="N719" s="4">
        <v>8233</v>
      </c>
      <c r="O719" s="4">
        <v>65</v>
      </c>
      <c r="P719" s="4">
        <v>5361</v>
      </c>
      <c r="Q719" s="4">
        <v>7643</v>
      </c>
      <c r="R719" s="4">
        <v>4</v>
      </c>
      <c r="S719" s="3">
        <v>6381.0065759999998</v>
      </c>
      <c r="T719" s="3">
        <f t="shared" si="68"/>
        <v>1595.2516439999999</v>
      </c>
      <c r="U719" s="5">
        <f t="shared" si="72"/>
        <v>6.1538461538461542E-2</v>
      </c>
      <c r="V719" s="5">
        <f t="shared" si="69"/>
        <v>7.8950564800194332E-3</v>
      </c>
      <c r="W719" s="3">
        <f t="shared" si="70"/>
        <v>98.169331938461539</v>
      </c>
      <c r="X719" s="3">
        <f t="shared" si="71"/>
        <v>775.05242025992948</v>
      </c>
    </row>
    <row r="720" spans="1:24" x14ac:dyDescent="0.25">
      <c r="A720" t="s">
        <v>1012</v>
      </c>
      <c r="B720" t="s">
        <v>1040</v>
      </c>
      <c r="C720" t="s">
        <v>1045</v>
      </c>
      <c r="E720" t="s">
        <v>19</v>
      </c>
      <c r="F720" t="s">
        <v>33</v>
      </c>
      <c r="G720" t="s">
        <v>1086</v>
      </c>
      <c r="H720" t="s">
        <v>1063</v>
      </c>
      <c r="K720" t="s">
        <v>160</v>
      </c>
      <c r="L720" t="s">
        <v>17</v>
      </c>
      <c r="M720" t="s">
        <v>21</v>
      </c>
      <c r="N720" s="4">
        <v>48947</v>
      </c>
      <c r="O720" s="4">
        <v>230</v>
      </c>
      <c r="P720" s="4">
        <v>32089</v>
      </c>
      <c r="Q720" s="4">
        <v>45597</v>
      </c>
      <c r="R720" s="4">
        <v>21</v>
      </c>
      <c r="S720" s="3">
        <v>5702.2902649999996</v>
      </c>
      <c r="T720" s="3">
        <f t="shared" si="68"/>
        <v>271.53763166666664</v>
      </c>
      <c r="U720" s="5">
        <f t="shared" si="72"/>
        <v>9.1304347826086957E-2</v>
      </c>
      <c r="V720" s="5">
        <f t="shared" si="69"/>
        <v>4.698960099699675E-3</v>
      </c>
      <c r="W720" s="3">
        <f t="shared" si="70"/>
        <v>24.792566369565215</v>
      </c>
      <c r="X720" s="3">
        <f t="shared" si="71"/>
        <v>116.49928013974298</v>
      </c>
    </row>
    <row r="721" spans="1:24" x14ac:dyDescent="0.25">
      <c r="A721" t="s">
        <v>1012</v>
      </c>
      <c r="B721" t="s">
        <v>1014</v>
      </c>
      <c r="C721" t="s">
        <v>1046</v>
      </c>
      <c r="E721" t="s">
        <v>19</v>
      </c>
      <c r="F721" t="s">
        <v>15</v>
      </c>
      <c r="G721" t="s">
        <v>1070</v>
      </c>
      <c r="H721" t="s">
        <v>1071</v>
      </c>
      <c r="K721" t="s">
        <v>102</v>
      </c>
      <c r="L721" t="s">
        <v>73</v>
      </c>
      <c r="M721" t="s">
        <v>21</v>
      </c>
      <c r="N721" s="4">
        <v>47016</v>
      </c>
      <c r="O721" s="4">
        <v>199</v>
      </c>
      <c r="P721" s="4">
        <v>12210</v>
      </c>
      <c r="Q721" s="4">
        <v>38039</v>
      </c>
      <c r="R721" s="4">
        <v>13</v>
      </c>
      <c r="S721" s="3">
        <v>5974.8750799999998</v>
      </c>
      <c r="T721" s="3">
        <f t="shared" si="68"/>
        <v>459.60577538461536</v>
      </c>
      <c r="U721" s="5">
        <f t="shared" si="72"/>
        <v>6.5326633165829151E-2</v>
      </c>
      <c r="V721" s="5">
        <f t="shared" si="69"/>
        <v>4.2326016675174405E-3</v>
      </c>
      <c r="W721" s="3">
        <f t="shared" si="70"/>
        <v>30.024497889447236</v>
      </c>
      <c r="X721" s="3">
        <f t="shared" si="71"/>
        <v>127.08173983324825</v>
      </c>
    </row>
    <row r="722" spans="1:24" x14ac:dyDescent="0.25">
      <c r="A722" t="s">
        <v>1012</v>
      </c>
      <c r="B722" t="s">
        <v>1014</v>
      </c>
      <c r="C722" t="s">
        <v>1047</v>
      </c>
      <c r="E722" t="s">
        <v>19</v>
      </c>
      <c r="F722" t="s">
        <v>33</v>
      </c>
      <c r="G722" t="s">
        <v>1070</v>
      </c>
      <c r="H722" t="s">
        <v>1071</v>
      </c>
      <c r="K722" t="s">
        <v>75</v>
      </c>
      <c r="L722" t="s">
        <v>17</v>
      </c>
      <c r="M722" t="s">
        <v>21</v>
      </c>
      <c r="N722" s="4">
        <v>232470</v>
      </c>
      <c r="O722" s="4">
        <v>504</v>
      </c>
      <c r="P722" s="4">
        <v>40870</v>
      </c>
      <c r="Q722" s="4">
        <v>195447</v>
      </c>
      <c r="R722" s="4">
        <v>36</v>
      </c>
      <c r="S722" s="3">
        <v>5401.3650850000004</v>
      </c>
      <c r="T722" s="3">
        <f t="shared" si="68"/>
        <v>150.03791902777778</v>
      </c>
      <c r="U722" s="5">
        <f t="shared" si="72"/>
        <v>7.1428571428571425E-2</v>
      </c>
      <c r="V722" s="5">
        <f t="shared" si="69"/>
        <v>2.1680216802168022E-3</v>
      </c>
      <c r="W722" s="3">
        <f t="shared" si="70"/>
        <v>10.716994216269843</v>
      </c>
      <c r="X722" s="3">
        <f t="shared" si="71"/>
        <v>23.234675807631092</v>
      </c>
    </row>
    <row r="723" spans="1:24" x14ac:dyDescent="0.25">
      <c r="A723" t="s">
        <v>1012</v>
      </c>
      <c r="B723" t="s">
        <v>1014</v>
      </c>
      <c r="C723" t="s">
        <v>1048</v>
      </c>
      <c r="E723" t="s">
        <v>14</v>
      </c>
      <c r="F723" t="s">
        <v>26</v>
      </c>
      <c r="G723" t="s">
        <v>1070</v>
      </c>
      <c r="H723" t="s">
        <v>1071</v>
      </c>
      <c r="K723" t="s">
        <v>339</v>
      </c>
      <c r="L723" t="s">
        <v>68</v>
      </c>
      <c r="M723" t="s">
        <v>18</v>
      </c>
      <c r="N723" s="4">
        <v>48707</v>
      </c>
      <c r="O723" s="4">
        <v>185</v>
      </c>
      <c r="P723" s="4">
        <v>25182</v>
      </c>
      <c r="Q723" s="4">
        <v>44696</v>
      </c>
      <c r="R723" s="4">
        <v>13</v>
      </c>
      <c r="S723" s="3">
        <v>5600.3556429999999</v>
      </c>
      <c r="T723" s="3">
        <f t="shared" si="68"/>
        <v>430.79658792307691</v>
      </c>
      <c r="U723" s="5">
        <f t="shared" si="72"/>
        <v>7.0270270270270274E-2</v>
      </c>
      <c r="V723" s="5">
        <f t="shared" si="69"/>
        <v>3.7982220214753527E-3</v>
      </c>
      <c r="W723" s="3">
        <f t="shared" si="70"/>
        <v>30.272192664864864</v>
      </c>
      <c r="X723" s="3">
        <f t="shared" si="71"/>
        <v>114.98050881803437</v>
      </c>
    </row>
    <row r="724" spans="1:24" x14ac:dyDescent="0.25">
      <c r="A724" t="s">
        <v>1012</v>
      </c>
      <c r="B724" t="s">
        <v>1014</v>
      </c>
      <c r="C724" t="s">
        <v>1049</v>
      </c>
      <c r="E724" t="s">
        <v>14</v>
      </c>
      <c r="F724" t="s">
        <v>33</v>
      </c>
      <c r="G724" t="s">
        <v>1072</v>
      </c>
      <c r="H724" t="s">
        <v>1065</v>
      </c>
      <c r="K724" t="s">
        <v>1050</v>
      </c>
      <c r="L724" t="s">
        <v>25</v>
      </c>
      <c r="M724" t="s">
        <v>21</v>
      </c>
      <c r="N724" s="4">
        <v>9702</v>
      </c>
      <c r="O724" s="4">
        <v>40</v>
      </c>
      <c r="P724" s="4">
        <v>5564</v>
      </c>
      <c r="Q724" s="4">
        <v>8210</v>
      </c>
      <c r="R724" s="4">
        <v>1</v>
      </c>
      <c r="S724" s="3">
        <v>5711.3920099999996</v>
      </c>
      <c r="T724" s="3">
        <f t="shared" si="68"/>
        <v>5711.3920099999996</v>
      </c>
      <c r="U724" s="5">
        <f t="shared" si="72"/>
        <v>2.5000000000000001E-2</v>
      </c>
      <c r="V724" s="5">
        <f t="shared" si="69"/>
        <v>4.1228612657184084E-3</v>
      </c>
      <c r="W724" s="3">
        <f t="shared" si="70"/>
        <v>142.78480024999999</v>
      </c>
      <c r="X724" s="3">
        <f t="shared" si="71"/>
        <v>588.68192228406508</v>
      </c>
    </row>
    <row r="725" spans="1:24" x14ac:dyDescent="0.25">
      <c r="A725" t="s">
        <v>1012</v>
      </c>
      <c r="B725" t="s">
        <v>1014</v>
      </c>
      <c r="C725" t="s">
        <v>1051</v>
      </c>
      <c r="E725" t="s">
        <v>14</v>
      </c>
      <c r="F725" t="s">
        <v>44</v>
      </c>
      <c r="G725" t="s">
        <v>1073</v>
      </c>
      <c r="H725" t="s">
        <v>1074</v>
      </c>
      <c r="K725" t="s">
        <v>81</v>
      </c>
      <c r="L725" t="s">
        <v>17</v>
      </c>
      <c r="M725" t="s">
        <v>21</v>
      </c>
      <c r="N725" s="4">
        <v>14730</v>
      </c>
      <c r="O725" s="4">
        <v>88</v>
      </c>
      <c r="P725" s="4">
        <v>1272</v>
      </c>
      <c r="Q725" s="4">
        <v>12427</v>
      </c>
      <c r="R725" s="4">
        <v>3</v>
      </c>
      <c r="S725" s="3">
        <v>5190.5359980000003</v>
      </c>
      <c r="T725" s="3">
        <f t="shared" si="68"/>
        <v>1730.178666</v>
      </c>
      <c r="U725" s="5">
        <f t="shared" si="72"/>
        <v>3.4090909090909088E-2</v>
      </c>
      <c r="V725" s="5">
        <f t="shared" si="69"/>
        <v>5.9742023082145282E-3</v>
      </c>
      <c r="W725" s="3">
        <f t="shared" si="70"/>
        <v>58.983363613636364</v>
      </c>
      <c r="X725" s="3">
        <f t="shared" si="71"/>
        <v>352.37854704684321</v>
      </c>
    </row>
    <row r="726" spans="1:24" x14ac:dyDescent="0.25">
      <c r="A726" t="s">
        <v>1012</v>
      </c>
      <c r="B726" t="s">
        <v>1014</v>
      </c>
      <c r="C726" t="s">
        <v>1052</v>
      </c>
      <c r="E726" t="s">
        <v>14</v>
      </c>
      <c r="F726" t="s">
        <v>15</v>
      </c>
      <c r="G726" t="s">
        <v>1070</v>
      </c>
      <c r="H726" t="s">
        <v>1071</v>
      </c>
      <c r="K726" t="s">
        <v>999</v>
      </c>
      <c r="L726" t="s">
        <v>783</v>
      </c>
      <c r="M726" t="s">
        <v>21</v>
      </c>
      <c r="N726" s="4">
        <v>9725</v>
      </c>
      <c r="O726" s="4">
        <v>80</v>
      </c>
      <c r="P726" s="4">
        <v>6616</v>
      </c>
      <c r="Q726" s="4">
        <v>8778</v>
      </c>
      <c r="R726" s="4">
        <v>1</v>
      </c>
      <c r="S726" s="3">
        <v>4942.2839869999998</v>
      </c>
      <c r="T726" s="3">
        <f t="shared" si="68"/>
        <v>4942.2839869999998</v>
      </c>
      <c r="U726" s="5">
        <f t="shared" si="72"/>
        <v>1.2500000000000001E-2</v>
      </c>
      <c r="V726" s="5">
        <f t="shared" si="69"/>
        <v>8.2262210796915161E-3</v>
      </c>
      <c r="W726" s="3">
        <f t="shared" si="70"/>
        <v>61.778549837499995</v>
      </c>
      <c r="X726" s="3">
        <f t="shared" si="71"/>
        <v>508.20400894601534</v>
      </c>
    </row>
    <row r="727" spans="1:24" x14ac:dyDescent="0.25">
      <c r="A727" t="s">
        <v>1012</v>
      </c>
      <c r="B727" t="s">
        <v>408</v>
      </c>
      <c r="C727" t="s">
        <v>1053</v>
      </c>
      <c r="E727" t="s">
        <v>19</v>
      </c>
      <c r="F727" t="s">
        <v>44</v>
      </c>
      <c r="G727" t="s">
        <v>1091</v>
      </c>
      <c r="H727" t="s">
        <v>1090</v>
      </c>
      <c r="K727" t="s">
        <v>216</v>
      </c>
      <c r="L727" t="s">
        <v>28</v>
      </c>
      <c r="M727" t="s">
        <v>21</v>
      </c>
      <c r="N727" s="4">
        <v>252170</v>
      </c>
      <c r="O727" s="4">
        <v>650</v>
      </c>
      <c r="P727" s="4">
        <v>9248</v>
      </c>
      <c r="Q727" s="4">
        <v>14192</v>
      </c>
      <c r="R727" s="4">
        <v>1</v>
      </c>
      <c r="S727" s="3">
        <v>5874.0047800000002</v>
      </c>
      <c r="T727" s="3">
        <f t="shared" si="68"/>
        <v>5874.0047800000002</v>
      </c>
      <c r="U727" s="5">
        <f t="shared" si="72"/>
        <v>1.5384615384615385E-3</v>
      </c>
      <c r="V727" s="5">
        <f t="shared" si="69"/>
        <v>2.5776262045445531E-3</v>
      </c>
      <c r="W727" s="3">
        <f t="shared" si="70"/>
        <v>9.0369304307692317</v>
      </c>
      <c r="X727" s="3">
        <f t="shared" si="71"/>
        <v>23.293828686996868</v>
      </c>
    </row>
    <row r="728" spans="1:24" x14ac:dyDescent="0.25">
      <c r="A728" t="s">
        <v>1012</v>
      </c>
      <c r="B728" t="s">
        <v>1014</v>
      </c>
      <c r="C728" t="s">
        <v>1054</v>
      </c>
      <c r="E728" t="s">
        <v>19</v>
      </c>
      <c r="F728" t="s">
        <v>15</v>
      </c>
      <c r="G728" t="s">
        <v>1062</v>
      </c>
      <c r="H728" t="s">
        <v>1063</v>
      </c>
      <c r="K728" t="s">
        <v>223</v>
      </c>
      <c r="L728" t="s">
        <v>17</v>
      </c>
      <c r="M728" t="s">
        <v>21</v>
      </c>
      <c r="N728" s="4">
        <v>43117</v>
      </c>
      <c r="O728" s="4">
        <v>100</v>
      </c>
      <c r="P728" s="4">
        <v>6478</v>
      </c>
      <c r="Q728" s="4">
        <v>27405</v>
      </c>
      <c r="R728" s="4">
        <v>8</v>
      </c>
      <c r="S728" s="3">
        <v>4250.4304389999998</v>
      </c>
      <c r="T728" s="3">
        <f t="shared" si="68"/>
        <v>531.30380487499997</v>
      </c>
      <c r="U728" s="5">
        <f t="shared" si="72"/>
        <v>0.08</v>
      </c>
      <c r="V728" s="5">
        <f t="shared" si="69"/>
        <v>2.3192708212537976E-3</v>
      </c>
      <c r="W728" s="3">
        <f t="shared" si="70"/>
        <v>42.504304389999994</v>
      </c>
      <c r="X728" s="3">
        <f t="shared" si="71"/>
        <v>98.578992949416701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4AE900-CCC5-41BC-B29D-D3BF8383F1C9}">
  <dimension ref="A3:B190"/>
  <sheetViews>
    <sheetView workbookViewId="0">
      <selection activeCell="B179" sqref="B179"/>
    </sheetView>
  </sheetViews>
  <sheetFormatPr defaultRowHeight="15" x14ac:dyDescent="0.25"/>
  <cols>
    <col min="1" max="1" width="36" bestFit="1" customWidth="1"/>
    <col min="2" max="2" width="12.5703125" bestFit="1" customWidth="1"/>
    <col min="3" max="4" width="18.5703125" bestFit="1" customWidth="1"/>
    <col min="5" max="5" width="30" bestFit="1" customWidth="1"/>
    <col min="6" max="6" width="23.7109375" bestFit="1" customWidth="1"/>
    <col min="7" max="7" width="17" bestFit="1" customWidth="1"/>
  </cols>
  <sheetData>
    <row r="3" spans="1:2" x14ac:dyDescent="0.25">
      <c r="B3" t="s">
        <v>1175</v>
      </c>
    </row>
    <row r="4" spans="1:2" x14ac:dyDescent="0.25">
      <c r="A4" s="1" t="s">
        <v>11</v>
      </c>
      <c r="B4">
        <v>2947</v>
      </c>
    </row>
    <row r="5" spans="1:2" x14ac:dyDescent="0.25">
      <c r="A5" s="2" t="s">
        <v>14</v>
      </c>
      <c r="B5">
        <v>921</v>
      </c>
    </row>
    <row r="6" spans="1:2" x14ac:dyDescent="0.25">
      <c r="A6" s="2" t="s">
        <v>23</v>
      </c>
      <c r="B6">
        <v>1066</v>
      </c>
    </row>
    <row r="7" spans="1:2" x14ac:dyDescent="0.25">
      <c r="A7" s="2" t="s">
        <v>19</v>
      </c>
      <c r="B7">
        <v>960</v>
      </c>
    </row>
    <row r="8" spans="1:2" x14ac:dyDescent="0.25">
      <c r="A8" s="1" t="s">
        <v>50</v>
      </c>
      <c r="B8">
        <v>37608</v>
      </c>
    </row>
    <row r="9" spans="1:2" x14ac:dyDescent="0.25">
      <c r="A9" s="2" t="s">
        <v>14</v>
      </c>
      <c r="B9">
        <v>11946</v>
      </c>
    </row>
    <row r="10" spans="1:2" x14ac:dyDescent="0.25">
      <c r="A10" s="2" t="s">
        <v>23</v>
      </c>
      <c r="B10">
        <v>4267</v>
      </c>
    </row>
    <row r="11" spans="1:2" x14ac:dyDescent="0.25">
      <c r="A11" s="2" t="s">
        <v>19</v>
      </c>
      <c r="B11">
        <v>21395</v>
      </c>
    </row>
    <row r="12" spans="1:2" x14ac:dyDescent="0.25">
      <c r="A12" s="1" t="s">
        <v>257</v>
      </c>
      <c r="B12">
        <v>7372</v>
      </c>
    </row>
    <row r="13" spans="1:2" x14ac:dyDescent="0.25">
      <c r="A13" s="2" t="s">
        <v>14</v>
      </c>
      <c r="B13">
        <v>3977</v>
      </c>
    </row>
    <row r="14" spans="1:2" x14ac:dyDescent="0.25">
      <c r="A14" s="2" t="s">
        <v>19</v>
      </c>
      <c r="B14">
        <v>3395</v>
      </c>
    </row>
    <row r="15" spans="1:2" x14ac:dyDescent="0.25">
      <c r="A15" s="1" t="s">
        <v>314</v>
      </c>
      <c r="B15">
        <v>14384</v>
      </c>
    </row>
    <row r="16" spans="1:2" x14ac:dyDescent="0.25">
      <c r="A16" s="2" t="s">
        <v>14</v>
      </c>
      <c r="B16">
        <v>4376</v>
      </c>
    </row>
    <row r="17" spans="1:2" x14ac:dyDescent="0.25">
      <c r="A17" s="2" t="s">
        <v>23</v>
      </c>
      <c r="B17">
        <v>4169</v>
      </c>
    </row>
    <row r="18" spans="1:2" x14ac:dyDescent="0.25">
      <c r="A18" s="2" t="s">
        <v>19</v>
      </c>
      <c r="B18">
        <v>5839</v>
      </c>
    </row>
    <row r="19" spans="1:2" x14ac:dyDescent="0.25">
      <c r="A19" s="1" t="s">
        <v>343</v>
      </c>
      <c r="B19">
        <v>11567</v>
      </c>
    </row>
    <row r="20" spans="1:2" x14ac:dyDescent="0.25">
      <c r="A20" s="2" t="s">
        <v>14</v>
      </c>
      <c r="B20">
        <v>6010</v>
      </c>
    </row>
    <row r="21" spans="1:2" x14ac:dyDescent="0.25">
      <c r="A21" s="2" t="s">
        <v>23</v>
      </c>
      <c r="B21">
        <v>234</v>
      </c>
    </row>
    <row r="22" spans="1:2" x14ac:dyDescent="0.25">
      <c r="A22" s="2" t="s">
        <v>19</v>
      </c>
      <c r="B22">
        <v>5323</v>
      </c>
    </row>
    <row r="23" spans="1:2" x14ac:dyDescent="0.25">
      <c r="A23" s="1" t="s">
        <v>396</v>
      </c>
      <c r="B23">
        <v>57</v>
      </c>
    </row>
    <row r="24" spans="1:2" x14ac:dyDescent="0.25">
      <c r="A24" s="2" t="s">
        <v>19</v>
      </c>
      <c r="B24">
        <v>57</v>
      </c>
    </row>
    <row r="25" spans="1:2" x14ac:dyDescent="0.25">
      <c r="A25" s="1" t="s">
        <v>398</v>
      </c>
      <c r="B25">
        <v>54</v>
      </c>
    </row>
    <row r="26" spans="1:2" x14ac:dyDescent="0.25">
      <c r="A26" s="2" t="s">
        <v>19</v>
      </c>
      <c r="B26">
        <v>54</v>
      </c>
    </row>
    <row r="27" spans="1:2" x14ac:dyDescent="0.25">
      <c r="A27" s="1" t="s">
        <v>400</v>
      </c>
      <c r="B27">
        <v>145</v>
      </c>
    </row>
    <row r="28" spans="1:2" x14ac:dyDescent="0.25">
      <c r="A28" s="2" t="s">
        <v>14</v>
      </c>
      <c r="B28">
        <v>145</v>
      </c>
    </row>
    <row r="29" spans="1:2" x14ac:dyDescent="0.25">
      <c r="A29" s="1" t="s">
        <v>402</v>
      </c>
      <c r="B29">
        <v>1981</v>
      </c>
    </row>
    <row r="30" spans="1:2" x14ac:dyDescent="0.25">
      <c r="A30" s="2" t="s">
        <v>14</v>
      </c>
      <c r="B30">
        <v>833</v>
      </c>
    </row>
    <row r="31" spans="1:2" x14ac:dyDescent="0.25">
      <c r="A31" s="2" t="s">
        <v>23</v>
      </c>
      <c r="B31">
        <v>86</v>
      </c>
    </row>
    <row r="32" spans="1:2" x14ac:dyDescent="0.25">
      <c r="A32" s="2" t="s">
        <v>19</v>
      </c>
      <c r="B32">
        <v>1062</v>
      </c>
    </row>
    <row r="33" spans="1:2" x14ac:dyDescent="0.25">
      <c r="A33" s="1" t="s">
        <v>1012</v>
      </c>
      <c r="B33">
        <v>10882</v>
      </c>
    </row>
    <row r="34" spans="1:2" x14ac:dyDescent="0.25">
      <c r="A34" s="2" t="s">
        <v>14</v>
      </c>
      <c r="B34">
        <v>4539</v>
      </c>
    </row>
    <row r="35" spans="1:2" x14ac:dyDescent="0.25">
      <c r="A35" s="2" t="s">
        <v>23</v>
      </c>
      <c r="B35">
        <v>396</v>
      </c>
    </row>
    <row r="36" spans="1:2" x14ac:dyDescent="0.25">
      <c r="A36" s="2" t="s">
        <v>19</v>
      </c>
      <c r="B36">
        <v>5947</v>
      </c>
    </row>
    <row r="37" spans="1:2" x14ac:dyDescent="0.25">
      <c r="A37" s="1" t="s">
        <v>419</v>
      </c>
      <c r="B37">
        <v>708</v>
      </c>
    </row>
    <row r="38" spans="1:2" x14ac:dyDescent="0.25">
      <c r="A38" s="2" t="s">
        <v>14</v>
      </c>
      <c r="B38">
        <v>290</v>
      </c>
    </row>
    <row r="39" spans="1:2" x14ac:dyDescent="0.25">
      <c r="A39" s="2" t="s">
        <v>19</v>
      </c>
      <c r="B39">
        <v>418</v>
      </c>
    </row>
    <row r="40" spans="1:2" x14ac:dyDescent="0.25">
      <c r="A40" s="1" t="s">
        <v>429</v>
      </c>
      <c r="B40">
        <v>585</v>
      </c>
    </row>
    <row r="41" spans="1:2" x14ac:dyDescent="0.25">
      <c r="A41" s="2" t="s">
        <v>14</v>
      </c>
      <c r="B41">
        <v>365</v>
      </c>
    </row>
    <row r="42" spans="1:2" x14ac:dyDescent="0.25">
      <c r="A42" s="2" t="s">
        <v>23</v>
      </c>
      <c r="B42">
        <v>25</v>
      </c>
    </row>
    <row r="43" spans="1:2" x14ac:dyDescent="0.25">
      <c r="A43" s="2" t="s">
        <v>19</v>
      </c>
      <c r="B43">
        <v>195</v>
      </c>
    </row>
    <row r="44" spans="1:2" x14ac:dyDescent="0.25">
      <c r="A44" s="1" t="s">
        <v>439</v>
      </c>
      <c r="B44">
        <v>20</v>
      </c>
    </row>
    <row r="45" spans="1:2" x14ac:dyDescent="0.25">
      <c r="A45" s="2" t="s">
        <v>14</v>
      </c>
      <c r="B45">
        <v>20</v>
      </c>
    </row>
    <row r="46" spans="1:2" x14ac:dyDescent="0.25">
      <c r="A46" s="1" t="s">
        <v>423</v>
      </c>
      <c r="B46">
        <v>25675</v>
      </c>
    </row>
    <row r="47" spans="1:2" x14ac:dyDescent="0.25">
      <c r="A47" s="2" t="s">
        <v>14</v>
      </c>
      <c r="B47">
        <v>10484</v>
      </c>
    </row>
    <row r="48" spans="1:2" x14ac:dyDescent="0.25">
      <c r="A48" s="2" t="s">
        <v>23</v>
      </c>
      <c r="B48">
        <v>151</v>
      </c>
    </row>
    <row r="49" spans="1:2" x14ac:dyDescent="0.25">
      <c r="A49" s="2" t="s">
        <v>19</v>
      </c>
      <c r="B49">
        <v>15040</v>
      </c>
    </row>
    <row r="50" spans="1:2" x14ac:dyDescent="0.25">
      <c r="A50" s="1" t="s">
        <v>503</v>
      </c>
      <c r="B50">
        <v>832</v>
      </c>
    </row>
    <row r="51" spans="1:2" x14ac:dyDescent="0.25">
      <c r="A51" s="2" t="s">
        <v>14</v>
      </c>
      <c r="B51">
        <v>763</v>
      </c>
    </row>
    <row r="52" spans="1:2" x14ac:dyDescent="0.25">
      <c r="A52" s="2" t="s">
        <v>19</v>
      </c>
      <c r="B52">
        <v>69</v>
      </c>
    </row>
    <row r="53" spans="1:2" x14ac:dyDescent="0.25">
      <c r="A53" s="1" t="s">
        <v>506</v>
      </c>
      <c r="B53">
        <v>5498</v>
      </c>
    </row>
    <row r="54" spans="1:2" x14ac:dyDescent="0.25">
      <c r="A54" s="2" t="s">
        <v>14</v>
      </c>
      <c r="B54">
        <v>4265</v>
      </c>
    </row>
    <row r="55" spans="1:2" x14ac:dyDescent="0.25">
      <c r="A55" s="2" t="s">
        <v>23</v>
      </c>
      <c r="B55">
        <v>233</v>
      </c>
    </row>
    <row r="56" spans="1:2" x14ac:dyDescent="0.25">
      <c r="A56" s="2" t="s">
        <v>19</v>
      </c>
      <c r="B56">
        <v>1000</v>
      </c>
    </row>
    <row r="57" spans="1:2" x14ac:dyDescent="0.25">
      <c r="A57" s="1" t="s">
        <v>535</v>
      </c>
      <c r="B57">
        <v>90</v>
      </c>
    </row>
    <row r="58" spans="1:2" x14ac:dyDescent="0.25">
      <c r="A58" s="2" t="s">
        <v>19</v>
      </c>
      <c r="B58">
        <v>90</v>
      </c>
    </row>
    <row r="59" spans="1:2" x14ac:dyDescent="0.25">
      <c r="A59" s="1" t="s">
        <v>537</v>
      </c>
      <c r="B59">
        <v>892</v>
      </c>
    </row>
    <row r="60" spans="1:2" x14ac:dyDescent="0.25">
      <c r="A60" s="2" t="s">
        <v>14</v>
      </c>
      <c r="B60">
        <v>161</v>
      </c>
    </row>
    <row r="61" spans="1:2" x14ac:dyDescent="0.25">
      <c r="A61" s="2" t="s">
        <v>23</v>
      </c>
      <c r="B61">
        <v>400</v>
      </c>
    </row>
    <row r="62" spans="1:2" x14ac:dyDescent="0.25">
      <c r="A62" s="2" t="s">
        <v>19</v>
      </c>
      <c r="B62">
        <v>331</v>
      </c>
    </row>
    <row r="63" spans="1:2" x14ac:dyDescent="0.25">
      <c r="A63" s="1" t="s">
        <v>543</v>
      </c>
      <c r="B63">
        <v>204</v>
      </c>
    </row>
    <row r="64" spans="1:2" x14ac:dyDescent="0.25">
      <c r="A64" s="2" t="s">
        <v>19</v>
      </c>
      <c r="B64">
        <v>204</v>
      </c>
    </row>
    <row r="65" spans="1:2" x14ac:dyDescent="0.25">
      <c r="A65" s="1" t="s">
        <v>544</v>
      </c>
      <c r="B65">
        <v>20</v>
      </c>
    </row>
    <row r="66" spans="1:2" x14ac:dyDescent="0.25">
      <c r="A66" s="2" t="s">
        <v>23</v>
      </c>
      <c r="B66">
        <v>20</v>
      </c>
    </row>
    <row r="67" spans="1:2" x14ac:dyDescent="0.25">
      <c r="A67" s="1" t="s">
        <v>547</v>
      </c>
      <c r="B67">
        <v>15</v>
      </c>
    </row>
    <row r="68" spans="1:2" x14ac:dyDescent="0.25">
      <c r="A68" s="2" t="s">
        <v>19</v>
      </c>
      <c r="B68">
        <v>15</v>
      </c>
    </row>
    <row r="69" spans="1:2" x14ac:dyDescent="0.25">
      <c r="A69" s="1" t="s">
        <v>548</v>
      </c>
      <c r="B69">
        <v>3903</v>
      </c>
    </row>
    <row r="70" spans="1:2" x14ac:dyDescent="0.25">
      <c r="A70" s="2" t="s">
        <v>14</v>
      </c>
      <c r="B70">
        <v>538</v>
      </c>
    </row>
    <row r="71" spans="1:2" x14ac:dyDescent="0.25">
      <c r="A71" s="2" t="s">
        <v>23</v>
      </c>
      <c r="B71">
        <v>600</v>
      </c>
    </row>
    <row r="72" spans="1:2" x14ac:dyDescent="0.25">
      <c r="A72" s="2" t="s">
        <v>19</v>
      </c>
      <c r="B72">
        <v>2765</v>
      </c>
    </row>
    <row r="73" spans="1:2" x14ac:dyDescent="0.25">
      <c r="A73" s="1" t="s">
        <v>562</v>
      </c>
      <c r="B73">
        <v>110</v>
      </c>
    </row>
    <row r="74" spans="1:2" x14ac:dyDescent="0.25">
      <c r="A74" s="2" t="s">
        <v>14</v>
      </c>
      <c r="B74">
        <v>80</v>
      </c>
    </row>
    <row r="75" spans="1:2" x14ac:dyDescent="0.25">
      <c r="A75" s="2" t="s">
        <v>19</v>
      </c>
      <c r="B75">
        <v>30</v>
      </c>
    </row>
    <row r="76" spans="1:2" x14ac:dyDescent="0.25">
      <c r="A76" s="1" t="s">
        <v>146</v>
      </c>
      <c r="B76">
        <v>1059</v>
      </c>
    </row>
    <row r="77" spans="1:2" x14ac:dyDescent="0.25">
      <c r="A77" s="2" t="s">
        <v>14</v>
      </c>
      <c r="B77">
        <v>759</v>
      </c>
    </row>
    <row r="78" spans="1:2" x14ac:dyDescent="0.25">
      <c r="A78" s="2" t="s">
        <v>19</v>
      </c>
      <c r="B78">
        <v>300</v>
      </c>
    </row>
    <row r="79" spans="1:2" x14ac:dyDescent="0.25">
      <c r="A79" s="1" t="s">
        <v>577</v>
      </c>
      <c r="B79">
        <v>139</v>
      </c>
    </row>
    <row r="80" spans="1:2" x14ac:dyDescent="0.25">
      <c r="A80" s="2" t="s">
        <v>14</v>
      </c>
      <c r="B80">
        <v>76</v>
      </c>
    </row>
    <row r="81" spans="1:2" x14ac:dyDescent="0.25">
      <c r="A81" s="2" t="s">
        <v>19</v>
      </c>
      <c r="B81">
        <v>63</v>
      </c>
    </row>
    <row r="82" spans="1:2" x14ac:dyDescent="0.25">
      <c r="A82" s="1" t="s">
        <v>567</v>
      </c>
      <c r="B82">
        <v>70</v>
      </c>
    </row>
    <row r="83" spans="1:2" x14ac:dyDescent="0.25">
      <c r="A83" s="2" t="s">
        <v>14</v>
      </c>
      <c r="B83">
        <v>70</v>
      </c>
    </row>
    <row r="84" spans="1:2" x14ac:dyDescent="0.25">
      <c r="A84" s="1" t="s">
        <v>545</v>
      </c>
      <c r="B84">
        <v>315</v>
      </c>
    </row>
    <row r="85" spans="1:2" x14ac:dyDescent="0.25">
      <c r="A85" s="2" t="s">
        <v>14</v>
      </c>
      <c r="B85">
        <v>197</v>
      </c>
    </row>
    <row r="86" spans="1:2" x14ac:dyDescent="0.25">
      <c r="A86" s="2" t="s">
        <v>19</v>
      </c>
      <c r="B86">
        <v>118</v>
      </c>
    </row>
    <row r="87" spans="1:2" x14ac:dyDescent="0.25">
      <c r="A87" s="1" t="s">
        <v>585</v>
      </c>
      <c r="B87">
        <v>8250</v>
      </c>
    </row>
    <row r="88" spans="1:2" x14ac:dyDescent="0.25">
      <c r="A88" s="2" t="s">
        <v>14</v>
      </c>
      <c r="B88">
        <v>5265</v>
      </c>
    </row>
    <row r="89" spans="1:2" x14ac:dyDescent="0.25">
      <c r="A89" s="2" t="s">
        <v>23</v>
      </c>
      <c r="B89">
        <v>104</v>
      </c>
    </row>
    <row r="90" spans="1:2" x14ac:dyDescent="0.25">
      <c r="A90" s="2" t="s">
        <v>19</v>
      </c>
      <c r="B90">
        <v>2881</v>
      </c>
    </row>
    <row r="91" spans="1:2" x14ac:dyDescent="0.25">
      <c r="A91" s="1" t="s">
        <v>632</v>
      </c>
      <c r="B91">
        <v>970</v>
      </c>
    </row>
    <row r="92" spans="1:2" x14ac:dyDescent="0.25">
      <c r="A92" s="2" t="s">
        <v>14</v>
      </c>
      <c r="B92">
        <v>459</v>
      </c>
    </row>
    <row r="93" spans="1:2" x14ac:dyDescent="0.25">
      <c r="A93" s="2" t="s">
        <v>19</v>
      </c>
      <c r="B93">
        <v>511</v>
      </c>
    </row>
    <row r="94" spans="1:2" x14ac:dyDescent="0.25">
      <c r="A94" s="1" t="s">
        <v>640</v>
      </c>
      <c r="B94">
        <v>403</v>
      </c>
    </row>
    <row r="95" spans="1:2" x14ac:dyDescent="0.25">
      <c r="A95" s="2" t="s">
        <v>14</v>
      </c>
      <c r="B95">
        <v>403</v>
      </c>
    </row>
    <row r="96" spans="1:2" x14ac:dyDescent="0.25">
      <c r="A96" s="1" t="s">
        <v>642</v>
      </c>
      <c r="B96">
        <v>292</v>
      </c>
    </row>
    <row r="97" spans="1:2" x14ac:dyDescent="0.25">
      <c r="A97" s="2" t="s">
        <v>14</v>
      </c>
      <c r="B97">
        <v>95</v>
      </c>
    </row>
    <row r="98" spans="1:2" x14ac:dyDescent="0.25">
      <c r="A98" s="2" t="s">
        <v>19</v>
      </c>
      <c r="B98">
        <v>197</v>
      </c>
    </row>
    <row r="99" spans="1:2" x14ac:dyDescent="0.25">
      <c r="A99" s="1" t="s">
        <v>649</v>
      </c>
      <c r="B99">
        <v>11788</v>
      </c>
    </row>
    <row r="100" spans="1:2" x14ac:dyDescent="0.25">
      <c r="A100" s="2" t="s">
        <v>14</v>
      </c>
      <c r="B100">
        <v>6306</v>
      </c>
    </row>
    <row r="101" spans="1:2" x14ac:dyDescent="0.25">
      <c r="A101" s="2" t="s">
        <v>19</v>
      </c>
      <c r="B101">
        <v>5482</v>
      </c>
    </row>
    <row r="102" spans="1:2" x14ac:dyDescent="0.25">
      <c r="A102" s="1" t="s">
        <v>662</v>
      </c>
      <c r="B102">
        <v>3167</v>
      </c>
    </row>
    <row r="103" spans="1:2" x14ac:dyDescent="0.25">
      <c r="A103" s="2" t="s">
        <v>14</v>
      </c>
      <c r="B103">
        <v>2620</v>
      </c>
    </row>
    <row r="104" spans="1:2" x14ac:dyDescent="0.25">
      <c r="A104" s="2" t="s">
        <v>19</v>
      </c>
      <c r="B104">
        <v>547</v>
      </c>
    </row>
    <row r="105" spans="1:2" x14ac:dyDescent="0.25">
      <c r="A105" s="1" t="s">
        <v>690</v>
      </c>
      <c r="B105">
        <v>40</v>
      </c>
    </row>
    <row r="106" spans="1:2" x14ac:dyDescent="0.25">
      <c r="A106" s="2" t="s">
        <v>19</v>
      </c>
      <c r="B106">
        <v>40</v>
      </c>
    </row>
    <row r="107" spans="1:2" x14ac:dyDescent="0.25">
      <c r="A107" s="1" t="s">
        <v>692</v>
      </c>
      <c r="B107">
        <v>204</v>
      </c>
    </row>
    <row r="108" spans="1:2" x14ac:dyDescent="0.25">
      <c r="A108" s="2" t="s">
        <v>19</v>
      </c>
      <c r="B108">
        <v>204</v>
      </c>
    </row>
    <row r="109" spans="1:2" x14ac:dyDescent="0.25">
      <c r="A109" s="1" t="s">
        <v>346</v>
      </c>
      <c r="B109">
        <v>8163</v>
      </c>
    </row>
    <row r="110" spans="1:2" x14ac:dyDescent="0.25">
      <c r="A110" s="2" t="s">
        <v>14</v>
      </c>
      <c r="B110">
        <v>5048</v>
      </c>
    </row>
    <row r="111" spans="1:2" x14ac:dyDescent="0.25">
      <c r="A111" s="2" t="s">
        <v>19</v>
      </c>
      <c r="B111">
        <v>3115</v>
      </c>
    </row>
    <row r="112" spans="1:2" x14ac:dyDescent="0.25">
      <c r="A112" s="1" t="s">
        <v>693</v>
      </c>
      <c r="B112">
        <v>120</v>
      </c>
    </row>
    <row r="113" spans="1:2" x14ac:dyDescent="0.25">
      <c r="A113" s="2" t="s">
        <v>14</v>
      </c>
      <c r="B113">
        <v>40</v>
      </c>
    </row>
    <row r="114" spans="1:2" x14ac:dyDescent="0.25">
      <c r="A114" s="2" t="s">
        <v>19</v>
      </c>
      <c r="B114">
        <v>80</v>
      </c>
    </row>
    <row r="115" spans="1:2" x14ac:dyDescent="0.25">
      <c r="A115" s="1" t="s">
        <v>735</v>
      </c>
      <c r="B115">
        <v>111</v>
      </c>
    </row>
    <row r="116" spans="1:2" x14ac:dyDescent="0.25">
      <c r="A116" s="2" t="s">
        <v>14</v>
      </c>
      <c r="B116">
        <v>111</v>
      </c>
    </row>
    <row r="117" spans="1:2" x14ac:dyDescent="0.25">
      <c r="A117" s="1" t="s">
        <v>738</v>
      </c>
      <c r="B117">
        <v>258</v>
      </c>
    </row>
    <row r="118" spans="1:2" x14ac:dyDescent="0.25">
      <c r="A118" s="2" t="s">
        <v>14</v>
      </c>
      <c r="B118">
        <v>153</v>
      </c>
    </row>
    <row r="119" spans="1:2" x14ac:dyDescent="0.25">
      <c r="A119" s="2" t="s">
        <v>19</v>
      </c>
      <c r="B119">
        <v>105</v>
      </c>
    </row>
    <row r="120" spans="1:2" x14ac:dyDescent="0.25">
      <c r="A120" s="1" t="s">
        <v>745</v>
      </c>
      <c r="B120">
        <v>1125</v>
      </c>
    </row>
    <row r="121" spans="1:2" x14ac:dyDescent="0.25">
      <c r="A121" s="2" t="s">
        <v>14</v>
      </c>
      <c r="B121">
        <v>30</v>
      </c>
    </row>
    <row r="122" spans="1:2" x14ac:dyDescent="0.25">
      <c r="A122" s="2" t="s">
        <v>23</v>
      </c>
      <c r="B122">
        <v>490</v>
      </c>
    </row>
    <row r="123" spans="1:2" x14ac:dyDescent="0.25">
      <c r="A123" s="2" t="s">
        <v>19</v>
      </c>
      <c r="B123">
        <v>605</v>
      </c>
    </row>
    <row r="124" spans="1:2" x14ac:dyDescent="0.25">
      <c r="A124" s="1" t="s">
        <v>754</v>
      </c>
      <c r="B124">
        <v>7191</v>
      </c>
    </row>
    <row r="125" spans="1:2" x14ac:dyDescent="0.25">
      <c r="A125" s="2" t="s">
        <v>14</v>
      </c>
      <c r="B125">
        <v>4158</v>
      </c>
    </row>
    <row r="126" spans="1:2" x14ac:dyDescent="0.25">
      <c r="A126" s="2" t="s">
        <v>23</v>
      </c>
      <c r="B126">
        <v>793</v>
      </c>
    </row>
    <row r="127" spans="1:2" x14ac:dyDescent="0.25">
      <c r="A127" s="2" t="s">
        <v>19</v>
      </c>
      <c r="B127">
        <v>2240</v>
      </c>
    </row>
    <row r="128" spans="1:2" x14ac:dyDescent="0.25">
      <c r="A128" s="1" t="s">
        <v>799</v>
      </c>
      <c r="B128">
        <v>442</v>
      </c>
    </row>
    <row r="129" spans="1:2" x14ac:dyDescent="0.25">
      <c r="A129" s="2" t="s">
        <v>14</v>
      </c>
      <c r="B129">
        <v>117</v>
      </c>
    </row>
    <row r="130" spans="1:2" x14ac:dyDescent="0.25">
      <c r="A130" s="2" t="s">
        <v>19</v>
      </c>
      <c r="B130">
        <v>325</v>
      </c>
    </row>
    <row r="131" spans="1:2" x14ac:dyDescent="0.25">
      <c r="A131" s="1" t="s">
        <v>807</v>
      </c>
      <c r="B131">
        <v>652</v>
      </c>
    </row>
    <row r="132" spans="1:2" x14ac:dyDescent="0.25">
      <c r="A132" s="2" t="s">
        <v>14</v>
      </c>
      <c r="B132">
        <v>75</v>
      </c>
    </row>
    <row r="133" spans="1:2" x14ac:dyDescent="0.25">
      <c r="A133" s="2" t="s">
        <v>19</v>
      </c>
      <c r="B133">
        <v>577</v>
      </c>
    </row>
    <row r="134" spans="1:2" x14ac:dyDescent="0.25">
      <c r="A134" s="1" t="s">
        <v>814</v>
      </c>
      <c r="B134">
        <v>345</v>
      </c>
    </row>
    <row r="135" spans="1:2" x14ac:dyDescent="0.25">
      <c r="A135" s="2" t="s">
        <v>14</v>
      </c>
      <c r="B135">
        <v>345</v>
      </c>
    </row>
    <row r="136" spans="1:2" x14ac:dyDescent="0.25">
      <c r="A136" s="1" t="s">
        <v>816</v>
      </c>
      <c r="B136">
        <v>55</v>
      </c>
    </row>
    <row r="137" spans="1:2" x14ac:dyDescent="0.25">
      <c r="A137" s="2" t="s">
        <v>19</v>
      </c>
      <c r="B137">
        <v>55</v>
      </c>
    </row>
    <row r="138" spans="1:2" x14ac:dyDescent="0.25">
      <c r="A138" s="1" t="s">
        <v>819</v>
      </c>
      <c r="B138">
        <v>140</v>
      </c>
    </row>
    <row r="139" spans="1:2" x14ac:dyDescent="0.25">
      <c r="A139" s="2" t="s">
        <v>14</v>
      </c>
      <c r="B139">
        <v>140</v>
      </c>
    </row>
    <row r="140" spans="1:2" x14ac:dyDescent="0.25">
      <c r="A140" s="1" t="s">
        <v>820</v>
      </c>
      <c r="B140">
        <v>253</v>
      </c>
    </row>
    <row r="141" spans="1:2" x14ac:dyDescent="0.25">
      <c r="A141" s="2" t="s">
        <v>19</v>
      </c>
      <c r="B141">
        <v>253</v>
      </c>
    </row>
    <row r="142" spans="1:2" x14ac:dyDescent="0.25">
      <c r="A142" s="1" t="s">
        <v>823</v>
      </c>
      <c r="B142">
        <v>187</v>
      </c>
    </row>
    <row r="143" spans="1:2" x14ac:dyDescent="0.25">
      <c r="A143" s="2" t="s">
        <v>14</v>
      </c>
      <c r="B143">
        <v>187</v>
      </c>
    </row>
    <row r="144" spans="1:2" x14ac:dyDescent="0.25">
      <c r="A144" s="1" t="s">
        <v>827</v>
      </c>
      <c r="B144">
        <v>30</v>
      </c>
    </row>
    <row r="145" spans="1:2" x14ac:dyDescent="0.25">
      <c r="A145" s="2" t="s">
        <v>14</v>
      </c>
      <c r="B145">
        <v>30</v>
      </c>
    </row>
    <row r="146" spans="1:2" x14ac:dyDescent="0.25">
      <c r="A146" s="1" t="s">
        <v>828</v>
      </c>
      <c r="B146">
        <v>12484</v>
      </c>
    </row>
    <row r="147" spans="1:2" x14ac:dyDescent="0.25">
      <c r="A147" s="2" t="s">
        <v>14</v>
      </c>
      <c r="B147">
        <v>7598</v>
      </c>
    </row>
    <row r="148" spans="1:2" x14ac:dyDescent="0.25">
      <c r="A148" s="2" t="s">
        <v>23</v>
      </c>
      <c r="B148">
        <v>411</v>
      </c>
    </row>
    <row r="149" spans="1:2" x14ac:dyDescent="0.25">
      <c r="A149" s="2" t="s">
        <v>19</v>
      </c>
      <c r="B149">
        <v>4475</v>
      </c>
    </row>
    <row r="150" spans="1:2" x14ac:dyDescent="0.25">
      <c r="A150" s="1" t="s">
        <v>590</v>
      </c>
      <c r="B150">
        <v>1897</v>
      </c>
    </row>
    <row r="151" spans="1:2" x14ac:dyDescent="0.25">
      <c r="A151" s="2" t="s">
        <v>14</v>
      </c>
      <c r="B151">
        <v>1647</v>
      </c>
    </row>
    <row r="152" spans="1:2" x14ac:dyDescent="0.25">
      <c r="A152" s="2" t="s">
        <v>19</v>
      </c>
      <c r="B152">
        <v>250</v>
      </c>
    </row>
    <row r="153" spans="1:2" x14ac:dyDescent="0.25">
      <c r="A153" s="1" t="s">
        <v>873</v>
      </c>
      <c r="B153">
        <v>474</v>
      </c>
    </row>
    <row r="154" spans="1:2" x14ac:dyDescent="0.25">
      <c r="A154" s="2" t="s">
        <v>14</v>
      </c>
      <c r="B154">
        <v>474</v>
      </c>
    </row>
    <row r="155" spans="1:2" x14ac:dyDescent="0.25">
      <c r="A155" s="1" t="s">
        <v>138</v>
      </c>
      <c r="B155">
        <v>40</v>
      </c>
    </row>
    <row r="156" spans="1:2" x14ac:dyDescent="0.25">
      <c r="A156" s="2" t="s">
        <v>14</v>
      </c>
      <c r="B156">
        <v>40</v>
      </c>
    </row>
    <row r="157" spans="1:2" x14ac:dyDescent="0.25">
      <c r="A157" s="1" t="s">
        <v>878</v>
      </c>
      <c r="B157">
        <v>699</v>
      </c>
    </row>
    <row r="158" spans="1:2" x14ac:dyDescent="0.25">
      <c r="A158" s="2" t="s">
        <v>19</v>
      </c>
      <c r="B158">
        <v>699</v>
      </c>
    </row>
    <row r="159" spans="1:2" x14ac:dyDescent="0.25">
      <c r="A159" s="1" t="s">
        <v>879</v>
      </c>
      <c r="B159">
        <v>88</v>
      </c>
    </row>
    <row r="160" spans="1:2" x14ac:dyDescent="0.25">
      <c r="A160" s="2" t="s">
        <v>19</v>
      </c>
      <c r="B160">
        <v>88</v>
      </c>
    </row>
    <row r="161" spans="1:2" x14ac:dyDescent="0.25">
      <c r="A161" s="1" t="s">
        <v>111</v>
      </c>
      <c r="B161">
        <v>174</v>
      </c>
    </row>
    <row r="162" spans="1:2" x14ac:dyDescent="0.25">
      <c r="A162" s="2" t="s">
        <v>14</v>
      </c>
      <c r="B162">
        <v>174</v>
      </c>
    </row>
    <row r="163" spans="1:2" x14ac:dyDescent="0.25">
      <c r="A163" s="1" t="s">
        <v>833</v>
      </c>
      <c r="B163">
        <v>2541</v>
      </c>
    </row>
    <row r="164" spans="1:2" x14ac:dyDescent="0.25">
      <c r="A164" s="2" t="s">
        <v>14</v>
      </c>
      <c r="B164">
        <v>184</v>
      </c>
    </row>
    <row r="165" spans="1:2" x14ac:dyDescent="0.25">
      <c r="A165" s="2" t="s">
        <v>23</v>
      </c>
      <c r="B165">
        <v>187</v>
      </c>
    </row>
    <row r="166" spans="1:2" x14ac:dyDescent="0.25">
      <c r="A166" s="2" t="s">
        <v>19</v>
      </c>
      <c r="B166">
        <v>2170</v>
      </c>
    </row>
    <row r="167" spans="1:2" x14ac:dyDescent="0.25">
      <c r="A167" s="1" t="s">
        <v>774</v>
      </c>
      <c r="B167">
        <v>12233</v>
      </c>
    </row>
    <row r="168" spans="1:2" x14ac:dyDescent="0.25">
      <c r="A168" s="2" t="s">
        <v>14</v>
      </c>
      <c r="B168">
        <v>9631</v>
      </c>
    </row>
    <row r="169" spans="1:2" x14ac:dyDescent="0.25">
      <c r="A169" s="2" t="s">
        <v>19</v>
      </c>
      <c r="B169">
        <v>2602</v>
      </c>
    </row>
    <row r="170" spans="1:2" x14ac:dyDescent="0.25">
      <c r="A170" s="1" t="s">
        <v>932</v>
      </c>
      <c r="B170">
        <v>75</v>
      </c>
    </row>
    <row r="171" spans="1:2" x14ac:dyDescent="0.25">
      <c r="A171" s="2" t="s">
        <v>19</v>
      </c>
      <c r="B171">
        <v>75</v>
      </c>
    </row>
    <row r="172" spans="1:2" x14ac:dyDescent="0.25">
      <c r="A172" s="1" t="s">
        <v>681</v>
      </c>
      <c r="B172">
        <v>841</v>
      </c>
    </row>
    <row r="173" spans="1:2" x14ac:dyDescent="0.25">
      <c r="A173" s="2" t="s">
        <v>14</v>
      </c>
      <c r="B173">
        <v>841</v>
      </c>
    </row>
    <row r="174" spans="1:2" x14ac:dyDescent="0.25">
      <c r="A174" s="1" t="s">
        <v>935</v>
      </c>
      <c r="B174">
        <v>278</v>
      </c>
    </row>
    <row r="175" spans="1:2" x14ac:dyDescent="0.25">
      <c r="A175" s="2" t="s">
        <v>19</v>
      </c>
      <c r="B175">
        <v>278</v>
      </c>
    </row>
    <row r="176" spans="1:2" x14ac:dyDescent="0.25">
      <c r="A176" s="1" t="s">
        <v>938</v>
      </c>
      <c r="B176">
        <v>63</v>
      </c>
    </row>
    <row r="177" spans="1:2" x14ac:dyDescent="0.25">
      <c r="A177" s="2" t="s">
        <v>14</v>
      </c>
      <c r="B177">
        <v>63</v>
      </c>
    </row>
    <row r="178" spans="1:2" x14ac:dyDescent="0.25">
      <c r="A178" s="1" t="s">
        <v>940</v>
      </c>
      <c r="B178">
        <v>11385</v>
      </c>
    </row>
    <row r="179" spans="1:2" x14ac:dyDescent="0.25">
      <c r="A179" s="2" t="s">
        <v>14</v>
      </c>
      <c r="B179">
        <v>5651</v>
      </c>
    </row>
    <row r="180" spans="1:2" x14ac:dyDescent="0.25">
      <c r="A180" s="2" t="s">
        <v>23</v>
      </c>
      <c r="B180">
        <v>233</v>
      </c>
    </row>
    <row r="181" spans="1:2" x14ac:dyDescent="0.25">
      <c r="A181" s="2" t="s">
        <v>19</v>
      </c>
      <c r="B181">
        <v>5501</v>
      </c>
    </row>
    <row r="182" spans="1:2" x14ac:dyDescent="0.25">
      <c r="A182" s="1" t="s">
        <v>964</v>
      </c>
      <c r="B182">
        <v>1685</v>
      </c>
    </row>
    <row r="183" spans="1:2" x14ac:dyDescent="0.25">
      <c r="A183" s="2" t="s">
        <v>14</v>
      </c>
      <c r="B183">
        <v>1286</v>
      </c>
    </row>
    <row r="184" spans="1:2" x14ac:dyDescent="0.25">
      <c r="A184" s="2" t="s">
        <v>23</v>
      </c>
      <c r="B184">
        <v>269</v>
      </c>
    </row>
    <row r="185" spans="1:2" x14ac:dyDescent="0.25">
      <c r="A185" s="2" t="s">
        <v>19</v>
      </c>
      <c r="B185">
        <v>130</v>
      </c>
    </row>
    <row r="186" spans="1:2" x14ac:dyDescent="0.25">
      <c r="A186" s="1" t="s">
        <v>172</v>
      </c>
      <c r="B186">
        <v>16824</v>
      </c>
    </row>
    <row r="187" spans="1:2" x14ac:dyDescent="0.25">
      <c r="A187" s="2" t="s">
        <v>14</v>
      </c>
      <c r="B187">
        <v>11490</v>
      </c>
    </row>
    <row r="188" spans="1:2" x14ac:dyDescent="0.25">
      <c r="A188" s="2" t="s">
        <v>23</v>
      </c>
      <c r="B188">
        <v>760</v>
      </c>
    </row>
    <row r="189" spans="1:2" x14ac:dyDescent="0.25">
      <c r="A189" s="2" t="s">
        <v>19</v>
      </c>
      <c r="B189">
        <v>4574</v>
      </c>
    </row>
    <row r="190" spans="1:2" x14ac:dyDescent="0.25">
      <c r="A190" s="1" t="s">
        <v>1174</v>
      </c>
      <c r="B190">
        <v>233099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62A7CD8-82E6-4301-A3A5-71B7FD6B71B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PBL_DA_CAPSTONE_DATA</vt:lpstr>
      <vt:lpstr>Pivot Table</vt:lpstr>
    </vt:vector>
  </TitlesOfParts>
  <Company>THE_CAPACITORS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 Reshetnikov</dc:creator>
  <dc:description>Its over 88mph, with metrics - Matthew Carreon</dc:description>
  <cp:lastModifiedBy>Matthew Vincent Carreon</cp:lastModifiedBy>
  <dcterms:created xsi:type="dcterms:W3CDTF">2015-06-05T18:17:20Z</dcterms:created>
  <dcterms:modified xsi:type="dcterms:W3CDTF">2026-04-28T03:26:28Z</dcterms:modified>
</cp:coreProperties>
</file>